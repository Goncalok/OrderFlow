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dmin/Leverschema OOH/"/>
    </mc:Choice>
  </mc:AlternateContent>
  <xr:revisionPtr revIDLastSave="7991" documentId="8_{EB76FB5A-51F4-45AF-8EB8-4575AA11B80C}" xr6:coauthVersionLast="47" xr6:coauthVersionMax="47" xr10:uidLastSave="{3636BADC-9D80-4601-A52B-906190D42901}"/>
  <workbookProtection workbookAlgorithmName="SHA-512" workbookHashValue="Bp2ZScpIu8c2cHbSOxz8qot8RgPPQ8PQHLPPzJe8JeSBR74fybfYjkTb/cwgMVcgNXIFa3xsFh8UupNnfr276g==" workbookSaltValue="iUExBWg+GZ+wCxXYrgQjZQ==" workbookSpinCount="100000" lockStructure="1"/>
  <bookViews>
    <workbookView xWindow="28680" yWindow="-120" windowWidth="29040" windowHeight="15720" tabRatio="888" activeTab="2" xr2:uid="{00000000-000D-0000-FFFF-FFFF00000000}"/>
  </bookViews>
  <sheets>
    <sheet name="Monday-Thursday" sheetId="2" r:id="rId1"/>
    <sheet name="Friday" sheetId="14" r:id="rId2"/>
    <sheet name="Saturday" sheetId="15" r:id="rId3"/>
    <sheet name="Heeren" sheetId="6" r:id="rId4"/>
    <sheet name="Carrefour FIF" sheetId="5" r:id="rId5"/>
    <sheet name="Carrefour KDC" sheetId="11" r:id="rId6"/>
    <sheet name="Colruyt" sheetId="8" r:id="rId7"/>
    <sheet name="Colruyt Monday" sheetId="18" r:id="rId8"/>
    <sheet name="Havi Duisburg" sheetId="9" r:id="rId9"/>
    <sheet name="Havi Duisburg Monday" sheetId="17" r:id="rId10"/>
    <sheet name="Havi Nederland" sheetId="7" r:id="rId11"/>
    <sheet name="Havi Nederland Monday" sheetId="16" r:id="rId12"/>
    <sheet name="Havi Belgie" sheetId="10" r:id="rId13"/>
  </sheets>
  <definedNames>
    <definedName name="ID" localSheetId="1" hidden="1">"0b79228a-046d-409e-8d22-1af82f82816b"</definedName>
    <definedName name="ID" localSheetId="0" hidden="1">"0b79228a-046d-409e-8d22-1af82f82816b"</definedName>
    <definedName name="ID" localSheetId="2" hidden="1">"0b79228a-046d-409e-8d22-1af82f82816b"</definedName>
    <definedName name="Z_12301C30_EC0B_4F69_A827_733CF6795582_.wvu.Rows" localSheetId="1" hidden="1">Friday!#REF!</definedName>
    <definedName name="Z_12301C30_EC0B_4F69_A827_733CF6795582_.wvu.Rows" localSheetId="0" hidden="1">'Monday-Thursday'!#REF!</definedName>
    <definedName name="Z_12301C30_EC0B_4F69_A827_733CF6795582_.wvu.Rows" localSheetId="2" hidden="1">Saturday!#REF!</definedName>
    <definedName name="Z_3577BF87_2F65_4840_8079_21E73D5C2E11_.wvu.Rows" localSheetId="1" hidden="1">Friday!#REF!</definedName>
    <definedName name="Z_3577BF87_2F65_4840_8079_21E73D5C2E11_.wvu.Rows" localSheetId="0" hidden="1">'Monday-Thursday'!#REF!</definedName>
    <definedName name="Z_3577BF87_2F65_4840_8079_21E73D5C2E11_.wvu.Rows" localSheetId="2" hidden="1">Saturday!#REF!</definedName>
    <definedName name="Z_387F5BE2_87BE_433D_A775_550ADC5482D2_.wvu.Rows" localSheetId="1" hidden="1">Friday!#REF!</definedName>
    <definedName name="Z_387F5BE2_87BE_433D_A775_550ADC5482D2_.wvu.Rows" localSheetId="0" hidden="1">'Monday-Thursday'!#REF!</definedName>
    <definedName name="Z_387F5BE2_87BE_433D_A775_550ADC5482D2_.wvu.Rows" localSheetId="2" hidden="1">Saturday!#REF!</definedName>
    <definedName name="Z_81795BA8_21B9_45D1_83A0_D09B4A131144_.wvu.Rows" localSheetId="1" hidden="1">Friday!#REF!</definedName>
    <definedName name="Z_81795BA8_21B9_45D1_83A0_D09B4A131144_.wvu.Rows" localSheetId="0" hidden="1">'Monday-Thursday'!#REF!</definedName>
    <definedName name="Z_81795BA8_21B9_45D1_83A0_D09B4A131144_.wvu.Rows" localSheetId="2" hidden="1">Saturday!#REF!</definedName>
    <definedName name="Z_89009846_5CAB_431E_BC14_839F132E2604_.wvu.Rows" localSheetId="1" hidden="1">Friday!#REF!</definedName>
    <definedName name="Z_89009846_5CAB_431E_BC14_839F132E2604_.wvu.Rows" localSheetId="0" hidden="1">'Monday-Thursday'!#REF!</definedName>
    <definedName name="Z_89009846_5CAB_431E_BC14_839F132E2604_.wvu.Rows" localSheetId="2" hidden="1">Saturday!#REF!</definedName>
    <definedName name="Z_940D8950_04F3_4A26_8354_36FC8B1B2505_.wvu.Rows" localSheetId="1" hidden="1">Friday!#REF!</definedName>
    <definedName name="Z_940D8950_04F3_4A26_8354_36FC8B1B2505_.wvu.Rows" localSheetId="0" hidden="1">'Monday-Thursday'!#REF!</definedName>
    <definedName name="Z_940D8950_04F3_4A26_8354_36FC8B1B2505_.wvu.Rows" localSheetId="2" hidden="1">Saturday!#REF!</definedName>
    <definedName name="Z_9E37255E_CBEF_4220_AD76_F4FDB90A297E_.wvu.Rows" localSheetId="1" hidden="1">Friday!#REF!</definedName>
    <definedName name="Z_9E37255E_CBEF_4220_AD76_F4FDB90A297E_.wvu.Rows" localSheetId="0" hidden="1">'Monday-Thursday'!#REF!</definedName>
    <definedName name="Z_9E37255E_CBEF_4220_AD76_F4FDB90A297E_.wvu.Rows" localSheetId="2" hidden="1">Saturday!#REF!</definedName>
    <definedName name="Z_A6352FC4_8D6C_4D37_9E9A_E921F8E5F9D4_.wvu.Rows" localSheetId="1" hidden="1">Friday!#REF!</definedName>
    <definedName name="Z_A6352FC4_8D6C_4D37_9E9A_E921F8E5F9D4_.wvu.Rows" localSheetId="0" hidden="1">'Monday-Thursday'!#REF!</definedName>
    <definedName name="Z_A6352FC4_8D6C_4D37_9E9A_E921F8E5F9D4_.wvu.Rows" localSheetId="2" hidden="1">Saturday!#REF!</definedName>
    <definedName name="Z_AC34950A_DCAF_4CB6_A9C7_A8AF18DED7F1_.wvu.Rows" localSheetId="1" hidden="1">Friday!#REF!</definedName>
    <definedName name="Z_AC34950A_DCAF_4CB6_A9C7_A8AF18DED7F1_.wvu.Rows" localSheetId="0" hidden="1">'Monday-Thursday'!#REF!</definedName>
    <definedName name="Z_AC34950A_DCAF_4CB6_A9C7_A8AF18DED7F1_.wvu.Rows" localSheetId="2" hidden="1">Saturday!#REF!</definedName>
    <definedName name="Z_C7513BB2_2D70_451D_80CC_9D79532B7973_.wvu.Rows" localSheetId="1" hidden="1">Friday!#REF!</definedName>
    <definedName name="Z_C7513BB2_2D70_451D_80CC_9D79532B7973_.wvu.Rows" localSheetId="0" hidden="1">'Monday-Thursday'!#REF!</definedName>
    <definedName name="Z_C7513BB2_2D70_451D_80CC_9D79532B7973_.wvu.Rows" localSheetId="2" hidden="1">Saturday!#REF!</definedName>
    <definedName name="Z_D2519191_6E8E_48C2_A647_05695ADCD774_.wvu.Rows" localSheetId="1" hidden="1">Friday!#REF!</definedName>
    <definedName name="Z_D2519191_6E8E_48C2_A647_05695ADCD774_.wvu.Rows" localSheetId="0" hidden="1">'Monday-Thursday'!#REF!</definedName>
    <definedName name="Z_D2519191_6E8E_48C2_A647_05695ADCD774_.wvu.Rows" localSheetId="2" hidden="1">Saturday!#REF!</definedName>
    <definedName name="Z_DE458C6A_71B2_4713_B1DD_2E513F1A6B61_.wvu.Rows" localSheetId="1" hidden="1">Friday!#REF!</definedName>
    <definedName name="Z_DE458C6A_71B2_4713_B1DD_2E513F1A6B61_.wvu.Rows" localSheetId="0" hidden="1">'Monday-Thursday'!#REF!</definedName>
    <definedName name="Z_DE458C6A_71B2_4713_B1DD_2E513F1A6B61_.wvu.Rows" localSheetId="2" hidden="1">Saturday!#REF!</definedName>
    <definedName name="Z_E27029BF_0A88_4C48_9133_1FE9B861FE2C_.wvu.Rows" localSheetId="1" hidden="1">Friday!#REF!</definedName>
    <definedName name="Z_E27029BF_0A88_4C48_9133_1FE9B861FE2C_.wvu.Rows" localSheetId="0" hidden="1">'Monday-Thursday'!#REF!</definedName>
    <definedName name="Z_E27029BF_0A88_4C48_9133_1FE9B861FE2C_.wvu.Rows" localSheetId="2" hidden="1">Saturday!#REF!</definedName>
  </definedNames>
  <calcPr calcId="191029"/>
  <customWorkbookViews>
    <customWorkbookView name="Administratie OG Helmond - Persoonlijke weergave" guid="{E27029BF-0A88-4C48-9133-1FE9B861FE2C}" mergeInterval="0" personalView="1" maximized="1" xWindow="-8" yWindow="-8" windowWidth="1936" windowHeight="1056" activeSheetId="2"/>
    <customWorkbookView name="allrounder EXP HLM 1 - Persoonlijke weergave" guid="{AC34950A-DCAF-4CB6-A9C7-A8AF18DED7F1}" mergeInterval="0" personalView="1" maximized="1" xWindow="1912" yWindow="-8" windowWidth="1936" windowHeight="1096" activeSheetId="2"/>
    <customWorkbookView name="Robert Smaal - Persoonlijke weergave" guid="{A6352FC4-8D6C-4D37-9E9A-E921F8E5F9D4}" mergeInterval="0" personalView="1" maximized="1" windowWidth="1920" windowHeight="855" activeSheetId="3"/>
    <customWorkbookView name="Suzan Ferliol - Persoonlijke weergave" guid="{81795BA8-21B9-45D1-83A0-D09B4A131144}" mergeInterval="0" personalView="1" maximized="1" windowWidth="1920" windowHeight="855" activeSheetId="2"/>
    <customWorkbookView name="Expeditie2 Helmond - Persoonlijke weergave" guid="{3577BF87-2F65-4840-8079-21E73D5C2E11}" mergeInterval="0" personalView="1" maximized="1" windowWidth="1920" windowHeight="894" activeSheetId="2"/>
    <customWorkbookView name="Expeditie3 Helmond - Persoonlijke weergave" guid="{12301C30-EC0B-4F69-A827-733CF6795582}" mergeInterval="0" personalView="1" maximized="1" windowWidth="1920" windowHeight="894" activeSheetId="2"/>
    <customWorkbookView name="Expeditie Helmond - Persoonlijke weergave" guid="{D2519191-6E8E-48C2-A647-05695ADCD774}" mergeInterval="0" personalView="1" maximized="1" windowWidth="1920" windowHeight="894" activeSheetId="2"/>
    <customWorkbookView name="Dawid Kominczak - Persoonlijke weergave" guid="{940D8950-04F3-4A26-8354-36FC8B1B2505}" mergeInterval="0" personalView="1" maximized="1" windowWidth="1424" windowHeight="559" activeSheetId="2"/>
    <customWorkbookView name="Allrounder EXP HLM 2 - Persoonlijke weergave" guid="{387F5BE2-87BE-433D-A775-550ADC5482D2}" mergeInterval="0" personalView="1" maximized="1" windowWidth="1920" windowHeight="854" activeSheetId="2"/>
    <customWorkbookView name="Administratie OG Helmond4 - Persoonlijke weergave" guid="{9E37255E-CBEF-4220-AD76-F4FDB90A297E}" mergeInterval="0" personalView="1" maximized="1" xWindow="-8" yWindow="-8" windowWidth="1936" windowHeight="1056" activeSheetId="2"/>
    <customWorkbookView name="Vytenis Valiukas - Persoonlijke weergave" guid="{C7513BB2-2D70-451D-80CC-9D79532B7973}" mergeInterval="0" personalView="1" maximized="1" xWindow="1912" yWindow="-8" windowWidth="1936" windowHeight="1096" activeSheetId="2"/>
    <customWorkbookView name="Vytenis Valiukas - Personal View" guid="{89009846-5CAB-431E-BC14-839F132E2604}" mergeInterval="0" personalView="1" maximized="1" xWindow="1912" yWindow="-8" windowWidth="1936" windowHeight="1096" activeSheetId="5"/>
    <customWorkbookView name="Administratie OG Helmond2 - Persoonlijke weergave" guid="{DE458C6A-71B2-4713-B1DD-2E513F1A6B61}" mergeInterval="0" personalView="1" maximized="1" xWindow="-8" yWindow="-8" windowWidth="1936" windowHeight="105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8" l="1"/>
  <c r="E3" i="18"/>
  <c r="E4" i="11" l="1"/>
  <c r="F4" i="11" s="1"/>
  <c r="G4" i="11" s="1"/>
  <c r="E5" i="11"/>
  <c r="F5" i="11" s="1"/>
  <c r="E6" i="11"/>
  <c r="F6" i="11" s="1"/>
  <c r="E7" i="11"/>
  <c r="F7" i="11" s="1"/>
  <c r="E8" i="11"/>
  <c r="F8" i="11" s="1"/>
  <c r="E9" i="11"/>
  <c r="F9" i="11" s="1"/>
  <c r="E10" i="11"/>
  <c r="F10" i="11" s="1"/>
  <c r="E11" i="11"/>
  <c r="F11" i="11" s="1"/>
  <c r="E12" i="11"/>
  <c r="F12" i="11" s="1"/>
  <c r="E13" i="11"/>
  <c r="F13" i="11" s="1"/>
  <c r="E14" i="11"/>
  <c r="F14" i="11" s="1"/>
  <c r="E15" i="11"/>
  <c r="F15" i="11" s="1"/>
  <c r="E16" i="11"/>
  <c r="F16" i="11" s="1"/>
  <c r="E17" i="11"/>
  <c r="F17" i="11" s="1"/>
  <c r="E18" i="11"/>
  <c r="F18" i="11" s="1"/>
  <c r="E19" i="11"/>
  <c r="F19" i="11" s="1"/>
  <c r="E20" i="11"/>
  <c r="F20" i="11" s="1"/>
  <c r="E21" i="11"/>
  <c r="F21" i="11" s="1"/>
  <c r="E5" i="5"/>
  <c r="F5" i="5" s="1"/>
  <c r="E6" i="5"/>
  <c r="F6" i="5" s="1"/>
  <c r="E7" i="5"/>
  <c r="F7" i="5" s="1"/>
  <c r="E8" i="5"/>
  <c r="F8" i="5" s="1"/>
  <c r="E9" i="5"/>
  <c r="F9" i="5" s="1"/>
  <c r="E10" i="5"/>
  <c r="F10" i="5" s="1"/>
  <c r="E11" i="5"/>
  <c r="F11" i="5" s="1"/>
  <c r="E12" i="5"/>
  <c r="F12" i="5" s="1"/>
  <c r="E13" i="5"/>
  <c r="F13" i="5" s="1"/>
  <c r="E14" i="5"/>
  <c r="F14" i="5" s="1"/>
  <c r="E15" i="5"/>
  <c r="F15" i="5" s="1"/>
  <c r="E16" i="5"/>
  <c r="F16" i="5" s="1"/>
  <c r="E17" i="5"/>
  <c r="F17" i="5" s="1"/>
  <c r="E18" i="5"/>
  <c r="F18" i="5" s="1"/>
  <c r="E19" i="5"/>
  <c r="F19" i="5" s="1"/>
  <c r="E20" i="5"/>
  <c r="F20" i="5" s="1"/>
  <c r="E21" i="5"/>
  <c r="F21" i="5" s="1"/>
  <c r="E22" i="5"/>
  <c r="F22" i="5" s="1"/>
  <c r="E24" i="11"/>
  <c r="F24" i="11" s="1"/>
  <c r="E23" i="11"/>
  <c r="F23" i="11" s="1"/>
  <c r="E22" i="11"/>
  <c r="F22" i="11" s="1"/>
  <c r="E2" i="8"/>
  <c r="E3" i="8"/>
  <c r="E4" i="8"/>
  <c r="E5" i="8"/>
  <c r="E6" i="8"/>
  <c r="E8" i="8" s="1"/>
  <c r="F4" i="5"/>
  <c r="G4" i="5" s="1"/>
  <c r="F6" i="7"/>
  <c r="G6" i="7" s="1"/>
  <c r="F12" i="7"/>
  <c r="G12" i="7" s="1"/>
  <c r="H12" i="7" s="1"/>
  <c r="E24" i="5"/>
  <c r="F24" i="5" s="1"/>
  <c r="E23" i="5"/>
  <c r="F23" i="5" s="1"/>
  <c r="F4" i="6"/>
  <c r="G4" i="6" s="1"/>
  <c r="F5" i="6"/>
  <c r="G5" i="6" s="1"/>
  <c r="F6" i="6"/>
  <c r="G6" i="6" s="1"/>
  <c r="F7" i="6"/>
  <c r="F8" i="6"/>
  <c r="G8" i="6" s="1"/>
  <c r="F9" i="6"/>
  <c r="G9" i="6" s="1"/>
  <c r="E25" i="11"/>
  <c r="F25" i="11" s="1"/>
  <c r="E26" i="11"/>
  <c r="F26" i="11" s="1"/>
  <c r="E27" i="11"/>
  <c r="F27" i="11" s="1"/>
  <c r="E28" i="11"/>
  <c r="F28" i="11" s="1"/>
  <c r="E29" i="11"/>
  <c r="F29" i="11" s="1"/>
  <c r="E30" i="11"/>
  <c r="F30" i="11" s="1"/>
  <c r="E31" i="11"/>
  <c r="F31" i="11" s="1"/>
  <c r="E32" i="11"/>
  <c r="F32" i="11" s="1"/>
  <c r="E33" i="11"/>
  <c r="F33" i="11" s="1"/>
  <c r="E34" i="11"/>
  <c r="F34" i="11" s="1"/>
  <c r="E35" i="11"/>
  <c r="F35" i="11" s="1"/>
  <c r="E36" i="11"/>
  <c r="F36" i="11" s="1"/>
  <c r="E37" i="11"/>
  <c r="F37" i="11" s="1"/>
  <c r="E38" i="11"/>
  <c r="F38" i="11" s="1"/>
  <c r="E39" i="11"/>
  <c r="F39" i="11" s="1"/>
  <c r="E40" i="11"/>
  <c r="F40" i="11" s="1"/>
  <c r="E41" i="11"/>
  <c r="F41" i="11" s="1"/>
  <c r="E42" i="11"/>
  <c r="F42" i="11" s="1"/>
  <c r="E43" i="11"/>
  <c r="F43" i="11" s="1"/>
  <c r="E44" i="11"/>
  <c r="F44" i="11" s="1"/>
  <c r="E45" i="11"/>
  <c r="F45" i="11" s="1"/>
  <c r="E5" i="18"/>
  <c r="E4" i="18"/>
  <c r="C3" i="15"/>
  <c r="E7" i="8"/>
  <c r="C7" i="15"/>
  <c r="C3" i="2"/>
  <c r="C3" i="14"/>
  <c r="F10" i="6"/>
  <c r="G10" i="6" s="1"/>
  <c r="A5" i="10"/>
  <c r="F5" i="10" s="1"/>
  <c r="A6" i="10"/>
  <c r="G6" i="10" s="1"/>
  <c r="A7" i="10"/>
  <c r="H7" i="10" s="1"/>
  <c r="A8" i="10"/>
  <c r="G8" i="10" s="1"/>
  <c r="A9" i="10"/>
  <c r="K9" i="10" s="1"/>
  <c r="A10" i="10"/>
  <c r="H10" i="10" s="1"/>
  <c r="A11" i="10"/>
  <c r="F11" i="10" s="1"/>
  <c r="A12" i="10"/>
  <c r="H12" i="10" s="1"/>
  <c r="A13" i="10"/>
  <c r="F13" i="10" s="1"/>
  <c r="A14" i="10"/>
  <c r="J14" i="10" s="1"/>
  <c r="A15" i="10"/>
  <c r="G15" i="10" s="1"/>
  <c r="A16" i="10"/>
  <c r="F16" i="10" s="1"/>
  <c r="A17" i="10"/>
  <c r="G17" i="10" s="1"/>
  <c r="A18" i="10"/>
  <c r="J18" i="10" s="1"/>
  <c r="A4" i="10"/>
  <c r="G4" i="10" s="1"/>
  <c r="A5" i="7"/>
  <c r="F5" i="7" s="1"/>
  <c r="A7" i="7"/>
  <c r="F7" i="7" s="1"/>
  <c r="A8" i="7"/>
  <c r="F8" i="7" s="1"/>
  <c r="A9" i="7"/>
  <c r="F9" i="7" s="1"/>
  <c r="A10" i="7"/>
  <c r="F10" i="7" s="1"/>
  <c r="A11" i="7"/>
  <c r="G11" i="7" s="1"/>
  <c r="A13" i="7"/>
  <c r="H13" i="7" s="1"/>
  <c r="A14" i="7"/>
  <c r="F14" i="7" s="1"/>
  <c r="A15" i="7"/>
  <c r="F15" i="7" s="1"/>
  <c r="A16" i="7"/>
  <c r="H16" i="7" s="1"/>
  <c r="A17" i="7"/>
  <c r="H17" i="7" s="1"/>
  <c r="A18" i="7"/>
  <c r="K18" i="7" s="1"/>
  <c r="A5" i="16"/>
  <c r="J5" i="16" s="1"/>
  <c r="A6" i="16"/>
  <c r="F6" i="16" s="1"/>
  <c r="A7" i="16"/>
  <c r="G7" i="16" s="1"/>
  <c r="A8" i="16"/>
  <c r="K8" i="16" s="1"/>
  <c r="A9" i="16"/>
  <c r="G9" i="16" s="1"/>
  <c r="A10" i="16"/>
  <c r="I10" i="16" s="1"/>
  <c r="A11" i="16"/>
  <c r="I11" i="16" s="1"/>
  <c r="A12" i="16"/>
  <c r="I12" i="16" s="1"/>
  <c r="A13" i="16"/>
  <c r="F13" i="16" s="1"/>
  <c r="A14" i="16"/>
  <c r="I14" i="16" s="1"/>
  <c r="A15" i="16"/>
  <c r="F15" i="16" s="1"/>
  <c r="A16" i="16"/>
  <c r="F16" i="16" s="1"/>
  <c r="A17" i="16"/>
  <c r="F17" i="16" s="1"/>
  <c r="A18" i="16"/>
  <c r="G18" i="16" s="1"/>
  <c r="A4" i="16"/>
  <c r="K4" i="16" s="1"/>
  <c r="A4" i="7"/>
  <c r="J4" i="7" s="1"/>
  <c r="C4" i="14"/>
  <c r="E39" i="18"/>
  <c r="E38" i="18"/>
  <c r="E37" i="18"/>
  <c r="E36" i="18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A9" i="17"/>
  <c r="L9" i="17" s="1"/>
  <c r="A8" i="17"/>
  <c r="L8" i="17" s="1"/>
  <c r="A7" i="17"/>
  <c r="I7" i="17" s="1"/>
  <c r="A6" i="17"/>
  <c r="F6" i="17" s="1"/>
  <c r="A5" i="17"/>
  <c r="L5" i="17" s="1"/>
  <c r="A4" i="17"/>
  <c r="L4" i="17" s="1"/>
  <c r="C8" i="15"/>
  <c r="C6" i="15"/>
  <c r="C9" i="14"/>
  <c r="C8" i="14"/>
  <c r="C7" i="14"/>
  <c r="C4" i="15"/>
  <c r="C10" i="14"/>
  <c r="C5" i="14"/>
  <c r="A5" i="9"/>
  <c r="K5" i="9" s="1"/>
  <c r="A6" i="9"/>
  <c r="F6" i="9" s="1"/>
  <c r="A7" i="9"/>
  <c r="I7" i="9" s="1"/>
  <c r="A8" i="9"/>
  <c r="L8" i="9" s="1"/>
  <c r="A9" i="9"/>
  <c r="G9" i="9" s="1"/>
  <c r="A4" i="9"/>
  <c r="K4" i="9" s="1"/>
  <c r="C7" i="2"/>
  <c r="C8" i="2"/>
  <c r="C6" i="2"/>
  <c r="C4" i="2"/>
  <c r="F18" i="6"/>
  <c r="G18" i="6" s="1"/>
  <c r="F17" i="6"/>
  <c r="G17" i="6" s="1"/>
  <c r="F16" i="6"/>
  <c r="G16" i="6" s="1"/>
  <c r="F15" i="6"/>
  <c r="G15" i="6" s="1"/>
  <c r="F14" i="6"/>
  <c r="G14" i="6" s="1"/>
  <c r="H14" i="6" s="1"/>
  <c r="F13" i="6"/>
  <c r="G13" i="6" s="1"/>
  <c r="H13" i="6" s="1"/>
  <c r="F12" i="6"/>
  <c r="G12" i="6" s="1"/>
  <c r="H12" i="6" s="1"/>
  <c r="F11" i="6"/>
  <c r="E45" i="5"/>
  <c r="F45" i="5" s="1"/>
  <c r="E44" i="5"/>
  <c r="F44" i="5" s="1"/>
  <c r="E43" i="5"/>
  <c r="F43" i="5" s="1"/>
  <c r="E42" i="5"/>
  <c r="F42" i="5" s="1"/>
  <c r="E41" i="5"/>
  <c r="F41" i="5" s="1"/>
  <c r="E40" i="5"/>
  <c r="F40" i="5" s="1"/>
  <c r="E39" i="5"/>
  <c r="F39" i="5" s="1"/>
  <c r="E38" i="5"/>
  <c r="F38" i="5" s="1"/>
  <c r="E37" i="5"/>
  <c r="F37" i="5" s="1"/>
  <c r="E36" i="5"/>
  <c r="F36" i="5" s="1"/>
  <c r="E35" i="5"/>
  <c r="F35" i="5" s="1"/>
  <c r="E34" i="5"/>
  <c r="F34" i="5" s="1"/>
  <c r="E33" i="5"/>
  <c r="F33" i="5" s="1"/>
  <c r="E32" i="5"/>
  <c r="F32" i="5" s="1"/>
  <c r="E31" i="5"/>
  <c r="F31" i="5" s="1"/>
  <c r="E30" i="5"/>
  <c r="F30" i="5" s="1"/>
  <c r="E29" i="5"/>
  <c r="F29" i="5" s="1"/>
  <c r="E28" i="5"/>
  <c r="F28" i="5" s="1"/>
  <c r="E27" i="5"/>
  <c r="F27" i="5" s="1"/>
  <c r="E26" i="5"/>
  <c r="F26" i="5" s="1"/>
  <c r="E25" i="5"/>
  <c r="F25" i="5" s="1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I9" i="10" l="1"/>
  <c r="G9" i="10"/>
  <c r="K8" i="7"/>
  <c r="K14" i="7"/>
  <c r="J14" i="7"/>
  <c r="H14" i="10"/>
  <c r="H4" i="16"/>
  <c r="G14" i="10"/>
  <c r="K7" i="16"/>
  <c r="K16" i="10"/>
  <c r="J4" i="16"/>
  <c r="J7" i="16"/>
  <c r="K5" i="16"/>
  <c r="J13" i="10"/>
  <c r="K13" i="10"/>
  <c r="F12" i="16"/>
  <c r="J12" i="10"/>
  <c r="H14" i="7"/>
  <c r="G12" i="10"/>
  <c r="H9" i="7"/>
  <c r="J7" i="7"/>
  <c r="I15" i="10"/>
  <c r="H9" i="10"/>
  <c r="K11" i="10"/>
  <c r="F14" i="10"/>
  <c r="F15" i="10"/>
  <c r="I18" i="16"/>
  <c r="K6" i="16"/>
  <c r="K7" i="7"/>
  <c r="F18" i="16"/>
  <c r="G9" i="7"/>
  <c r="J8" i="16"/>
  <c r="J8" i="7"/>
  <c r="I9" i="16"/>
  <c r="I8" i="16"/>
  <c r="H4" i="7"/>
  <c r="H10" i="7"/>
  <c r="G4" i="7"/>
  <c r="I12" i="10"/>
  <c r="G11" i="10"/>
  <c r="F12" i="10"/>
  <c r="I4" i="7"/>
  <c r="G8" i="7"/>
  <c r="J11" i="10"/>
  <c r="G8" i="16"/>
  <c r="G10" i="10"/>
  <c r="F8" i="16"/>
  <c r="K9" i="7"/>
  <c r="I11" i="10"/>
  <c r="F10" i="10"/>
  <c r="F4" i="16"/>
  <c r="H8" i="16"/>
  <c r="K10" i="7"/>
  <c r="I8" i="7"/>
  <c r="H11" i="10"/>
  <c r="F9" i="16"/>
  <c r="J9" i="7"/>
  <c r="I9" i="7"/>
  <c r="H8" i="7"/>
  <c r="K12" i="10"/>
  <c r="K8" i="10"/>
  <c r="G5" i="7"/>
  <c r="J8" i="10"/>
  <c r="G17" i="16"/>
  <c r="I5" i="7"/>
  <c r="H8" i="10"/>
  <c r="J5" i="7"/>
  <c r="H5" i="7"/>
  <c r="I8" i="10"/>
  <c r="K18" i="16"/>
  <c r="H18" i="16"/>
  <c r="J9" i="10"/>
  <c r="F8" i="10"/>
  <c r="K5" i="7"/>
  <c r="I6" i="16"/>
  <c r="J6" i="16"/>
  <c r="F5" i="16"/>
  <c r="G7" i="7"/>
  <c r="F9" i="10"/>
  <c r="J17" i="16"/>
  <c r="G6" i="16"/>
  <c r="H6" i="16"/>
  <c r="J4" i="9"/>
  <c r="I10" i="10"/>
  <c r="J18" i="16"/>
  <c r="G5" i="16"/>
  <c r="F4" i="7"/>
  <c r="J5" i="10"/>
  <c r="I17" i="16"/>
  <c r="I5" i="16"/>
  <c r="K17" i="16"/>
  <c r="H5" i="16"/>
  <c r="H17" i="16"/>
  <c r="J17" i="7"/>
  <c r="G17" i="7"/>
  <c r="I17" i="7"/>
  <c r="F17" i="7"/>
  <c r="L4" i="9"/>
  <c r="K15" i="16"/>
  <c r="H15" i="16"/>
  <c r="F4" i="9"/>
  <c r="J15" i="16"/>
  <c r="G15" i="16"/>
  <c r="H4" i="9"/>
  <c r="G4" i="16"/>
  <c r="K17" i="7"/>
  <c r="I7" i="10"/>
  <c r="F6" i="10"/>
  <c r="I4" i="9"/>
  <c r="I15" i="16"/>
  <c r="I4" i="16"/>
  <c r="G18" i="10"/>
  <c r="G4" i="17"/>
  <c r="G16" i="7"/>
  <c r="G14" i="16"/>
  <c r="F11" i="7"/>
  <c r="H4" i="17"/>
  <c r="H14" i="16"/>
  <c r="G18" i="7"/>
  <c r="F16" i="7"/>
  <c r="I9" i="9"/>
  <c r="F14" i="16"/>
  <c r="F4" i="17"/>
  <c r="K4" i="17"/>
  <c r="K7" i="10"/>
  <c r="K14" i="16"/>
  <c r="K15" i="7"/>
  <c r="J16" i="7"/>
  <c r="J14" i="16"/>
  <c r="G4" i="9"/>
  <c r="G11" i="6"/>
  <c r="H11" i="6" s="1"/>
  <c r="K16" i="7"/>
  <c r="I16" i="7"/>
  <c r="F18" i="7"/>
  <c r="I18" i="7"/>
  <c r="H6" i="10"/>
  <c r="K5" i="17"/>
  <c r="I4" i="17"/>
  <c r="K6" i="10"/>
  <c r="F18" i="10"/>
  <c r="K9" i="9"/>
  <c r="I5" i="17"/>
  <c r="F13" i="7"/>
  <c r="F7" i="10"/>
  <c r="L9" i="9"/>
  <c r="F4" i="10"/>
  <c r="J15" i="7"/>
  <c r="G12" i="16"/>
  <c r="I15" i="7"/>
  <c r="J6" i="10"/>
  <c r="G7" i="10"/>
  <c r="J8" i="9"/>
  <c r="I13" i="16"/>
  <c r="G5" i="17"/>
  <c r="J4" i="10"/>
  <c r="K12" i="16"/>
  <c r="K8" i="9"/>
  <c r="H12" i="16"/>
  <c r="F5" i="9"/>
  <c r="G13" i="16"/>
  <c r="K6" i="17"/>
  <c r="H15" i="7"/>
  <c r="H13" i="16"/>
  <c r="G14" i="7"/>
  <c r="I18" i="10"/>
  <c r="J9" i="16"/>
  <c r="G5" i="9"/>
  <c r="K13" i="16"/>
  <c r="I9" i="17"/>
  <c r="H5" i="17"/>
  <c r="J7" i="10"/>
  <c r="K4" i="10"/>
  <c r="H18" i="6"/>
  <c r="I18" i="6" s="1"/>
  <c r="G15" i="7"/>
  <c r="I4" i="10"/>
  <c r="H18" i="10"/>
  <c r="J13" i="16"/>
  <c r="L6" i="17"/>
  <c r="H6" i="17"/>
  <c r="J5" i="17"/>
  <c r="I6" i="10"/>
  <c r="K18" i="10"/>
  <c r="H4" i="10"/>
  <c r="J12" i="16"/>
  <c r="H9" i="16"/>
  <c r="J6" i="17"/>
  <c r="I6" i="17"/>
  <c r="J9" i="9"/>
  <c r="I14" i="7"/>
  <c r="H9" i="9"/>
  <c r="G6" i="17"/>
  <c r="F5" i="17"/>
  <c r="I16" i="10"/>
  <c r="L5" i="9"/>
  <c r="G8" i="17"/>
  <c r="I8" i="17"/>
  <c r="I5" i="10"/>
  <c r="H9" i="17"/>
  <c r="H15" i="10"/>
  <c r="K13" i="7"/>
  <c r="J15" i="10"/>
  <c r="J10" i="7"/>
  <c r="K10" i="10"/>
  <c r="I13" i="10"/>
  <c r="H5" i="10"/>
  <c r="I5" i="9"/>
  <c r="F7" i="9"/>
  <c r="H11" i="16"/>
  <c r="I7" i="16"/>
  <c r="F7" i="17"/>
  <c r="J4" i="17"/>
  <c r="F7" i="16"/>
  <c r="H7" i="17"/>
  <c r="J16" i="10"/>
  <c r="J11" i="16"/>
  <c r="G7" i="17"/>
  <c r="H5" i="9"/>
  <c r="J10" i="16"/>
  <c r="G6" i="9"/>
  <c r="F10" i="16"/>
  <c r="F8" i="17"/>
  <c r="J13" i="7"/>
  <c r="J18" i="7"/>
  <c r="I13" i="7"/>
  <c r="I10" i="7"/>
  <c r="I12" i="7"/>
  <c r="J12" i="7" s="1"/>
  <c r="G10" i="7"/>
  <c r="K17" i="10"/>
  <c r="J10" i="10"/>
  <c r="H13" i="10"/>
  <c r="G13" i="10"/>
  <c r="F17" i="10"/>
  <c r="H6" i="9"/>
  <c r="J5" i="9"/>
  <c r="G7" i="9"/>
  <c r="H10" i="16"/>
  <c r="K8" i="17"/>
  <c r="F11" i="16"/>
  <c r="K11" i="16"/>
  <c r="L6" i="9"/>
  <c r="H8" i="17"/>
  <c r="I14" i="10"/>
  <c r="H17" i="10"/>
  <c r="H7" i="16"/>
  <c r="K11" i="7"/>
  <c r="H18" i="7"/>
  <c r="J11" i="7"/>
  <c r="H11" i="7"/>
  <c r="G13" i="7"/>
  <c r="J17" i="10"/>
  <c r="K15" i="10"/>
  <c r="I6" i="9"/>
  <c r="K9" i="16"/>
  <c r="J7" i="9"/>
  <c r="G9" i="17"/>
  <c r="J7" i="17"/>
  <c r="I17" i="10"/>
  <c r="K10" i="16"/>
  <c r="G10" i="16"/>
  <c r="G11" i="16"/>
  <c r="K4" i="7"/>
  <c r="H6" i="7"/>
  <c r="I6" i="7" s="1"/>
  <c r="H16" i="10"/>
  <c r="J6" i="9"/>
  <c r="K16" i="16"/>
  <c r="I16" i="16"/>
  <c r="G16" i="16"/>
  <c r="F9" i="17"/>
  <c r="I11" i="7"/>
  <c r="K6" i="9"/>
  <c r="J8" i="17"/>
  <c r="I13" i="6"/>
  <c r="J13" i="6" s="1"/>
  <c r="K14" i="10"/>
  <c r="G16" i="10"/>
  <c r="G5" i="10"/>
  <c r="L7" i="9"/>
  <c r="J16" i="16"/>
  <c r="H16" i="16"/>
  <c r="K9" i="17"/>
  <c r="L7" i="17"/>
  <c r="I7" i="7"/>
  <c r="I14" i="6"/>
  <c r="J14" i="6" s="1"/>
  <c r="K14" i="6" s="1"/>
  <c r="H7" i="7"/>
  <c r="K5" i="10"/>
  <c r="J9" i="17"/>
  <c r="H15" i="6"/>
  <c r="I15" i="6" s="1"/>
  <c r="J15" i="6" s="1"/>
  <c r="K15" i="6" s="1"/>
  <c r="H10" i="6"/>
  <c r="H17" i="6"/>
  <c r="I17" i="6" s="1"/>
  <c r="H16" i="6"/>
  <c r="I16" i="6" s="1"/>
  <c r="I12" i="6"/>
  <c r="F8" i="9"/>
  <c r="H8" i="9"/>
  <c r="G8" i="9"/>
  <c r="K7" i="17"/>
  <c r="K7" i="9"/>
  <c r="I8" i="9"/>
  <c r="F9" i="9"/>
  <c r="H7" i="9"/>
  <c r="M3" i="18"/>
  <c r="B8" i="14" s="1"/>
  <c r="H9" i="6"/>
  <c r="I9" i="6" s="1"/>
  <c r="G7" i="6"/>
  <c r="H7" i="6" s="1"/>
  <c r="M5" i="11"/>
  <c r="B8" i="15" s="1"/>
  <c r="M3" i="8"/>
  <c r="B6" i="15" s="1"/>
  <c r="M5" i="5"/>
  <c r="B5" i="14" s="1"/>
  <c r="H8" i="6"/>
  <c r="H6" i="6"/>
  <c r="I6" i="6" s="1"/>
  <c r="H5" i="6"/>
  <c r="I5" i="6" s="1"/>
  <c r="J5" i="6" s="1"/>
  <c r="H4" i="6"/>
  <c r="I4" i="6" s="1"/>
  <c r="J4" i="6" s="1"/>
  <c r="L9" i="7" l="1"/>
  <c r="M9" i="7" s="1"/>
  <c r="L8" i="7"/>
  <c r="M8" i="7" s="1"/>
  <c r="L8" i="16"/>
  <c r="M8" i="16" s="1"/>
  <c r="L11" i="10"/>
  <c r="M11" i="10" s="1"/>
  <c r="L8" i="10"/>
  <c r="M8" i="10" s="1"/>
  <c r="L12" i="10"/>
  <c r="M12" i="10" s="1"/>
  <c r="L5" i="16"/>
  <c r="M5" i="16" s="1"/>
  <c r="L5" i="7"/>
  <c r="M5" i="7" s="1"/>
  <c r="L6" i="10"/>
  <c r="M6" i="10" s="1"/>
  <c r="L9" i="10"/>
  <c r="M9" i="10" s="1"/>
  <c r="L14" i="7"/>
  <c r="M14" i="7" s="1"/>
  <c r="L17" i="7"/>
  <c r="M17" i="7" s="1"/>
  <c r="M4" i="9"/>
  <c r="L18" i="16"/>
  <c r="M18" i="16" s="1"/>
  <c r="L17" i="16"/>
  <c r="M17" i="16" s="1"/>
  <c r="L6" i="16"/>
  <c r="M6" i="16" s="1"/>
  <c r="L10" i="7"/>
  <c r="M10" i="7" s="1"/>
  <c r="L7" i="7"/>
  <c r="M7" i="7" s="1"/>
  <c r="L4" i="16"/>
  <c r="M4" i="16" s="1"/>
  <c r="D20" i="16" s="1"/>
  <c r="L15" i="16"/>
  <c r="M15" i="16" s="1"/>
  <c r="M6" i="17"/>
  <c r="L10" i="10"/>
  <c r="M10" i="10" s="1"/>
  <c r="L15" i="7"/>
  <c r="M15" i="7" s="1"/>
  <c r="J18" i="6"/>
  <c r="K18" i="6" s="1"/>
  <c r="L18" i="6" s="1"/>
  <c r="M18" i="6" s="1"/>
  <c r="M4" i="17"/>
  <c r="L14" i="16"/>
  <c r="M14" i="16" s="1"/>
  <c r="L18" i="10"/>
  <c r="M18" i="10" s="1"/>
  <c r="L7" i="10"/>
  <c r="M7" i="10" s="1"/>
  <c r="L16" i="7"/>
  <c r="M16" i="7" s="1"/>
  <c r="L9" i="16"/>
  <c r="M9" i="16" s="1"/>
  <c r="K13" i="6"/>
  <c r="L13" i="6" s="1"/>
  <c r="M13" i="6" s="1"/>
  <c r="J6" i="7"/>
  <c r="K6" i="7" s="1"/>
  <c r="L6" i="7" s="1"/>
  <c r="I11" i="6"/>
  <c r="J11" i="6" s="1"/>
  <c r="K11" i="6" s="1"/>
  <c r="M5" i="17"/>
  <c r="L13" i="10"/>
  <c r="M13" i="10" s="1"/>
  <c r="L7" i="16"/>
  <c r="M7" i="16" s="1"/>
  <c r="L12" i="16"/>
  <c r="M12" i="16" s="1"/>
  <c r="G10" i="9"/>
  <c r="L11" i="7"/>
  <c r="M11" i="7" s="1"/>
  <c r="L4" i="10"/>
  <c r="M4" i="10" s="1"/>
  <c r="D20" i="10" s="1"/>
  <c r="M5" i="9"/>
  <c r="L5" i="10"/>
  <c r="M5" i="10" s="1"/>
  <c r="M7" i="17"/>
  <c r="L13" i="16"/>
  <c r="M13" i="16" s="1"/>
  <c r="L16" i="10"/>
  <c r="M16" i="10" s="1"/>
  <c r="M6" i="9"/>
  <c r="G10" i="17"/>
  <c r="L18" i="7"/>
  <c r="M18" i="7" s="1"/>
  <c r="H10" i="17"/>
  <c r="M8" i="17"/>
  <c r="K12" i="7"/>
  <c r="L12" i="7" s="1"/>
  <c r="M12" i="7" s="1"/>
  <c r="I10" i="6"/>
  <c r="L14" i="10"/>
  <c r="L4" i="7"/>
  <c r="M9" i="17"/>
  <c r="L17" i="10"/>
  <c r="M17" i="10" s="1"/>
  <c r="L16" i="16"/>
  <c r="M16" i="16" s="1"/>
  <c r="L15" i="10"/>
  <c r="M15" i="10" s="1"/>
  <c r="L10" i="16"/>
  <c r="H10" i="9"/>
  <c r="F10" i="9"/>
  <c r="D10" i="9"/>
  <c r="D10" i="17"/>
  <c r="J17" i="6"/>
  <c r="L11" i="16"/>
  <c r="M11" i="16" s="1"/>
  <c r="F10" i="17"/>
  <c r="L13" i="7"/>
  <c r="M13" i="7" s="1"/>
  <c r="J16" i="6"/>
  <c r="J12" i="6"/>
  <c r="K12" i="6" s="1"/>
  <c r="M7" i="9"/>
  <c r="M9" i="9"/>
  <c r="L15" i="6"/>
  <c r="M15" i="6" s="1"/>
  <c r="M8" i="9"/>
  <c r="L14" i="6"/>
  <c r="M14" i="6" s="1"/>
  <c r="J9" i="6"/>
  <c r="K9" i="6" s="1"/>
  <c r="K4" i="6"/>
  <c r="L4" i="6" s="1"/>
  <c r="M4" i="6" s="1"/>
  <c r="I7" i="6"/>
  <c r="J7" i="6" s="1"/>
  <c r="K7" i="6" s="1"/>
  <c r="B8" i="2"/>
  <c r="B10" i="14"/>
  <c r="B7" i="14"/>
  <c r="B6" i="2"/>
  <c r="B4" i="15"/>
  <c r="B4" i="2"/>
  <c r="I8" i="6"/>
  <c r="J6" i="6"/>
  <c r="K5" i="6"/>
  <c r="L5" i="6" s="1"/>
  <c r="L11" i="6" l="1"/>
  <c r="M11" i="6" s="1"/>
  <c r="M6" i="7"/>
  <c r="D19" i="7"/>
  <c r="D11" i="17"/>
  <c r="B4" i="14" s="1"/>
  <c r="D11" i="9"/>
  <c r="B3" i="14" s="1"/>
  <c r="D19" i="10"/>
  <c r="D19" i="16"/>
  <c r="M10" i="16"/>
  <c r="J10" i="6"/>
  <c r="K10" i="6" s="1"/>
  <c r="K17" i="6"/>
  <c r="L17" i="6" s="1"/>
  <c r="M17" i="6" s="1"/>
  <c r="M4" i="7"/>
  <c r="D20" i="7" s="1"/>
  <c r="M14" i="10"/>
  <c r="K16" i="6"/>
  <c r="L16" i="6" s="1"/>
  <c r="M16" i="6" s="1"/>
  <c r="L12" i="6"/>
  <c r="M12" i="6" s="1"/>
  <c r="L9" i="6"/>
  <c r="M9" i="6" s="1"/>
  <c r="L7" i="6"/>
  <c r="M7" i="6" s="1"/>
  <c r="J8" i="6"/>
  <c r="K8" i="6" s="1"/>
  <c r="K6" i="6"/>
  <c r="M5" i="6"/>
  <c r="B3" i="15" l="1"/>
  <c r="B3" i="2"/>
  <c r="L10" i="6"/>
  <c r="M10" i="6" s="1"/>
  <c r="L8" i="6"/>
  <c r="L6" i="6"/>
  <c r="M6" i="6" s="1"/>
  <c r="D19" i="6" l="1"/>
  <c r="D20" i="6"/>
  <c r="B9" i="14" s="1"/>
  <c r="M8" i="6"/>
  <c r="B7" i="2" l="1"/>
  <c r="B7" i="15"/>
</calcChain>
</file>

<file path=xl/sharedStrings.xml><?xml version="1.0" encoding="utf-8"?>
<sst xmlns="http://schemas.openxmlformats.org/spreadsheetml/2006/main" count="295" uniqueCount="66">
  <si>
    <t>Klant</t>
  </si>
  <si>
    <t>Losdatum</t>
  </si>
  <si>
    <t>Levertijd</t>
  </si>
  <si>
    <t>Vervoerder</t>
  </si>
  <si>
    <t>Opmerking</t>
  </si>
  <si>
    <t>Colruyt</t>
  </si>
  <si>
    <t>Hendrikx</t>
  </si>
  <si>
    <t>prognoose</t>
  </si>
  <si>
    <t>Carrefour FIF</t>
  </si>
  <si>
    <t>Van Tilburg</t>
  </si>
  <si>
    <t>Carrefour KDC</t>
  </si>
  <si>
    <t>PP</t>
  </si>
  <si>
    <t>Heeren</t>
  </si>
  <si>
    <t>SVZ</t>
  </si>
  <si>
    <t>Havi Duisburg</t>
  </si>
  <si>
    <t>Artikal number</t>
  </si>
  <si>
    <t>Productnaam</t>
  </si>
  <si>
    <t>Amount</t>
  </si>
  <si>
    <t>Eenheid</t>
  </si>
  <si>
    <t>Box Type</t>
  </si>
  <si>
    <t>S</t>
  </si>
  <si>
    <t>M</t>
  </si>
  <si>
    <t>L</t>
  </si>
  <si>
    <t>Pallet places: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</si>
  <si>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</si>
  <si>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Collo</t>
  </si>
  <si>
    <t>Total Pallet places:</t>
  </si>
  <si>
    <t>Unit</t>
  </si>
  <si>
    <t>Stuk</t>
  </si>
  <si>
    <t>COLRUYT</t>
  </si>
  <si>
    <t>Hendrikx/SVZ</t>
  </si>
  <si>
    <t>CARREFOUR FIF</t>
  </si>
  <si>
    <t>CARREFOUR KDC</t>
  </si>
  <si>
    <t>Product Name</t>
  </si>
  <si>
    <t>Ordered Amount</t>
  </si>
  <si>
    <t>P1</t>
  </si>
  <si>
    <t>P2</t>
  </si>
  <si>
    <t>P3</t>
  </si>
  <si>
    <t>P4</t>
  </si>
  <si>
    <t>P5</t>
  </si>
  <si>
    <t>P6</t>
  </si>
  <si>
    <t>P7</t>
  </si>
  <si>
    <t>Pallet places</t>
  </si>
  <si>
    <t>Total pallets:</t>
  </si>
  <si>
    <t>Pallet Places:</t>
  </si>
  <si>
    <t>Art. Number</t>
  </si>
  <si>
    <t>Full Pallet Qt. (Collo/Stuks)</t>
  </si>
  <si>
    <t>Full Pallet Quantity</t>
  </si>
  <si>
    <t>Havi Netherlands</t>
  </si>
  <si>
    <t>Duisburg:</t>
  </si>
  <si>
    <t>Ilsfeld:</t>
  </si>
  <si>
    <t>Günzburg:</t>
  </si>
  <si>
    <t>Neu-Wulmstorf:</t>
  </si>
  <si>
    <t>Bingen</t>
  </si>
  <si>
    <t>Wunstorf:</t>
  </si>
  <si>
    <t>McD Onions Slivered 20*(3x200g) DE</t>
  </si>
  <si>
    <t>Full Pallet</t>
  </si>
  <si>
    <t>City</t>
  </si>
  <si>
    <t>Havi Belgium</t>
  </si>
  <si>
    <t>Pallets</t>
  </si>
  <si>
    <t>Palletplaatsen (PP)</t>
  </si>
  <si>
    <t>cases</t>
  </si>
  <si>
    <t>DOUBLE CHECK THE DATES AND AMOUNTS OF PALLETPLACES!</t>
  </si>
  <si>
    <t xml:space="preserve">YOU NEED ONLY TO COPY-PASTE ORDER IN EACH SHEET </t>
  </si>
  <si>
    <t>Column1</t>
  </si>
  <si>
    <t>Pallet place: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</si>
</sst>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h:mm;@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86"/>
    </font>
    <font>
      <sz val="11"/>
      <name val="Calibri"/>
      <family val="2"/>
      <charset val="186"/>
    </font>
    <font>
      <b/>
      <sz val="22"/>
      <color rgb="FF000000"/>
      <name val="Calibri"/>
      <family val="2"/>
    </font>
    <font>
      <sz val="11"/>
      <color rgb="FF000000"/>
      <name val="Calibri"/>
      <family val="2"/>
    </font>
    <font>
      <b/>
      <sz val="26"/>
      <color rgb="FF000000"/>
      <name val="Calibri"/>
      <family val="2"/>
      <charset val="186"/>
    </font>
    <font>
      <b/>
      <sz val="11"/>
      <color rgb="FF000000"/>
      <name val="Calibri"/>
      <family val="2"/>
      <charset val="186"/>
    </font>
    <font>
      <sz val="15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FFFF00"/>
      <name val="Calibri"/>
      <family val="2"/>
    </font>
    <font>
      <b/>
      <sz val="16"/>
      <name val="Calibri"/>
      <family val="2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rgb="FF000000"/>
      <name val="Aptos"/>
      <family val="2"/>
    </font>
    <font>
      <sz val="11"/>
      <color rgb="FF000000"/>
      <name val="Aptos"/>
      <family val="2"/>
    </font>
    <font>
      <sz val="11"/>
      <color rgb="FF000000"/>
      <name val="Inherit"/>
    </font>
    <font>
      <sz val="15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rgb="FF242424"/>
      <name val="Arial"/>
      <family val="2"/>
    </font>
    <font>
      <sz val="11"/>
      <color rgb="FF000000"/>
      <name val="Calibri"/>
      <family val="2"/>
    </font>
    <font>
      <sz val="12"/>
      <color rgb="FF000000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5" fillId="0" borderId="0"/>
  </cellStyleXfs>
  <cellXfs count="138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3"/>
    <xf numFmtId="0" fontId="6" fillId="0" borderId="0" xfId="3" applyFont="1"/>
    <xf numFmtId="0" fontId="5" fillId="0" borderId="0" xfId="3" applyAlignment="1">
      <alignment horizontal="center" vertical="center"/>
    </xf>
    <xf numFmtId="0" fontId="8" fillId="3" borderId="0" xfId="0" applyFont="1" applyFill="1" applyAlignment="1">
      <alignment vertical="center"/>
    </xf>
    <xf numFmtId="0" fontId="6" fillId="0" borderId="0" xfId="0" applyFont="1"/>
    <xf numFmtId="0" fontId="8" fillId="0" borderId="0" xfId="0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4" borderId="13" xfId="3" applyFont="1" applyFill="1" applyBorder="1" applyAlignment="1">
      <alignment horizontal="center" vertical="center"/>
    </xf>
    <xf numFmtId="0" fontId="8" fillId="0" borderId="0" xfId="3" applyFont="1" applyAlignment="1">
      <alignment vertical="center"/>
    </xf>
    <xf numFmtId="1" fontId="5" fillId="0" borderId="0" xfId="3" applyNumberFormat="1" applyAlignment="1">
      <alignment horizontal="center" vertical="center"/>
    </xf>
    <xf numFmtId="0" fontId="10" fillId="5" borderId="0" xfId="3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12" fillId="7" borderId="2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/>
    </xf>
    <xf numFmtId="1" fontId="14" fillId="8" borderId="2" xfId="2" applyNumberFormat="1" applyFont="1" applyFill="1" applyBorder="1" applyAlignment="1">
      <alignment horizontal="center" vertical="center"/>
    </xf>
    <xf numFmtId="0" fontId="9" fillId="4" borderId="14" xfId="3" applyFont="1" applyFill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0" fillId="4" borderId="0" xfId="0" applyFill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9" fillId="4" borderId="4" xfId="3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1" fontId="14" fillId="8" borderId="4" xfId="2" applyNumberFormat="1" applyFont="1" applyFill="1" applyBorder="1" applyAlignment="1">
      <alignment horizontal="center" vertical="center"/>
    </xf>
    <xf numFmtId="0" fontId="13" fillId="0" borderId="17" xfId="0" applyFont="1" applyBorder="1" applyAlignment="1">
      <alignment vertical="center"/>
    </xf>
    <xf numFmtId="164" fontId="15" fillId="0" borderId="4" xfId="0" applyNumberFormat="1" applyFont="1" applyBorder="1" applyAlignment="1">
      <alignment horizontal="center" vertical="center" wrapText="1"/>
    </xf>
    <xf numFmtId="0" fontId="17" fillId="9" borderId="4" xfId="1" applyFont="1" applyFill="1" applyBorder="1" applyAlignment="1">
      <alignment horizontal="center" vertical="center"/>
    </xf>
    <xf numFmtId="1" fontId="17" fillId="9" borderId="4" xfId="0" applyNumberFormat="1" applyFont="1" applyFill="1" applyBorder="1" applyAlignment="1">
      <alignment horizontal="center" vertical="center"/>
    </xf>
    <xf numFmtId="14" fontId="17" fillId="9" borderId="4" xfId="0" applyNumberFormat="1" applyFont="1" applyFill="1" applyBorder="1" applyAlignment="1">
      <alignment horizontal="center" vertical="center"/>
    </xf>
    <xf numFmtId="20" fontId="17" fillId="9" borderId="4" xfId="1" applyNumberFormat="1" applyFont="1" applyFill="1" applyBorder="1" applyAlignment="1">
      <alignment horizontal="center" vertical="center"/>
    </xf>
    <xf numFmtId="49" fontId="17" fillId="9" borderId="4" xfId="0" applyNumberFormat="1" applyFont="1" applyFill="1" applyBorder="1" applyAlignment="1">
      <alignment horizontal="center" vertical="center"/>
    </xf>
    <xf numFmtId="164" fontId="17" fillId="9" borderId="4" xfId="0" applyNumberFormat="1" applyFont="1" applyFill="1" applyBorder="1" applyAlignment="1">
      <alignment horizontal="center" vertical="center"/>
    </xf>
    <xf numFmtId="0" fontId="17" fillId="0" borderId="4" xfId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4" fontId="15" fillId="0" borderId="4" xfId="0" applyNumberFormat="1" applyFont="1" applyBorder="1" applyAlignment="1">
      <alignment horizontal="center" vertical="center"/>
    </xf>
    <xf numFmtId="20" fontId="17" fillId="0" borderId="4" xfId="1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4" fontId="15" fillId="0" borderId="4" xfId="0" applyNumberFormat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1" fontId="17" fillId="0" borderId="4" xfId="0" applyNumberFormat="1" applyFont="1" applyBorder="1" applyAlignment="1">
      <alignment horizontal="center" vertical="center"/>
    </xf>
    <xf numFmtId="0" fontId="14" fillId="11" borderId="4" xfId="0" applyFont="1" applyFill="1" applyBorder="1" applyAlignment="1">
      <alignment horizontal="center" vertical="center"/>
    </xf>
    <xf numFmtId="1" fontId="14" fillId="11" borderId="4" xfId="2" applyNumberFormat="1" applyFont="1" applyFill="1" applyBorder="1" applyAlignment="1">
      <alignment horizontal="center" vertical="center"/>
    </xf>
    <xf numFmtId="0" fontId="9" fillId="11" borderId="14" xfId="3" applyFont="1" applyFill="1" applyBorder="1" applyAlignment="1">
      <alignment horizontal="center" vertical="center"/>
    </xf>
    <xf numFmtId="0" fontId="20" fillId="0" borderId="19" xfId="0" applyFont="1" applyBorder="1" applyAlignment="1">
      <alignment vertical="center"/>
    </xf>
    <xf numFmtId="0" fontId="20" fillId="0" borderId="24" xfId="0" applyFont="1" applyBorder="1" applyAlignment="1">
      <alignment vertical="center"/>
    </xf>
    <xf numFmtId="0" fontId="20" fillId="0" borderId="2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10" fillId="5" borderId="0" xfId="3" applyFont="1" applyFill="1" applyAlignment="1">
      <alignment horizontal="center" vertical="center"/>
    </xf>
    <xf numFmtId="16" fontId="0" fillId="0" borderId="0" xfId="0" applyNumberFormat="1"/>
    <xf numFmtId="14" fontId="0" fillId="0" borderId="0" xfId="0" applyNumberFormat="1"/>
    <xf numFmtId="0" fontId="5" fillId="0" borderId="0" xfId="3" applyAlignment="1">
      <alignment horizontal="center"/>
    </xf>
    <xf numFmtId="0" fontId="14" fillId="10" borderId="3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5" fillId="0" borderId="0" xfId="3" applyAlignment="1">
      <alignment horizontal="left"/>
    </xf>
    <xf numFmtId="0" fontId="5" fillId="0" borderId="0" xfId="3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14" fontId="13" fillId="0" borderId="0" xfId="0" applyNumberFormat="1" applyFont="1" applyAlignment="1">
      <alignment horizontal="center" vertical="center"/>
    </xf>
    <xf numFmtId="0" fontId="22" fillId="12" borderId="0" xfId="0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23" fillId="12" borderId="0" xfId="0" applyFont="1" applyFill="1" applyAlignment="1">
      <alignment horizontal="left" vertical="center"/>
    </xf>
    <xf numFmtId="4" fontId="23" fillId="12" borderId="0" xfId="0" applyNumberFormat="1" applyFont="1" applyFill="1" applyAlignment="1">
      <alignment horizontal="left" vertical="center"/>
    </xf>
    <xf numFmtId="0" fontId="24" fillId="0" borderId="0" xfId="0" applyFont="1" applyAlignment="1">
      <alignment horizontal="left"/>
    </xf>
    <xf numFmtId="0" fontId="22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6" fillId="12" borderId="24" xfId="0" applyFont="1" applyFill="1" applyBorder="1" applyAlignment="1">
      <alignment horizontal="center" vertical="center" wrapText="1"/>
    </xf>
    <xf numFmtId="14" fontId="25" fillId="0" borderId="0" xfId="0" applyNumberFormat="1" applyFont="1" applyAlignment="1">
      <alignment horizontal="center" vertical="center"/>
    </xf>
    <xf numFmtId="0" fontId="27" fillId="0" borderId="0" xfId="3" applyFont="1" applyAlignment="1">
      <alignment vertical="center"/>
    </xf>
    <xf numFmtId="0" fontId="27" fillId="0" borderId="0" xfId="3" applyFont="1" applyAlignment="1">
      <alignment horizontal="center" vertical="center"/>
    </xf>
    <xf numFmtId="0" fontId="28" fillId="0" borderId="0" xfId="0" applyFont="1"/>
    <xf numFmtId="49" fontId="16" fillId="2" borderId="4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4" borderId="0" xfId="0" applyFont="1" applyFill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4" fillId="0" borderId="2" xfId="0" applyFont="1" applyBorder="1" applyAlignment="1">
      <alignment horizontal="right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0" fontId="7" fillId="0" borderId="20" xfId="3" applyFont="1" applyBorder="1" applyAlignment="1">
      <alignment horizontal="center" vertical="center"/>
    </xf>
    <xf numFmtId="0" fontId="7" fillId="0" borderId="19" xfId="3" applyFont="1" applyBorder="1" applyAlignment="1">
      <alignment horizontal="center" vertical="center"/>
    </xf>
    <xf numFmtId="0" fontId="7" fillId="0" borderId="21" xfId="3" applyFont="1" applyBorder="1" applyAlignment="1">
      <alignment horizontal="center" vertical="center"/>
    </xf>
    <xf numFmtId="0" fontId="7" fillId="0" borderId="16" xfId="3" applyFont="1" applyBorder="1" applyAlignment="1">
      <alignment horizontal="center" vertical="center"/>
    </xf>
    <xf numFmtId="0" fontId="7" fillId="0" borderId="18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22" xfId="3" applyFont="1" applyBorder="1" applyAlignment="1">
      <alignment horizontal="center" vertical="center"/>
    </xf>
    <xf numFmtId="0" fontId="7" fillId="0" borderId="9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7" fillId="0" borderId="11" xfId="3" applyFont="1" applyBorder="1" applyAlignment="1">
      <alignment horizontal="center"/>
    </xf>
    <xf numFmtId="0" fontId="7" fillId="0" borderId="13" xfId="3" applyFont="1" applyBorder="1" applyAlignment="1">
      <alignment horizontal="center"/>
    </xf>
    <xf numFmtId="0" fontId="7" fillId="0" borderId="14" xfId="3" applyFont="1" applyBorder="1" applyAlignment="1">
      <alignment horizontal="center"/>
    </xf>
    <xf numFmtId="0" fontId="7" fillId="0" borderId="15" xfId="3" applyFont="1" applyBorder="1" applyAlignment="1">
      <alignment horizontal="center"/>
    </xf>
    <xf numFmtId="0" fontId="9" fillId="4" borderId="5" xfId="3" applyFont="1" applyFill="1" applyBorder="1" applyAlignment="1">
      <alignment horizontal="center" vertical="center"/>
    </xf>
    <xf numFmtId="0" fontId="9" fillId="4" borderId="6" xfId="3" applyFont="1" applyFill="1" applyBorder="1" applyAlignment="1">
      <alignment horizontal="center" vertical="center"/>
    </xf>
    <xf numFmtId="0" fontId="9" fillId="4" borderId="7" xfId="3" applyFont="1" applyFill="1" applyBorder="1" applyAlignment="1">
      <alignment horizontal="center" vertical="center"/>
    </xf>
    <xf numFmtId="0" fontId="7" fillId="0" borderId="12" xfId="3" applyFont="1" applyBorder="1" applyAlignment="1">
      <alignment horizontal="center"/>
    </xf>
    <xf numFmtId="0" fontId="7" fillId="0" borderId="2" xfId="3" applyFont="1" applyBorder="1" applyAlignment="1">
      <alignment horizontal="center"/>
    </xf>
    <xf numFmtId="0" fontId="9" fillId="11" borderId="13" xfId="3" applyFont="1" applyFill="1" applyBorder="1" applyAlignment="1">
      <alignment horizontal="center" vertical="center"/>
    </xf>
    <xf numFmtId="0" fontId="9" fillId="11" borderId="14" xfId="3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4" fillId="0" borderId="5" xfId="0" applyFont="1" applyBorder="1" applyAlignment="1">
      <alignment horizontal="right" vertical="center"/>
    </xf>
    <xf numFmtId="0" fontId="14" fillId="0" borderId="6" xfId="0" applyFont="1" applyBorder="1" applyAlignment="1">
      <alignment horizontal="right" vertical="center"/>
    </xf>
    <xf numFmtId="0" fontId="14" fillId="0" borderId="7" xfId="0" applyFont="1" applyBorder="1" applyAlignment="1">
      <alignment horizontal="right" vertical="center"/>
    </xf>
  </cellXfs>
  <cellStyles count="4">
    <cellStyle name="Comma" xfId="2" builtinId="3"/>
    <cellStyle name="Normal" xfId="0" builtinId="0"/>
    <cellStyle name="Normal 2" xfId="3" xr:uid="{D656AFDB-3C1B-4EC9-93B0-3F9C8784D94D}"/>
    <cellStyle name="Standaard 3" xfId="1" xr:uid="{00000000-0005-0000-0000-000001000000}"/>
  </cellStyles>
  <dxfs count="49"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86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86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0000"/>
        <name val="Aptos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CCFF"/>
      <color rgb="FFFFCCFF"/>
      <color rgb="FFCCFFCC"/>
      <color rgb="FFFFCC99"/>
      <color rgb="FF66CCFF"/>
      <color rgb="FFCCFF99"/>
      <color rgb="FFFFFFCC"/>
      <color rgb="FFCCFFFF"/>
      <color rgb="FF99FFCC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9922</xdr:rowOff>
    </xdr:from>
    <xdr:to>
      <xdr:col>4</xdr:col>
      <xdr:colOff>1676797</xdr:colOff>
      <xdr:row>28</xdr:row>
      <xdr:rowOff>178594</xdr:rowOff>
    </xdr:to>
    <xdr:sp macro="[0]!Module1.Sending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DCE195-3606-CDC3-C3D9-6BC687D75254}"/>
            </a:ext>
          </a:extLst>
        </xdr:cNvPr>
        <xdr:cNvSpPr/>
      </xdr:nvSpPr>
      <xdr:spPr>
        <a:xfrm>
          <a:off x="4167188" y="4325938"/>
          <a:ext cx="6647656" cy="205382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7200"/>
            <a:t>SEND EMAIL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1855390</xdr:colOff>
      <xdr:row>15</xdr:row>
      <xdr:rowOff>119063</xdr:rowOff>
    </xdr:from>
    <xdr:to>
      <xdr:col>4</xdr:col>
      <xdr:colOff>446484</xdr:colOff>
      <xdr:row>26</xdr:row>
      <xdr:rowOff>99219</xdr:rowOff>
    </xdr:to>
    <xdr:sp macro="[0]!Module2.SendingEmai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BE1859-CFB3-4FD4-AB0C-2D4C2BF977EC}"/>
            </a:ext>
          </a:extLst>
        </xdr:cNvPr>
        <xdr:cNvSpPr/>
      </xdr:nvSpPr>
      <xdr:spPr>
        <a:xfrm>
          <a:off x="1855390" y="4484688"/>
          <a:ext cx="8255000" cy="205382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7200"/>
            <a:t>SEND EMAIL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9922</xdr:rowOff>
    </xdr:from>
    <xdr:to>
      <xdr:col>4</xdr:col>
      <xdr:colOff>1676797</xdr:colOff>
      <xdr:row>28</xdr:row>
      <xdr:rowOff>178594</xdr:rowOff>
    </xdr:to>
    <xdr:sp macro="[0]!Module3.Sending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C5D6DE-6FA5-45B8-A643-7A34B4180117}"/>
            </a:ext>
          </a:extLst>
        </xdr:cNvPr>
        <xdr:cNvSpPr/>
      </xdr:nvSpPr>
      <xdr:spPr>
        <a:xfrm>
          <a:off x="3019425" y="4553347"/>
          <a:ext cx="8315722" cy="207367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7200"/>
            <a:t>SEND EMAIL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023F25-C20E-499D-8DB8-3751E96B72C6}" name="Table1" displayName="Table1" ref="A3:E45" totalsRowShown="0" headerRowDxfId="45" dataDxfId="44">
  <autoFilter ref="A3:E45" xr:uid="{6B023F25-C20E-499D-8DB8-3751E96B72C6}"/>
  <tableColumns count="5">
    <tableColumn id="1" xr3:uid="{1B953EAE-5260-403B-A034-B07988529C8A}" name="Artikal number" dataDxfId="43"/>
    <tableColumn id="2" xr3:uid="{68BB5D07-3BCF-4574-A3FB-9427C2E7E1D1}" name="Productnaam" dataDxfId="42"/>
    <tableColumn id="3" xr3:uid="{C756D239-74EE-450B-8CE6-FCC57687B133}" name="Amount" dataDxfId="41"/>
    <tableColumn id="4" xr3:uid="{CA0AA7DD-BB61-40FF-A094-6D6F0CC1E763}" name="Eenheid" dataDxfId="40"/>
    <tableColumn id="5" xr3:uid="{E2E3DBA0-06E9-4F96-B93E-B7EB1FA1A0EF}" name="Box Type" dataDxfId="39">
      <calculatedColumnFormula>IF(ISNUMBER(MATCH(A4,Table2[S],0)), "S", IF(ISNUMBER(MATCH(A4,Table2[M],0)), "M", IF(ISNUMBER(MATCH(A4,Table2[L],0)), "L")))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A08842-3DC5-4E23-B904-9DC5CFA19E19}" name="Table2" displayName="Table2" ref="H3:J70" totalsRowShown="0" headerRowDxfId="38" dataDxfId="37">
  <autoFilter ref="H3:J70" xr:uid="{93A08842-3DC5-4E23-B904-9DC5CFA19E19}"/>
  <tableColumns count="3">
    <tableColumn id="1" xr3:uid="{7E7433C9-B52D-453F-922F-6164A6E90E51}" name="S" dataDxfId="36"/>
    <tableColumn id="2" xr3:uid="{F3F73193-B8DF-481A-9664-2542FF29D22A}" name="M" dataDxfId="35"/>
    <tableColumn id="3" xr3:uid="{1CD28E90-D9F9-4D7B-BDE0-53BC4818E504}" name="L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913C23-17C7-4BDA-9A7E-400E11F63C6C}" name="Table19" displayName="Table19" ref="A3:E45" totalsRowShown="0" headerRowDxfId="33" dataDxfId="32">
  <autoFilter ref="A3:E45" xr:uid="{00000000-0009-0000-0100-000001000000}"/>
  <tableColumns count="5">
    <tableColumn id="1" xr3:uid="{E7430056-51BA-4697-AF1D-B223D225BA03}" name="Artikal number" dataDxfId="31"/>
    <tableColumn id="2" xr3:uid="{7BBF9655-69A0-4F96-8E74-3DD325E77C5F}" name="Productnaam" dataDxfId="30"/>
    <tableColumn id="3" xr3:uid="{F4661178-26D8-4E6D-84D2-B30556587314}" name="Amount" dataDxfId="29"/>
    <tableColumn id="4" xr3:uid="{AB92DA22-D196-45D9-972E-B27DCE37B556}" name="Eenheid" dataDxfId="28"/>
    <tableColumn id="5" xr3:uid="{EF1036B8-3B8E-4CCA-9DFA-47C288EFD87D}" name="Box Type" dataDxfId="27">
      <calculatedColumnFormula>IF(ISNUMBER(MATCH(A4,Table2[S],0)), "S", IF(ISNUMBER(MATCH(A4,Table2[M],0)), "M", IF(ISNUMBER(MATCH(A4,Table2[L],0)), "L")))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B8D8D7-4B66-4D38-95E8-7AC9A63273A9}" name="Table210" displayName="Table210" ref="H3:J70" totalsRowShown="0" dataDxfId="26">
  <autoFilter ref="H3:J70" xr:uid="{00000000-0009-0000-0100-000002000000}"/>
  <tableColumns count="3">
    <tableColumn id="1" xr3:uid="{9DBA5B23-9481-4D74-AF6E-F14A0918D4EA}" name="S" dataDxfId="25"/>
    <tableColumn id="2" xr3:uid="{C3750759-C69B-40F5-9B3B-8ACC22E9998B}" name="M" dataDxfId="24"/>
    <tableColumn id="3" xr3:uid="{364A91B9-820F-41A2-B9CC-4C8A74C79C1F}" name="L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3B9024-1F46-4C06-B0A6-0C40C8FA1194}" name="Table3" displayName="Table3" ref="A1:E1048576" totalsRowShown="0" headerRowDxfId="22" dataDxfId="21" headerRowCellStyle="Normal 2">
  <autoFilter ref="A1:E1048576" xr:uid="{4673B5C0-85B9-499D-ACC9-52F26E9F6638}"/>
  <tableColumns count="5">
    <tableColumn id="1" xr3:uid="{7358A2AD-F9DC-4986-9E4A-A3FC2BB58C88}" name="Artikal number" dataDxfId="20"/>
    <tableColumn id="2" xr3:uid="{53A8650D-9230-4AF3-A1A9-79F1FA6943E2}" name="Productnaam" dataDxfId="19"/>
    <tableColumn id="3" xr3:uid="{576E4E31-563B-4A22-84BA-1D6A957C4BFB}" name="Amount" dataDxfId="18"/>
    <tableColumn id="4" xr3:uid="{CA8D0353-AB9F-491E-AC52-3DCAA80CD567}" name="Column1" dataDxfId="17"/>
    <tableColumn id="5" xr3:uid="{B42D866A-0C2D-4455-9556-70DC4640094D}" name="PP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80991C-44B6-49CD-B7E5-48C9E01D0FD6}" name="Table32" displayName="Table32" ref="A1:F1048576" totalsRowShown="0" headerRowDxfId="15" headerRowCellStyle="Normal 2">
  <autoFilter ref="A1:F1048576" xr:uid="{4673B5C0-85B9-499D-ACC9-52F26E9F6638}"/>
  <tableColumns count="6">
    <tableColumn id="1" xr3:uid="{192FAF4C-74A0-4AE0-BA1C-80B26EBE8479}" name="Artikal number"/>
    <tableColumn id="2" xr3:uid="{598572FF-7666-4F51-A7EE-65F73DFDEB78}" name="Productnaam"/>
    <tableColumn id="3" xr3:uid="{D07DAB8F-6011-4071-A9C3-08AE34552A6A}" name="Amount"/>
    <tableColumn id="4" xr3:uid="{3B96C1AD-2BBD-443C-A229-BDD802C3FDA3}" name="Collo"/>
    <tableColumn id="5" xr3:uid="{9F6F3493-3056-4B74-9029-ED607FE44C4A}" name="PP"/>
    <tableColumn id="6" xr3:uid="{2E501B3D-749E-48E4-8E30-B6FFDE1C81C0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drawing" Target="../drawings/drawing1.xml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8.bin"/><Relationship Id="rId1" Type="http://schemas.openxmlformats.org/officeDocument/2006/relationships/externalLinkPath" Target="/personal/exp-venlo_hessing_eu/Documents/Bureaublad/All%20customers/Carrefour/Carrefour%20pp%20(final).xlsx" TargetMode="Externa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19.bin"/><Relationship Id="rId1" Type="http://schemas.openxmlformats.org/officeDocument/2006/relationships/externalLinkPath" Target="/personal/exp-venlo_hessing_eu/Documents/Bureaublad/All%20customers/Carrefour/Carrefour%20pp%20(final).xlsx" TargetMode="Externa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0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tabColor rgb="FF00B0F0"/>
    <pageSetUpPr fitToPage="1"/>
  </sheetPr>
  <dimension ref="A1:V137"/>
  <sheetViews>
    <sheetView zoomScale="96" zoomScaleNormal="96" workbookViewId="0">
      <selection activeCell="D4" sqref="D4"/>
    </sheetView>
  </sheetViews>
  <sheetFormatPr defaultColWidth="9.140625" defaultRowHeight="15"/>
  <cols>
    <col min="1" max="1" width="45.28515625" style="1" customWidth="1"/>
    <col min="2" max="2" width="40.28515625" style="1" customWidth="1"/>
    <col min="3" max="3" width="32.7109375" style="1" customWidth="1"/>
    <col min="4" max="4" width="25.5703125" style="1" customWidth="1"/>
    <col min="5" max="5" width="28.28515625" style="1" customWidth="1"/>
    <col min="6" max="6" width="27.140625" style="1" customWidth="1"/>
    <col min="7" max="13" width="9.140625" style="1"/>
    <col min="14" max="14" width="9.5703125" style="1" customWidth="1"/>
    <col min="15" max="16384" width="9.140625" style="1"/>
  </cols>
  <sheetData>
    <row r="1" spans="1:22" ht="22.5" customHeight="1" thickBot="1">
      <c r="A1" s="37" t="s">
        <v>0</v>
      </c>
      <c r="B1" s="37" t="s">
        <v>60</v>
      </c>
      <c r="C1" s="37" t="s">
        <v>1</v>
      </c>
      <c r="D1" s="37" t="s">
        <v>2</v>
      </c>
      <c r="E1" s="37" t="s">
        <v>3</v>
      </c>
      <c r="F1" s="37" t="s">
        <v>4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22" ht="22.5" customHeight="1" thickBot="1">
      <c r="A2" s="97"/>
      <c r="B2" s="97"/>
      <c r="C2" s="97"/>
      <c r="D2" s="97"/>
      <c r="E2" s="97"/>
      <c r="F2" s="97"/>
      <c r="G2" s="29"/>
      <c r="H2" s="99" t="s">
        <v>62</v>
      </c>
      <c r="I2" s="99"/>
      <c r="J2" s="99"/>
      <c r="K2" s="99"/>
      <c r="L2" s="99"/>
      <c r="M2" s="99"/>
      <c r="N2" s="99"/>
      <c r="O2" s="29"/>
      <c r="P2" s="29"/>
      <c r="Q2" s="29"/>
      <c r="R2" s="29"/>
      <c r="S2" s="29"/>
      <c r="T2" s="29"/>
      <c r="U2" s="29"/>
      <c r="V2" s="29"/>
    </row>
    <row r="3" spans="1:22" ht="22.5" customHeight="1" thickBot="1">
      <c r="A3" s="38" t="s">
        <v>14</v>
      </c>
      <c r="B3" s="39">
        <f>'Havi Duisburg'!D11</f>
        <v>0</v>
      </c>
      <c r="C3" s="40">
        <f ca="1">TODAY()+1</f>
        <v>46165</v>
      </c>
      <c r="D3" s="41">
        <v>0.64583333333333337</v>
      </c>
      <c r="E3" s="42" t="s">
        <v>30</v>
      </c>
      <c r="F3" s="43" t="s">
        <v>7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</row>
    <row r="4" spans="1:22" ht="22.5" customHeight="1" thickBot="1">
      <c r="A4" s="44" t="s">
        <v>8</v>
      </c>
      <c r="B4" s="45">
        <f>'Carrefour FIF'!M5</f>
        <v>0</v>
      </c>
      <c r="C4" s="46">
        <f ca="1">TODAY()</f>
        <v>46164</v>
      </c>
      <c r="D4" s="47">
        <v>0.45833333333333331</v>
      </c>
      <c r="E4" s="48" t="s">
        <v>9</v>
      </c>
      <c r="F4" s="49" t="s">
        <v>7</v>
      </c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2" ht="22.5" customHeight="1" thickBot="1">
      <c r="A5" s="97"/>
      <c r="B5" s="97"/>
      <c r="C5" s="97"/>
      <c r="D5" s="97"/>
      <c r="E5" s="97"/>
      <c r="F5" s="97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</row>
    <row r="6" spans="1:22" ht="22.5" customHeight="1" thickBot="1">
      <c r="A6" s="50" t="s">
        <v>5</v>
      </c>
      <c r="B6" s="45">
        <f>Colruyt!M3</f>
        <v>0</v>
      </c>
      <c r="C6" s="46">
        <f ca="1">TODAY()+2</f>
        <v>46166</v>
      </c>
      <c r="D6" s="47">
        <v>6.25E-2</v>
      </c>
      <c r="E6" s="48" t="s">
        <v>6</v>
      </c>
      <c r="F6" s="49" t="s">
        <v>7</v>
      </c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</row>
    <row r="7" spans="1:22" ht="22.5" customHeight="1" thickBot="1">
      <c r="A7" s="44" t="s">
        <v>12</v>
      </c>
      <c r="B7" s="51">
        <f>Heeren!D20</f>
        <v>0</v>
      </c>
      <c r="C7" s="46">
        <f ca="1">TODAY()+2</f>
        <v>46166</v>
      </c>
      <c r="D7" s="47">
        <v>0.21875</v>
      </c>
      <c r="E7" s="48" t="s">
        <v>13</v>
      </c>
      <c r="F7" s="49" t="s">
        <v>7</v>
      </c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</row>
    <row r="8" spans="1:22" ht="22.5" customHeight="1" thickBot="1">
      <c r="A8" s="44" t="s">
        <v>10</v>
      </c>
      <c r="B8" s="45">
        <f>'Carrefour KDC'!M5</f>
        <v>0</v>
      </c>
      <c r="C8" s="46">
        <f ca="1">TODAY()+1</f>
        <v>46165</v>
      </c>
      <c r="D8" s="47">
        <v>0.13541666666666666</v>
      </c>
      <c r="E8" s="48" t="s">
        <v>9</v>
      </c>
      <c r="F8" s="49" t="s">
        <v>7</v>
      </c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</row>
    <row r="9" spans="1:22" ht="22.5" customHeight="1" thickBot="1">
      <c r="A9" s="97"/>
      <c r="B9" s="97"/>
      <c r="C9" s="97"/>
      <c r="D9" s="97"/>
      <c r="E9" s="97"/>
      <c r="F9" s="97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</row>
    <row r="10" spans="1:2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</row>
    <row r="11" spans="1:22" ht="14.25" customHeight="1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</row>
    <row r="12" spans="1:22">
      <c r="A12" s="100" t="s">
        <v>63</v>
      </c>
      <c r="B12" s="100"/>
      <c r="C12" s="100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</row>
    <row r="13" spans="1:22">
      <c r="A13" s="100"/>
      <c r="B13" s="100"/>
      <c r="C13" s="100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</row>
    <row r="14" spans="1:22">
      <c r="A14" s="100"/>
      <c r="B14" s="100"/>
      <c r="C14" s="100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</row>
    <row r="15" spans="1:22">
      <c r="A15" s="100"/>
      <c r="B15" s="100"/>
      <c r="C15" s="100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</row>
    <row r="16" spans="1:2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</row>
    <row r="17" spans="1:2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</row>
    <row r="18" spans="1:2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</row>
    <row r="19" spans="1:22">
      <c r="A19" s="29"/>
      <c r="B19" s="98"/>
      <c r="C19" s="98"/>
      <c r="D19" s="98"/>
      <c r="E19" s="98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</row>
    <row r="20" spans="1:22">
      <c r="A20" s="29"/>
      <c r="B20" s="98"/>
      <c r="C20" s="98"/>
      <c r="D20" s="98"/>
      <c r="E20" s="98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</row>
    <row r="21" spans="1:22">
      <c r="A21" s="29"/>
      <c r="B21" s="98"/>
      <c r="C21" s="98"/>
      <c r="D21" s="98"/>
      <c r="E21" s="9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</row>
    <row r="22" spans="1:22">
      <c r="A22" s="29"/>
      <c r="B22" s="98"/>
      <c r="C22" s="98"/>
      <c r="D22" s="98"/>
      <c r="E22" s="98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</row>
    <row r="23" spans="1:22">
      <c r="A23" s="29"/>
      <c r="B23" s="98"/>
      <c r="C23" s="98"/>
      <c r="D23" s="98"/>
      <c r="E23" s="98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</row>
    <row r="24" spans="1:22">
      <c r="A24" s="29"/>
      <c r="B24" s="98"/>
      <c r="C24" s="98"/>
      <c r="D24" s="98"/>
      <c r="E24" s="98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</row>
    <row r="25" spans="1:22">
      <c r="A25" s="29"/>
      <c r="B25" s="98"/>
      <c r="C25" s="98"/>
      <c r="D25" s="98"/>
      <c r="E25" s="98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</row>
    <row r="26" spans="1:22">
      <c r="A26" s="29"/>
      <c r="B26" s="98"/>
      <c r="C26" s="98"/>
      <c r="D26" s="98"/>
      <c r="E26" s="98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</row>
    <row r="27" spans="1:22">
      <c r="A27" s="29"/>
      <c r="B27" s="98"/>
      <c r="C27" s="98"/>
      <c r="D27" s="98"/>
      <c r="E27" s="98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</row>
    <row r="28" spans="1:22">
      <c r="A28" s="29"/>
      <c r="B28" s="98"/>
      <c r="C28" s="98"/>
      <c r="D28" s="98"/>
      <c r="E28" s="98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</row>
    <row r="29" spans="1:22">
      <c r="A29" s="29"/>
      <c r="B29" s="98"/>
      <c r="C29" s="98"/>
      <c r="D29" s="98"/>
      <c r="E29" s="98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</row>
    <row r="30" spans="1:2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</row>
    <row r="31" spans="1:2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</row>
    <row r="32" spans="1:2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</row>
    <row r="33" spans="1:2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</row>
    <row r="34" spans="1:2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</row>
    <row r="35" spans="1:2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</row>
    <row r="36" spans="1:2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</row>
    <row r="37" spans="1:2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</row>
    <row r="38" spans="1:2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</row>
    <row r="39" spans="1:2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</row>
    <row r="40" spans="1:2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</row>
    <row r="41" spans="1:2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</row>
    <row r="42" spans="1:2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</row>
    <row r="43" spans="1:2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</row>
    <row r="44" spans="1:2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5" spans="1:2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1:2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</row>
    <row r="47" spans="1:2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</row>
    <row r="48" spans="1:2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</row>
    <row r="49" spans="1:2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</row>
    <row r="50" spans="1:2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</row>
    <row r="51" spans="1:2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</row>
    <row r="52" spans="1:2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</row>
    <row r="53" spans="1:2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</row>
    <row r="54" spans="1:2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</row>
    <row r="55" spans="1:2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</row>
    <row r="56" spans="1:2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</row>
    <row r="57" spans="1:2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</row>
    <row r="58" spans="1:2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59" spans="1:2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</row>
    <row r="60" spans="1:2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</row>
    <row r="61" spans="1:2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</row>
    <row r="62" spans="1:2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</row>
    <row r="63" spans="1:2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</row>
    <row r="64" spans="1:2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</row>
    <row r="65" spans="1:2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</row>
    <row r="66" spans="1:2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</row>
    <row r="67" spans="1:2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</row>
    <row r="68" spans="1:2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</row>
    <row r="69" spans="1:2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</row>
    <row r="70" spans="1:2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</row>
    <row r="71" spans="1:2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</row>
    <row r="72" spans="1:2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</row>
    <row r="73" spans="1:2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</row>
    <row r="74" spans="1:2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</row>
    <row r="75" spans="1:2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</row>
    <row r="76" spans="1:2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</row>
    <row r="77" spans="1:2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</row>
    <row r="78" spans="1:2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</row>
    <row r="79" spans="1:2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</row>
    <row r="80" spans="1:2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</row>
    <row r="81" spans="1:2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</row>
    <row r="82" spans="1:2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</row>
    <row r="83" spans="1:2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</row>
    <row r="84" spans="1:2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</row>
    <row r="85" spans="1:2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</row>
    <row r="86" spans="1:2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</row>
    <row r="87" spans="1:2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</row>
    <row r="88" spans="1:2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</row>
    <row r="89" spans="1:2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</row>
    <row r="90" spans="1:2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</row>
    <row r="91" spans="1:2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</row>
    <row r="92" spans="1:2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</row>
    <row r="93" spans="1:2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</row>
    <row r="94" spans="1:2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</row>
    <row r="95" spans="1:2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</row>
    <row r="96" spans="1:2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</row>
    <row r="97" spans="1:2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</row>
    <row r="98" spans="1:2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</row>
    <row r="99" spans="1:2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</row>
    <row r="100" spans="1:2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</row>
    <row r="101" spans="1:2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</row>
    <row r="102" spans="1:2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</row>
    <row r="103" spans="1:2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</row>
    <row r="104" spans="1:2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</row>
    <row r="105" spans="1:2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</row>
    <row r="106" spans="1:2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</row>
    <row r="107" spans="1:2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</row>
    <row r="108" spans="1:2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</row>
    <row r="109" spans="1:2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</row>
    <row r="110" spans="1:2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</row>
    <row r="111" spans="1:2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</row>
    <row r="112" spans="1:2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</row>
    <row r="113" spans="1:2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</row>
    <row r="114" spans="1:2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</row>
    <row r="115" spans="1:2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</row>
    <row r="116" spans="1:2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</row>
    <row r="117" spans="1:2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</row>
    <row r="118" spans="1:2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</row>
    <row r="119" spans="1:2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</row>
    <row r="120" spans="1:2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</row>
    <row r="121" spans="1:2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</row>
    <row r="122" spans="1:2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</row>
    <row r="123" spans="1:2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</row>
    <row r="124" spans="1:2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</row>
    <row r="125" spans="1:2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</row>
    <row r="126" spans="1:2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</row>
    <row r="127" spans="1:2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</row>
    <row r="128" spans="1:2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</row>
    <row r="129" spans="1:2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</row>
    <row r="130" spans="1:22"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</row>
    <row r="131" spans="1:22"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</row>
    <row r="132" spans="1:22"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</row>
    <row r="133" spans="1:22"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</row>
    <row r="134" spans="1:22"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</row>
    <row r="135" spans="1:22"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</row>
    <row r="136" spans="1:22"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</row>
    <row r="137" spans="1:22"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</row>
  </sheetData>
  <sheetProtection sheet="1" formatCells="0" formatColumns="0" formatRows="0" insertColumns="0" insertRows="0" insertHyperlinks="0" deleteColumns="0" deleteRows="0" sort="0" autoFilter="0" pivotTables="0"/>
  <customSheetViews>
    <customSheetView guid="{E27029BF-0A88-4C48-9133-1FE9B861FE2C}" showPageBreaks="1" fitToPage="1" hiddenRows="1">
      <selection activeCell="C8" sqref="C8"/>
      <pageMargins left="0" right="0" top="0" bottom="0" header="0" footer="0"/>
      <pageSetup paperSize="9" scale="57" orientation="landscape" r:id="rId1"/>
    </customSheetView>
    <customSheetView guid="{AC34950A-DCAF-4CB6-A9C7-A8AF18DED7F1}" fitToPage="1" hiddenRows="1" topLeftCell="A3">
      <selection activeCell="D7" sqref="D7"/>
      <pageMargins left="0" right="0" top="0" bottom="0" header="0" footer="0"/>
      <pageSetup paperSize="9" scale="54" orientation="portrait" r:id="rId2"/>
    </customSheetView>
    <customSheetView guid="{A6352FC4-8D6C-4D37-9E9A-E921F8E5F9D4}" fitToPage="1" hiddenRows="1">
      <selection activeCell="C20" sqref="C20"/>
      <pageMargins left="0" right="0" top="0" bottom="0" header="0" footer="0"/>
      <pageSetup paperSize="9" scale="82" orientation="landscape" r:id="rId3"/>
    </customSheetView>
    <customSheetView guid="{81795BA8-21B9-45D1-83A0-D09B4A131144}" fitToPage="1" hiddenRows="1">
      <selection activeCell="C14" sqref="C14"/>
      <pageMargins left="0" right="0" top="0" bottom="0" header="0" footer="0"/>
      <pageSetup paperSize="9" scale="82" orientation="landscape" r:id="rId4"/>
    </customSheetView>
    <customSheetView guid="{3577BF87-2F65-4840-8079-21E73D5C2E11}" fitToPage="1" hiddenRows="1">
      <selection activeCell="C16" sqref="C16"/>
      <pageMargins left="0" right="0" top="0" bottom="0" header="0" footer="0"/>
      <pageSetup paperSize="9" scale="82" orientation="landscape" r:id="rId5"/>
    </customSheetView>
    <customSheetView guid="{12301C30-EC0B-4F69-A827-733CF6795582}" showPageBreaks="1" fitToPage="1" hiddenRows="1">
      <selection activeCell="C6" sqref="C6"/>
      <pageMargins left="0" right="0" top="0" bottom="0" header="0" footer="0"/>
      <pageSetup paperSize="9" scale="82" orientation="landscape" r:id="rId6"/>
    </customSheetView>
    <customSheetView guid="{D2519191-6E8E-48C2-A647-05695ADCD774}" showPageBreaks="1" fitToPage="1" hiddenRows="1">
      <selection activeCell="C14" sqref="C14"/>
      <pageMargins left="0" right="0" top="0" bottom="0" header="0" footer="0"/>
      <pageSetup paperSize="9" scale="54" orientation="portrait" r:id="rId7"/>
    </customSheetView>
    <customSheetView guid="{940D8950-04F3-4A26-8354-36FC8B1B2505}" fitToPage="1" hiddenRows="1" topLeftCell="A11">
      <selection activeCell="C23" sqref="C23"/>
      <pageMargins left="0" right="0" top="0" bottom="0" header="0" footer="0"/>
      <pageSetup paperSize="9" scale="54" orientation="portrait" r:id="rId8"/>
    </customSheetView>
    <customSheetView guid="{387F5BE2-87BE-433D-A775-550ADC5482D2}" fitToPage="1" hiddenRows="1">
      <selection activeCell="C6" sqref="C6"/>
      <pageMargins left="0" right="0" top="0" bottom="0" header="0" footer="0"/>
      <pageSetup paperSize="9" scale="54" orientation="portrait" r:id="rId9"/>
    </customSheetView>
    <customSheetView guid="{9E37255E-CBEF-4220-AD76-F4FDB90A297E}" fitToPage="1" hiddenRows="1" topLeftCell="A2">
      <selection activeCell="C12" sqref="C12"/>
      <pageMargins left="0" right="0" top="0" bottom="0" header="0" footer="0"/>
      <pageSetup paperSize="9" scale="57" orientation="landscape" r:id="rId10"/>
    </customSheetView>
    <customSheetView guid="{C7513BB2-2D70-451D-80CC-9D79532B7973}" fitToPage="1" hiddenRows="1" topLeftCell="A4">
      <selection activeCell="E28" sqref="E28"/>
      <pageMargins left="0" right="0" top="0" bottom="0" header="0" footer="0"/>
      <pageSetup paperSize="9" scale="54" orientation="portrait" r:id="rId11"/>
    </customSheetView>
    <customSheetView guid="{89009846-5CAB-431E-BC14-839F132E2604}" fitToPage="1" hiddenRows="1" topLeftCell="A4">
      <selection activeCell="B37" sqref="B37"/>
      <pageMargins left="0" right="0" top="0" bottom="0" header="0" footer="0"/>
      <pageSetup paperSize="9" scale="54" orientation="portrait" r:id="rId12"/>
    </customSheetView>
    <customSheetView guid="{DE458C6A-71B2-4713-B1DD-2E513F1A6B61}" fitToPage="1" hiddenRows="1">
      <selection activeCell="E8" sqref="E8"/>
      <pageMargins left="0" right="0" top="0" bottom="0" header="0" footer="0"/>
      <pageSetup paperSize="9" scale="82" orientation="landscape" r:id="rId13"/>
    </customSheetView>
  </customSheetViews>
  <mergeCells count="6">
    <mergeCell ref="A2:F2"/>
    <mergeCell ref="A9:F9"/>
    <mergeCell ref="A5:F5"/>
    <mergeCell ref="B19:E29"/>
    <mergeCell ref="H2:N2"/>
    <mergeCell ref="A12:C15"/>
  </mergeCells>
  <phoneticPr fontId="2" type="noConversion"/>
  <pageMargins left="0.7" right="0.7" top="0.75" bottom="0.75" header="0.3" footer="0.3"/>
  <pageSetup paperSize="9" scale="25" orientation="portrait" r:id="rId14"/>
  <drawing r:id="rId1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A1D-BF94-4486-9E69-E5BB8812CB43}">
  <sheetPr codeName="Blad2">
    <tabColor rgb="FFFFFF00"/>
    <pageSetUpPr fitToPage="1"/>
  </sheetPr>
  <dimension ref="A1:V139"/>
  <sheetViews>
    <sheetView zoomScale="96" zoomScaleNormal="96" workbookViewId="0">
      <selection activeCell="C14" sqref="C14"/>
    </sheetView>
  </sheetViews>
  <sheetFormatPr defaultColWidth="9.140625" defaultRowHeight="15"/>
  <cols>
    <col min="1" max="1" width="45.28515625" style="1" customWidth="1"/>
    <col min="2" max="2" width="36.5703125" style="1" customWidth="1"/>
    <col min="3" max="3" width="32.7109375" style="1" customWidth="1"/>
    <col min="4" max="4" width="30.28515625" style="1" customWidth="1"/>
    <col min="5" max="5" width="27.140625" style="1" customWidth="1"/>
    <col min="6" max="6" width="19.5703125" style="1" customWidth="1"/>
    <col min="7" max="16384" width="9.140625" style="1"/>
  </cols>
  <sheetData>
    <row r="1" spans="1:22" ht="21.75" thickBot="1">
      <c r="A1" s="37" t="s">
        <v>0</v>
      </c>
      <c r="B1" s="37" t="s">
        <v>60</v>
      </c>
      <c r="C1" s="37" t="s">
        <v>1</v>
      </c>
      <c r="D1" s="37" t="s">
        <v>2</v>
      </c>
      <c r="E1" s="37" t="s">
        <v>3</v>
      </c>
      <c r="F1" s="37" t="s">
        <v>4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22" ht="21.75" thickBot="1">
      <c r="A2" s="97"/>
      <c r="B2" s="97"/>
      <c r="C2" s="97"/>
      <c r="D2" s="97"/>
      <c r="E2" s="97"/>
      <c r="F2" s="97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</row>
    <row r="3" spans="1:22" ht="21.75" thickBot="1">
      <c r="A3" s="38" t="s">
        <v>14</v>
      </c>
      <c r="B3" s="39">
        <f>'Havi Duisburg'!D11</f>
        <v>0</v>
      </c>
      <c r="C3" s="40">
        <f ca="1">TODAY()+2</f>
        <v>46166</v>
      </c>
      <c r="D3" s="41">
        <v>0.64583333333333337</v>
      </c>
      <c r="E3" s="42" t="s">
        <v>30</v>
      </c>
      <c r="F3" s="43" t="s">
        <v>7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</row>
    <row r="4" spans="1:22" ht="21.75" thickBot="1">
      <c r="A4" s="38" t="s">
        <v>14</v>
      </c>
      <c r="B4" s="39">
        <f>'Havi Duisburg Monday'!D11</f>
        <v>0</v>
      </c>
      <c r="C4" s="40">
        <f ca="1">TODAY()+3</f>
        <v>46167</v>
      </c>
      <c r="D4" s="41">
        <v>0.64583333333333337</v>
      </c>
      <c r="E4" s="42" t="s">
        <v>30</v>
      </c>
      <c r="F4" s="43" t="s">
        <v>7</v>
      </c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2" ht="21.75" thickBot="1">
      <c r="A5" s="44" t="s">
        <v>8</v>
      </c>
      <c r="B5" s="45">
        <f>'Carrefour FIF'!M5</f>
        <v>0</v>
      </c>
      <c r="C5" s="46">
        <f ca="1">TODAY()</f>
        <v>46164</v>
      </c>
      <c r="D5" s="47">
        <v>0.45833333333333331</v>
      </c>
      <c r="E5" s="48" t="s">
        <v>9</v>
      </c>
      <c r="F5" s="49" t="s">
        <v>7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</row>
    <row r="6" spans="1:22" ht="21.75" thickBot="1">
      <c r="A6" s="97"/>
      <c r="B6" s="97"/>
      <c r="C6" s="97"/>
      <c r="D6" s="97"/>
      <c r="E6" s="97"/>
      <c r="F6" s="97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</row>
    <row r="7" spans="1:22" ht="21.75" thickBot="1">
      <c r="A7" s="50" t="s">
        <v>5</v>
      </c>
      <c r="B7" s="45">
        <f>Colruyt!M3</f>
        <v>0</v>
      </c>
      <c r="C7" s="46">
        <f ca="1">TODAY()+3</f>
        <v>46167</v>
      </c>
      <c r="D7" s="47">
        <v>6.25E-2</v>
      </c>
      <c r="E7" s="48" t="s">
        <v>6</v>
      </c>
      <c r="F7" s="49" t="s">
        <v>7</v>
      </c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</row>
    <row r="8" spans="1:22" ht="21.75" thickBot="1">
      <c r="A8" s="50" t="s">
        <v>5</v>
      </c>
      <c r="B8" s="45">
        <f>'Colruyt Monday'!M3</f>
        <v>0</v>
      </c>
      <c r="C8" s="46">
        <f ca="1">TODAY()+4</f>
        <v>46168</v>
      </c>
      <c r="D8" s="47">
        <v>6.25E-2</v>
      </c>
      <c r="E8" s="48" t="s">
        <v>6</v>
      </c>
      <c r="F8" s="49" t="s">
        <v>7</v>
      </c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</row>
    <row r="9" spans="1:22" ht="21.75" thickBot="1">
      <c r="A9" s="44" t="s">
        <v>12</v>
      </c>
      <c r="B9" s="51">
        <f>Heeren!D20</f>
        <v>0</v>
      </c>
      <c r="C9" s="46">
        <f ca="1">TODAY()+3</f>
        <v>46167</v>
      </c>
      <c r="D9" s="47">
        <v>0.21875</v>
      </c>
      <c r="E9" s="48" t="s">
        <v>13</v>
      </c>
      <c r="F9" s="49" t="s">
        <v>7</v>
      </c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</row>
    <row r="10" spans="1:22" ht="21.75" thickBot="1">
      <c r="A10" s="44" t="s">
        <v>10</v>
      </c>
      <c r="B10" s="45">
        <f>'Carrefour KDC'!M5</f>
        <v>0</v>
      </c>
      <c r="C10" s="46">
        <f ca="1">TODAY()+1</f>
        <v>46165</v>
      </c>
      <c r="D10" s="47">
        <v>0.13541666666666666</v>
      </c>
      <c r="E10" s="48" t="s">
        <v>9</v>
      </c>
      <c r="F10" s="49" t="s">
        <v>7</v>
      </c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</row>
    <row r="11" spans="1:22" ht="21.75" thickBot="1">
      <c r="A11" s="97"/>
      <c r="B11" s="97"/>
      <c r="C11" s="97"/>
      <c r="D11" s="97"/>
      <c r="E11" s="97"/>
      <c r="F11" s="97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</row>
    <row r="12" spans="1:2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</row>
    <row r="13" spans="1:2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</row>
    <row r="14" spans="1:2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</row>
    <row r="15" spans="1:2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</row>
    <row r="16" spans="1:2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</row>
    <row r="17" spans="1:2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</row>
    <row r="18" spans="1:2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</row>
    <row r="19" spans="1:2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</row>
    <row r="20" spans="1:2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</row>
    <row r="21" spans="1:22">
      <c r="A21" s="29"/>
      <c r="B21" s="98"/>
      <c r="C21" s="98"/>
      <c r="D21" s="98"/>
      <c r="E21" s="9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</row>
    <row r="22" spans="1:22">
      <c r="A22" s="29"/>
      <c r="B22" s="98"/>
      <c r="C22" s="98"/>
      <c r="D22" s="98"/>
      <c r="E22" s="98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</row>
    <row r="23" spans="1:22">
      <c r="A23" s="29"/>
      <c r="B23" s="98"/>
      <c r="C23" s="98"/>
      <c r="D23" s="98"/>
      <c r="E23" s="98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</row>
    <row r="24" spans="1:22">
      <c r="A24" s="29"/>
      <c r="B24" s="98"/>
      <c r="C24" s="98"/>
      <c r="D24" s="98"/>
      <c r="E24" s="98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</row>
    <row r="25" spans="1:22">
      <c r="A25" s="29"/>
      <c r="B25" s="98"/>
      <c r="C25" s="98"/>
      <c r="D25" s="98"/>
      <c r="E25" s="98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</row>
    <row r="26" spans="1:22">
      <c r="A26" s="29"/>
      <c r="B26" s="98"/>
      <c r="C26" s="98"/>
      <c r="D26" s="98"/>
      <c r="E26" s="98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</row>
    <row r="27" spans="1:22">
      <c r="A27" s="29"/>
      <c r="B27" s="98"/>
      <c r="C27" s="98"/>
      <c r="D27" s="98"/>
      <c r="E27" s="98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</row>
    <row r="28" spans="1:22">
      <c r="A28" s="29"/>
      <c r="B28" s="98"/>
      <c r="C28" s="98"/>
      <c r="D28" s="98"/>
      <c r="E28" s="98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</row>
    <row r="29" spans="1:22">
      <c r="A29" s="29"/>
      <c r="B29" s="98"/>
      <c r="C29" s="98"/>
      <c r="D29" s="98"/>
      <c r="E29" s="98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</row>
    <row r="30" spans="1:22">
      <c r="A30" s="29"/>
      <c r="B30" s="98"/>
      <c r="C30" s="98"/>
      <c r="D30" s="98"/>
      <c r="E30" s="98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</row>
    <row r="31" spans="1:22">
      <c r="A31" s="29"/>
      <c r="B31" s="98"/>
      <c r="C31" s="98"/>
      <c r="D31" s="98"/>
      <c r="E31" s="98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</row>
    <row r="32" spans="1:2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</row>
    <row r="33" spans="1:2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</row>
    <row r="34" spans="1:2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</row>
    <row r="35" spans="1:2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</row>
    <row r="36" spans="1:2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</row>
    <row r="37" spans="1:2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</row>
    <row r="38" spans="1:2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</row>
    <row r="39" spans="1:2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</row>
    <row r="40" spans="1:2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</row>
    <row r="41" spans="1:2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</row>
    <row r="42" spans="1:2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</row>
    <row r="43" spans="1:2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</row>
    <row r="44" spans="1:2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5" spans="1:2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1:2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</row>
    <row r="47" spans="1:2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</row>
    <row r="48" spans="1:2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</row>
    <row r="49" spans="1:2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</row>
    <row r="50" spans="1:2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</row>
    <row r="51" spans="1:2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</row>
    <row r="52" spans="1:2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</row>
    <row r="53" spans="1:2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</row>
    <row r="54" spans="1:2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</row>
    <row r="55" spans="1:2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</row>
    <row r="56" spans="1:2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</row>
    <row r="57" spans="1:2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</row>
    <row r="58" spans="1:2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59" spans="1:2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</row>
    <row r="60" spans="1:2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</row>
    <row r="61" spans="1:2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</row>
    <row r="62" spans="1:2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</row>
    <row r="63" spans="1:2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</row>
    <row r="64" spans="1:2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</row>
    <row r="65" spans="1:2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</row>
    <row r="66" spans="1:2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</row>
    <row r="67" spans="1:2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</row>
    <row r="68" spans="1:2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</row>
    <row r="69" spans="1:2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</row>
    <row r="70" spans="1:2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</row>
    <row r="71" spans="1:2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</row>
    <row r="72" spans="1:2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</row>
    <row r="73" spans="1:2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</row>
    <row r="74" spans="1:2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</row>
    <row r="75" spans="1:2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</row>
    <row r="76" spans="1:2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</row>
    <row r="77" spans="1:2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</row>
    <row r="78" spans="1:2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</row>
    <row r="79" spans="1:2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</row>
    <row r="80" spans="1:2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</row>
    <row r="81" spans="1:2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</row>
    <row r="82" spans="1:2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</row>
    <row r="83" spans="1:2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</row>
    <row r="84" spans="1:2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</row>
    <row r="85" spans="1:2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</row>
    <row r="86" spans="1:2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</row>
    <row r="87" spans="1:2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</row>
    <row r="88" spans="1:2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</row>
    <row r="89" spans="1:2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</row>
    <row r="90" spans="1:2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</row>
    <row r="91" spans="1:2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</row>
    <row r="92" spans="1:2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</row>
    <row r="93" spans="1:2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</row>
    <row r="94" spans="1:2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</row>
    <row r="95" spans="1:2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</row>
    <row r="96" spans="1:2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</row>
    <row r="97" spans="1:2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</row>
    <row r="98" spans="1:2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</row>
    <row r="99" spans="1:2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</row>
    <row r="100" spans="1:2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</row>
    <row r="101" spans="1:2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</row>
    <row r="102" spans="1:2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</row>
    <row r="103" spans="1:2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</row>
    <row r="104" spans="1:2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</row>
    <row r="105" spans="1:2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</row>
    <row r="106" spans="1:2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</row>
    <row r="107" spans="1:2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</row>
    <row r="108" spans="1:2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</row>
    <row r="109" spans="1:2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</row>
    <row r="110" spans="1:2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</row>
    <row r="111" spans="1:2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</row>
    <row r="112" spans="1:2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</row>
    <row r="113" spans="1:2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</row>
    <row r="114" spans="1:2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</row>
    <row r="115" spans="1:2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</row>
    <row r="116" spans="1:2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</row>
    <row r="117" spans="1:2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</row>
    <row r="118" spans="1:2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</row>
    <row r="119" spans="1:2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</row>
    <row r="120" spans="1:2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</row>
    <row r="121" spans="1:2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</row>
    <row r="122" spans="1:2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</row>
    <row r="123" spans="1:2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</row>
    <row r="124" spans="1:2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</row>
    <row r="125" spans="1:2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</row>
    <row r="126" spans="1:2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</row>
    <row r="127" spans="1:2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</row>
    <row r="128" spans="1:2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</row>
    <row r="129" spans="1:2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</row>
    <row r="130" spans="1:2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</row>
    <row r="131" spans="1:2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</row>
    <row r="132" spans="1:22"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</row>
    <row r="133" spans="1:22"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</row>
    <row r="134" spans="1:22"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</row>
    <row r="135" spans="1:22"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</row>
    <row r="136" spans="1:22"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</row>
    <row r="137" spans="1:22"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</row>
    <row r="138" spans="1:22"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</row>
    <row r="139" spans="1:22"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</row>
  </sheetData>
  <sheetProtection formatCells="0" formatColumns="0" formatRows="0" insertColumns="0" insertRows="0" insertHyperlinks="0" deleteColumns="0" deleteRows="0" sort="0" autoFilter="0" pivotTables="0"/>
  <mergeCells count="4">
    <mergeCell ref="A2:F2"/>
    <mergeCell ref="A6:F6"/>
    <mergeCell ref="A11:F11"/>
    <mergeCell ref="B21:E31"/>
  </mergeCells>
  <pageMargins left="0.7" right="0.7" top="0.75" bottom="0.75" header="0.3" footer="0.3"/>
  <pageSetup paperSize="9" scale="2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9F7DE-600E-4429-BB1E-ACE642EE6BBB}">
  <sheetPr codeName="Blad3">
    <tabColor rgb="FFFF0000"/>
    <pageSetUpPr fitToPage="1"/>
  </sheetPr>
  <dimension ref="A1:V137"/>
  <sheetViews>
    <sheetView tabSelected="1" zoomScale="96" zoomScaleNormal="96" workbookViewId="0">
      <selection activeCell="G19" sqref="G19"/>
    </sheetView>
  </sheetViews>
  <sheetFormatPr defaultColWidth="9.140625" defaultRowHeight="15"/>
  <cols>
    <col min="1" max="1" width="45.28515625" style="1" customWidth="1"/>
    <col min="2" max="2" width="36.5703125" style="1" customWidth="1"/>
    <col min="3" max="3" width="32.7109375" style="1" customWidth="1"/>
    <col min="4" max="4" width="30.28515625" style="1" customWidth="1"/>
    <col min="5" max="5" width="27.140625" style="1" customWidth="1"/>
    <col min="6" max="6" width="19.5703125" style="1" customWidth="1"/>
    <col min="7" max="16384" width="9.140625" style="1"/>
  </cols>
  <sheetData>
    <row r="1" spans="1:22" ht="21.75" thickBot="1">
      <c r="A1" s="37" t="s">
        <v>0</v>
      </c>
      <c r="B1" s="37" t="s">
        <v>60</v>
      </c>
      <c r="C1" s="37" t="s">
        <v>1</v>
      </c>
      <c r="D1" s="37" t="s">
        <v>2</v>
      </c>
      <c r="E1" s="37" t="s">
        <v>3</v>
      </c>
      <c r="F1" s="37" t="s">
        <v>4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22" ht="21.75" thickBot="1">
      <c r="A2" s="97"/>
      <c r="B2" s="97"/>
      <c r="C2" s="97"/>
      <c r="D2" s="97"/>
      <c r="E2" s="97"/>
      <c r="F2" s="97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</row>
    <row r="3" spans="1:22" ht="21.75" thickBot="1">
      <c r="A3" s="38" t="s">
        <v>14</v>
      </c>
      <c r="B3" s="39">
        <f>'Havi Duisburg'!D11</f>
        <v>0</v>
      </c>
      <c r="C3" s="40">
        <f ca="1">TODAY()+2</f>
        <v>46166</v>
      </c>
      <c r="D3" s="41">
        <v>0.64583333333333337</v>
      </c>
      <c r="E3" s="42" t="s">
        <v>30</v>
      </c>
      <c r="F3" s="43" t="s">
        <v>7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</row>
    <row r="4" spans="1:22" ht="21.75" thickBot="1">
      <c r="A4" s="44" t="s">
        <v>8</v>
      </c>
      <c r="B4" s="45">
        <f>'Carrefour FIF'!M5</f>
        <v>0</v>
      </c>
      <c r="C4" s="46">
        <f ca="1">TODAY()</f>
        <v>46164</v>
      </c>
      <c r="D4" s="47">
        <v>0.45833333333333331</v>
      </c>
      <c r="E4" s="48" t="s">
        <v>9</v>
      </c>
      <c r="F4" s="49" t="s">
        <v>7</v>
      </c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2" ht="21.75" thickBot="1">
      <c r="A5" s="97"/>
      <c r="B5" s="97"/>
      <c r="C5" s="97"/>
      <c r="D5" s="97"/>
      <c r="E5" s="97"/>
      <c r="F5" s="97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</row>
    <row r="6" spans="1:22" ht="21.75" thickBot="1">
      <c r="A6" s="50" t="s">
        <v>5</v>
      </c>
      <c r="B6" s="45">
        <f>Colruyt!M3</f>
        <v>0</v>
      </c>
      <c r="C6" s="46">
        <f ca="1">TODAY()+3</f>
        <v>46167</v>
      </c>
      <c r="D6" s="47">
        <v>6.25E-2</v>
      </c>
      <c r="E6" s="48" t="s">
        <v>6</v>
      </c>
      <c r="F6" s="49" t="s">
        <v>7</v>
      </c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</row>
    <row r="7" spans="1:22" ht="21.75" thickBot="1">
      <c r="A7" s="44" t="s">
        <v>12</v>
      </c>
      <c r="B7" s="51">
        <f>Heeren!D20</f>
        <v>0</v>
      </c>
      <c r="C7" s="46">
        <f ca="1">TODAY()+3</f>
        <v>46167</v>
      </c>
      <c r="D7" s="47">
        <v>0.21875</v>
      </c>
      <c r="E7" s="48" t="s">
        <v>13</v>
      </c>
      <c r="F7" s="49" t="s">
        <v>7</v>
      </c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</row>
    <row r="8" spans="1:22" ht="21.75" thickBot="1">
      <c r="A8" s="44" t="s">
        <v>10</v>
      </c>
      <c r="B8" s="45">
        <f>'Carrefour KDC'!M5</f>
        <v>0</v>
      </c>
      <c r="C8" s="46">
        <f ca="1">TODAY()+2</f>
        <v>46166</v>
      </c>
      <c r="D8" s="47">
        <v>0.13541666666666666</v>
      </c>
      <c r="E8" s="48" t="s">
        <v>9</v>
      </c>
      <c r="F8" s="49" t="s">
        <v>7</v>
      </c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</row>
    <row r="9" spans="1:22" ht="21.75" thickBot="1">
      <c r="A9" s="97"/>
      <c r="B9" s="97"/>
      <c r="C9" s="97"/>
      <c r="D9" s="97"/>
      <c r="E9" s="97"/>
      <c r="F9" s="97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</row>
    <row r="10" spans="1:2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</row>
    <row r="11" spans="1:2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</row>
    <row r="12" spans="1:2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</row>
    <row r="13" spans="1:2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</row>
    <row r="14" spans="1:2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</row>
    <row r="15" spans="1:2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</row>
    <row r="16" spans="1:2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</row>
    <row r="17" spans="1:2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</row>
    <row r="18" spans="1:2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</row>
    <row r="19" spans="1:22">
      <c r="A19" s="29"/>
      <c r="B19" s="98"/>
      <c r="C19" s="98"/>
      <c r="D19" s="98"/>
      <c r="E19" s="98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</row>
    <row r="20" spans="1:22">
      <c r="A20" s="29"/>
      <c r="B20" s="98"/>
      <c r="C20" s="98"/>
      <c r="D20" s="98"/>
      <c r="E20" s="98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</row>
    <row r="21" spans="1:22">
      <c r="A21" s="29"/>
      <c r="B21" s="98"/>
      <c r="C21" s="98"/>
      <c r="D21" s="98"/>
      <c r="E21" s="9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</row>
    <row r="22" spans="1:22">
      <c r="A22" s="29"/>
      <c r="B22" s="98"/>
      <c r="C22" s="98"/>
      <c r="D22" s="98"/>
      <c r="E22" s="98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</row>
    <row r="23" spans="1:22">
      <c r="A23" s="29"/>
      <c r="B23" s="98"/>
      <c r="C23" s="98"/>
      <c r="D23" s="98"/>
      <c r="E23" s="98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</row>
    <row r="24" spans="1:22">
      <c r="A24" s="29"/>
      <c r="B24" s="98"/>
      <c r="C24" s="98"/>
      <c r="D24" s="98"/>
      <c r="E24" s="98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</row>
    <row r="25" spans="1:22">
      <c r="A25" s="29"/>
      <c r="B25" s="98"/>
      <c r="C25" s="98"/>
      <c r="D25" s="98"/>
      <c r="E25" s="98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</row>
    <row r="26" spans="1:22">
      <c r="A26" s="29"/>
      <c r="B26" s="98"/>
      <c r="C26" s="98"/>
      <c r="D26" s="98"/>
      <c r="E26" s="98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</row>
    <row r="27" spans="1:22">
      <c r="A27" s="29"/>
      <c r="B27" s="98"/>
      <c r="C27" s="98"/>
      <c r="D27" s="98"/>
      <c r="E27" s="98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</row>
    <row r="28" spans="1:22">
      <c r="A28" s="29"/>
      <c r="B28" s="98"/>
      <c r="C28" s="98"/>
      <c r="D28" s="98"/>
      <c r="E28" s="98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</row>
    <row r="29" spans="1:22">
      <c r="A29" s="29"/>
      <c r="B29" s="98"/>
      <c r="C29" s="98"/>
      <c r="D29" s="98"/>
      <c r="E29" s="98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</row>
    <row r="30" spans="1:2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</row>
    <row r="31" spans="1:2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</row>
    <row r="32" spans="1:2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</row>
    <row r="33" spans="1:2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</row>
    <row r="34" spans="1:2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</row>
    <row r="35" spans="1:2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</row>
    <row r="36" spans="1:2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</row>
    <row r="37" spans="1:2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</row>
    <row r="38" spans="1:2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</row>
    <row r="39" spans="1:2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</row>
    <row r="40" spans="1:2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</row>
    <row r="41" spans="1:2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</row>
    <row r="42" spans="1:2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</row>
    <row r="43" spans="1:2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</row>
    <row r="44" spans="1:2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5" spans="1:2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1:2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</row>
    <row r="47" spans="1:2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</row>
    <row r="48" spans="1:2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</row>
    <row r="49" spans="1:2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</row>
    <row r="50" spans="1:2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</row>
    <row r="51" spans="1:2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</row>
    <row r="52" spans="1:2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</row>
    <row r="53" spans="1:2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</row>
    <row r="54" spans="1:2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</row>
    <row r="55" spans="1:2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</row>
    <row r="56" spans="1:2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</row>
    <row r="57" spans="1:2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</row>
    <row r="58" spans="1:2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59" spans="1:2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</row>
    <row r="60" spans="1:2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</row>
    <row r="61" spans="1:2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</row>
    <row r="62" spans="1:2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</row>
    <row r="63" spans="1:2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</row>
    <row r="64" spans="1:2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</row>
    <row r="65" spans="1:2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</row>
    <row r="66" spans="1:2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</row>
    <row r="67" spans="1:2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</row>
    <row r="68" spans="1:2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</row>
    <row r="69" spans="1:2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</row>
    <row r="70" spans="1:2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</row>
    <row r="71" spans="1:2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</row>
    <row r="72" spans="1:2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</row>
    <row r="73" spans="1:2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</row>
    <row r="74" spans="1:2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</row>
    <row r="75" spans="1:2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</row>
    <row r="76" spans="1:2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</row>
    <row r="77" spans="1:2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</row>
    <row r="78" spans="1:2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</row>
    <row r="79" spans="1:2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</row>
    <row r="80" spans="1:2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</row>
    <row r="81" spans="1:2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</row>
    <row r="82" spans="1:2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</row>
    <row r="83" spans="1:2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</row>
    <row r="84" spans="1:2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</row>
    <row r="85" spans="1:2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</row>
    <row r="86" spans="1:2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</row>
    <row r="87" spans="1:2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</row>
    <row r="88" spans="1:2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</row>
    <row r="89" spans="1:2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</row>
    <row r="90" spans="1:2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</row>
    <row r="91" spans="1:2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</row>
    <row r="92" spans="1:2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</row>
    <row r="93" spans="1:2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</row>
    <row r="94" spans="1:2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</row>
    <row r="95" spans="1:2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</row>
    <row r="96" spans="1:2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</row>
    <row r="97" spans="1:2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</row>
    <row r="98" spans="1:2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</row>
    <row r="99" spans="1:2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</row>
    <row r="100" spans="1:2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</row>
    <row r="101" spans="1:2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</row>
    <row r="102" spans="1:2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</row>
    <row r="103" spans="1:2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</row>
    <row r="104" spans="1:2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</row>
    <row r="105" spans="1:2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</row>
    <row r="106" spans="1:2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</row>
    <row r="107" spans="1:2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</row>
    <row r="108" spans="1:2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</row>
    <row r="109" spans="1:2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</row>
    <row r="110" spans="1:2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</row>
    <row r="111" spans="1:2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</row>
    <row r="112" spans="1:2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</row>
    <row r="113" spans="1:2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</row>
    <row r="114" spans="1:2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</row>
    <row r="115" spans="1:2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</row>
    <row r="116" spans="1:2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</row>
    <row r="117" spans="1:2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</row>
    <row r="118" spans="1:2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</row>
    <row r="119" spans="1:2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</row>
    <row r="120" spans="1:2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</row>
    <row r="121" spans="1:2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</row>
    <row r="122" spans="1:2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</row>
    <row r="123" spans="1:2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</row>
    <row r="124" spans="1:2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</row>
    <row r="125" spans="1:2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</row>
    <row r="126" spans="1:2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</row>
    <row r="127" spans="1:2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</row>
    <row r="128" spans="1:2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</row>
    <row r="129" spans="1:2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</row>
    <row r="130" spans="1:22"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</row>
    <row r="131" spans="1:22"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</row>
    <row r="132" spans="1:22"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</row>
    <row r="133" spans="1:22"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</row>
    <row r="134" spans="1:22"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</row>
    <row r="135" spans="1:22"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</row>
    <row r="136" spans="1:22"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</row>
    <row r="137" spans="1:22"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</row>
  </sheetData>
  <sheetProtection sheet="1" formatCells="0" formatColumns="0" formatRows="0" insertColumns="0" insertRows="0" insertHyperlinks="0" deleteColumns="0" deleteRows="0" sort="0" autoFilter="0" pivotTables="0"/>
  <mergeCells count="4">
    <mergeCell ref="A2:F2"/>
    <mergeCell ref="A5:F5"/>
    <mergeCell ref="A9:F9"/>
    <mergeCell ref="B19:E29"/>
  </mergeCells>
  <pageMargins left="0.7" right="0.7" top="0.75" bottom="0.75" header="0.3" footer="0.3"/>
  <pageSetup paperSize="9" scale="2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A8CD-154E-4B46-8333-371C77ABDBC3}">
  <sheetPr codeName="Sheet1"/>
  <dimension ref="A1:M20"/>
  <sheetViews>
    <sheetView workbookViewId="0">
      <selection activeCell="C8" sqref="C8"/>
    </sheetView>
  </sheetViews>
  <sheetFormatPr defaultColWidth="16.42578125" defaultRowHeight="15"/>
  <cols>
    <col min="1" max="1" width="49.5703125" style="1" bestFit="1" customWidth="1"/>
    <col min="2" max="2" width="23.85546875" style="1" bestFit="1" customWidth="1"/>
    <col min="3" max="3" width="52.85546875" style="1" bestFit="1" customWidth="1"/>
    <col min="4" max="4" width="32.140625" style="1" bestFit="1" customWidth="1"/>
    <col min="5" max="5" width="10" style="1" bestFit="1" customWidth="1"/>
    <col min="6" max="12" width="5.85546875" style="1" bestFit="1" customWidth="1"/>
    <col min="13" max="13" width="23.5703125" style="1" bestFit="1" customWidth="1"/>
    <col min="14" max="16384" width="16.42578125" style="1"/>
  </cols>
  <sheetData>
    <row r="1" spans="1:13">
      <c r="A1" s="102" t="s">
        <v>12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4"/>
    </row>
    <row r="2" spans="1:13" ht="15.75" thickBot="1">
      <c r="A2" s="105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7"/>
    </row>
    <row r="3" spans="1:13" ht="29.25" thickBot="1">
      <c r="A3" s="22" t="s">
        <v>46</v>
      </c>
      <c r="B3" s="22" t="s">
        <v>45</v>
      </c>
      <c r="C3" s="22" t="s">
        <v>33</v>
      </c>
      <c r="D3" s="22" t="s">
        <v>34</v>
      </c>
      <c r="E3" s="22" t="s">
        <v>27</v>
      </c>
      <c r="F3" s="22" t="s">
        <v>35</v>
      </c>
      <c r="G3" s="22" t="s">
        <v>36</v>
      </c>
      <c r="H3" s="22" t="s">
        <v>37</v>
      </c>
      <c r="I3" s="22" t="s">
        <v>38</v>
      </c>
      <c r="J3" s="22" t="s">
        <v>39</v>
      </c>
      <c r="K3" s="22" t="s">
        <v>40</v>
      </c>
      <c r="L3" s="22" t="s">
        <v>41</v>
      </c>
      <c r="M3" s="22" t="s">
        <v>59</v>
      </c>
    </row>
    <row r="4" spans="1:13" ht="28.5">
      <c r="A4" s="17">
        <v>90</v>
      </c>
      <c r="B4" s="18"/>
      <c r="C4" s="18"/>
      <c r="D4" s="18"/>
      <c r="E4" s="18" t="s">
        <v>25</v>
      </c>
      <c r="F4" s="23">
        <f>IF(D4&gt;=A4,(A4),(D4))</f>
        <v>0</v>
      </c>
      <c r="G4" s="23">
        <f>IF(D4&gt;=2*A4,(A4),(D4-F4))</f>
        <v>0</v>
      </c>
      <c r="H4" s="23">
        <f>IF(D4&gt;=3*A4,(A4),(D4-F4-G4))</f>
        <v>0</v>
      </c>
      <c r="I4" s="23">
        <f>IF(D4&gt;=4*A4,(A4),(D4-F4-G4-H4))</f>
        <v>0</v>
      </c>
      <c r="J4" s="23">
        <f>IF(D4&gt;=5*A4,(A4),(D4-F4-G4-H4-I4))</f>
        <v>0</v>
      </c>
      <c r="K4" s="23">
        <f>IF(D4&gt;=6*A4,(A4),(D4-F4-G4-H4-I4-J4))</f>
        <v>0</v>
      </c>
      <c r="L4" s="23">
        <f t="shared" ref="L4:L18" si="0">D4-F4-G4-H4-I4-J4-K4</f>
        <v>0</v>
      </c>
      <c r="M4" s="24">
        <f>COUNTIF(F4:L4, "&lt;&gt;0")</f>
        <v>0</v>
      </c>
    </row>
    <row r="5" spans="1:13" ht="28.5">
      <c r="A5" s="17">
        <v>90</v>
      </c>
      <c r="B5" s="18"/>
      <c r="C5" s="18"/>
      <c r="D5" s="18"/>
      <c r="E5" s="18" t="s">
        <v>25</v>
      </c>
      <c r="F5" s="18">
        <f t="shared" ref="F5:F18" si="1">IF(D5&gt;=A5,(A5),(D5))</f>
        <v>0</v>
      </c>
      <c r="G5" s="18">
        <f t="shared" ref="G5:G18" si="2">IF(D5&gt;=2*A5,(A5),(D5-F5))</f>
        <v>0</v>
      </c>
      <c r="H5" s="18">
        <f t="shared" ref="H5:H18" si="3">IF(D5&gt;=3*A5,(A5),(D5-F5-G5))</f>
        <v>0</v>
      </c>
      <c r="I5" s="18">
        <f t="shared" ref="I5:I18" si="4">IF(D5&gt;=4*A5,(A5),(D5-F5-G5-H5))</f>
        <v>0</v>
      </c>
      <c r="J5" s="18">
        <f t="shared" ref="J5:J18" si="5">IF(D5&gt;=5*A5,(A5),(D5-F5-G5-H5-I5))</f>
        <v>0</v>
      </c>
      <c r="K5" s="18">
        <f t="shared" ref="K5:K18" si="6">IF(D5&gt;=6*A5,(A5),(D5-F5-G5-H5-I5-J5))</f>
        <v>0</v>
      </c>
      <c r="L5" s="18">
        <f t="shared" si="0"/>
        <v>0</v>
      </c>
      <c r="M5" s="24">
        <f t="shared" ref="M5:M18" si="7">COUNTIF(F5:L5, "&lt;&gt;0")</f>
        <v>0</v>
      </c>
    </row>
    <row r="6" spans="1:13" ht="28.5">
      <c r="A6" s="17">
        <v>90</v>
      </c>
      <c r="B6" s="18"/>
      <c r="C6" s="18"/>
      <c r="D6" s="18"/>
      <c r="E6" s="18" t="s">
        <v>25</v>
      </c>
      <c r="F6" s="18">
        <f t="shared" si="1"/>
        <v>0</v>
      </c>
      <c r="G6" s="18">
        <f t="shared" si="2"/>
        <v>0</v>
      </c>
      <c r="H6" s="18">
        <f t="shared" si="3"/>
        <v>0</v>
      </c>
      <c r="I6" s="18">
        <f t="shared" si="4"/>
        <v>0</v>
      </c>
      <c r="J6" s="18">
        <f t="shared" si="5"/>
        <v>0</v>
      </c>
      <c r="K6" s="18">
        <f t="shared" si="6"/>
        <v>0</v>
      </c>
      <c r="L6" s="18">
        <f t="shared" si="0"/>
        <v>0</v>
      </c>
      <c r="M6" s="24">
        <f t="shared" si="7"/>
        <v>0</v>
      </c>
    </row>
    <row r="7" spans="1:13" ht="28.5">
      <c r="A7" s="17">
        <v>90</v>
      </c>
      <c r="B7" s="18"/>
      <c r="C7" s="18"/>
      <c r="D7" s="18"/>
      <c r="E7" s="18" t="s">
        <v>25</v>
      </c>
      <c r="F7" s="18">
        <f t="shared" si="1"/>
        <v>0</v>
      </c>
      <c r="G7" s="18">
        <f t="shared" si="2"/>
        <v>0</v>
      </c>
      <c r="H7" s="18">
        <f t="shared" si="3"/>
        <v>0</v>
      </c>
      <c r="I7" s="18">
        <f t="shared" si="4"/>
        <v>0</v>
      </c>
      <c r="J7" s="18">
        <f t="shared" si="5"/>
        <v>0</v>
      </c>
      <c r="K7" s="18">
        <f t="shared" si="6"/>
        <v>0</v>
      </c>
      <c r="L7" s="18">
        <f t="shared" si="0"/>
        <v>0</v>
      </c>
      <c r="M7" s="24">
        <f t="shared" si="7"/>
        <v>0</v>
      </c>
    </row>
    <row r="8" spans="1:13" ht="28.5">
      <c r="A8" s="17">
        <v>90</v>
      </c>
      <c r="B8" s="18"/>
      <c r="C8" s="18"/>
      <c r="D8" s="18"/>
      <c r="E8" s="18" t="s">
        <v>25</v>
      </c>
      <c r="F8" s="18">
        <f t="shared" si="1"/>
        <v>0</v>
      </c>
      <c r="G8" s="18">
        <f t="shared" si="2"/>
        <v>0</v>
      </c>
      <c r="H8" s="18">
        <f t="shared" si="3"/>
        <v>0</v>
      </c>
      <c r="I8" s="18">
        <f t="shared" si="4"/>
        <v>0</v>
      </c>
      <c r="J8" s="18">
        <f t="shared" si="5"/>
        <v>0</v>
      </c>
      <c r="K8" s="18">
        <f t="shared" si="6"/>
        <v>0</v>
      </c>
      <c r="L8" s="18">
        <f t="shared" si="0"/>
        <v>0</v>
      </c>
      <c r="M8" s="24">
        <f t="shared" si="7"/>
        <v>0</v>
      </c>
    </row>
    <row r="9" spans="1:13" ht="28.5">
      <c r="A9" s="17">
        <v>90</v>
      </c>
      <c r="B9" s="18"/>
      <c r="C9" s="18"/>
      <c r="D9" s="18"/>
      <c r="E9" s="18" t="s">
        <v>25</v>
      </c>
      <c r="F9" s="18">
        <f t="shared" si="1"/>
        <v>0</v>
      </c>
      <c r="G9" s="18">
        <f t="shared" si="2"/>
        <v>0</v>
      </c>
      <c r="H9" s="18">
        <f t="shared" si="3"/>
        <v>0</v>
      </c>
      <c r="I9" s="18">
        <f t="shared" si="4"/>
        <v>0</v>
      </c>
      <c r="J9" s="18">
        <f t="shared" si="5"/>
        <v>0</v>
      </c>
      <c r="K9" s="18">
        <f t="shared" si="6"/>
        <v>0</v>
      </c>
      <c r="L9" s="18">
        <f t="shared" si="0"/>
        <v>0</v>
      </c>
      <c r="M9" s="24">
        <f t="shared" si="7"/>
        <v>0</v>
      </c>
    </row>
    <row r="10" spans="1:13" ht="28.5">
      <c r="A10" s="17">
        <v>90</v>
      </c>
      <c r="B10" s="18"/>
      <c r="C10" s="18"/>
      <c r="D10" s="18"/>
      <c r="E10" s="18" t="s">
        <v>25</v>
      </c>
      <c r="F10" s="18">
        <f t="shared" si="1"/>
        <v>0</v>
      </c>
      <c r="G10" s="18">
        <f t="shared" si="2"/>
        <v>0</v>
      </c>
      <c r="H10" s="18">
        <f t="shared" si="3"/>
        <v>0</v>
      </c>
      <c r="I10" s="18">
        <f t="shared" si="4"/>
        <v>0</v>
      </c>
      <c r="J10" s="18">
        <f t="shared" si="5"/>
        <v>0</v>
      </c>
      <c r="K10" s="18">
        <f t="shared" si="6"/>
        <v>0</v>
      </c>
      <c r="L10" s="18">
        <f t="shared" si="0"/>
        <v>0</v>
      </c>
      <c r="M10" s="24">
        <f t="shared" si="7"/>
        <v>0</v>
      </c>
    </row>
    <row r="11" spans="1:13" ht="28.5">
      <c r="A11" s="17">
        <v>90</v>
      </c>
      <c r="B11" s="18"/>
      <c r="C11" s="18"/>
      <c r="D11" s="18"/>
      <c r="E11" s="18" t="s">
        <v>25</v>
      </c>
      <c r="F11" s="18">
        <f t="shared" si="1"/>
        <v>0</v>
      </c>
      <c r="G11" s="18">
        <f t="shared" si="2"/>
        <v>0</v>
      </c>
      <c r="H11" s="18">
        <f t="shared" si="3"/>
        <v>0</v>
      </c>
      <c r="I11" s="18">
        <f t="shared" si="4"/>
        <v>0</v>
      </c>
      <c r="J11" s="18">
        <f t="shared" si="5"/>
        <v>0</v>
      </c>
      <c r="K11" s="18">
        <f t="shared" si="6"/>
        <v>0</v>
      </c>
      <c r="L11" s="18">
        <f t="shared" si="0"/>
        <v>0</v>
      </c>
      <c r="M11" s="24">
        <f t="shared" si="7"/>
        <v>0</v>
      </c>
    </row>
    <row r="12" spans="1:13" ht="28.5">
      <c r="A12" s="17">
        <v>90</v>
      </c>
      <c r="B12" s="18"/>
      <c r="C12" s="18"/>
      <c r="D12" s="18"/>
      <c r="E12" s="18" t="s">
        <v>25</v>
      </c>
      <c r="F12" s="18">
        <f t="shared" si="1"/>
        <v>0</v>
      </c>
      <c r="G12" s="18">
        <f t="shared" si="2"/>
        <v>0</v>
      </c>
      <c r="H12" s="18">
        <f t="shared" si="3"/>
        <v>0</v>
      </c>
      <c r="I12" s="18">
        <f t="shared" si="4"/>
        <v>0</v>
      </c>
      <c r="J12" s="18">
        <f t="shared" si="5"/>
        <v>0</v>
      </c>
      <c r="K12" s="18">
        <f t="shared" si="6"/>
        <v>0</v>
      </c>
      <c r="L12" s="18">
        <f t="shared" si="0"/>
        <v>0</v>
      </c>
      <c r="M12" s="24">
        <f t="shared" si="7"/>
        <v>0</v>
      </c>
    </row>
    <row r="13" spans="1:13" ht="28.5">
      <c r="A13" s="17">
        <v>90</v>
      </c>
      <c r="B13" s="18"/>
      <c r="C13" s="18"/>
      <c r="D13" s="18"/>
      <c r="E13" s="18" t="s">
        <v>25</v>
      </c>
      <c r="F13" s="18">
        <f t="shared" si="1"/>
        <v>0</v>
      </c>
      <c r="G13" s="18">
        <f t="shared" si="2"/>
        <v>0</v>
      </c>
      <c r="H13" s="18">
        <f t="shared" si="3"/>
        <v>0</v>
      </c>
      <c r="I13" s="18">
        <f t="shared" si="4"/>
        <v>0</v>
      </c>
      <c r="J13" s="18">
        <f t="shared" si="5"/>
        <v>0</v>
      </c>
      <c r="K13" s="18">
        <f t="shared" si="6"/>
        <v>0</v>
      </c>
      <c r="L13" s="18">
        <f t="shared" si="0"/>
        <v>0</v>
      </c>
      <c r="M13" s="24">
        <f t="shared" si="7"/>
        <v>0</v>
      </c>
    </row>
    <row r="14" spans="1:13" ht="28.5">
      <c r="A14" s="17">
        <v>90</v>
      </c>
      <c r="B14" s="18"/>
      <c r="C14" s="18"/>
      <c r="D14" s="18"/>
      <c r="E14" s="18" t="s">
        <v>25</v>
      </c>
      <c r="F14" s="18">
        <f t="shared" si="1"/>
        <v>0</v>
      </c>
      <c r="G14" s="18">
        <f t="shared" si="2"/>
        <v>0</v>
      </c>
      <c r="H14" s="18">
        <f t="shared" si="3"/>
        <v>0</v>
      </c>
      <c r="I14" s="18">
        <f t="shared" si="4"/>
        <v>0</v>
      </c>
      <c r="J14" s="18">
        <f t="shared" si="5"/>
        <v>0</v>
      </c>
      <c r="K14" s="18">
        <f t="shared" si="6"/>
        <v>0</v>
      </c>
      <c r="L14" s="18">
        <f t="shared" si="0"/>
        <v>0</v>
      </c>
      <c r="M14" s="24">
        <f t="shared" si="7"/>
        <v>0</v>
      </c>
    </row>
    <row r="15" spans="1:13" ht="28.5">
      <c r="A15" s="17">
        <v>90</v>
      </c>
      <c r="B15" s="18"/>
      <c r="C15" s="18"/>
      <c r="D15" s="18"/>
      <c r="E15" s="18" t="s">
        <v>25</v>
      </c>
      <c r="F15" s="18">
        <f t="shared" si="1"/>
        <v>0</v>
      </c>
      <c r="G15" s="18">
        <f t="shared" si="2"/>
        <v>0</v>
      </c>
      <c r="H15" s="18">
        <f t="shared" si="3"/>
        <v>0</v>
      </c>
      <c r="I15" s="18">
        <f t="shared" si="4"/>
        <v>0</v>
      </c>
      <c r="J15" s="18">
        <f t="shared" si="5"/>
        <v>0</v>
      </c>
      <c r="K15" s="18">
        <f t="shared" si="6"/>
        <v>0</v>
      </c>
      <c r="L15" s="18">
        <f t="shared" si="0"/>
        <v>0</v>
      </c>
      <c r="M15" s="24">
        <f t="shared" si="7"/>
        <v>0</v>
      </c>
    </row>
    <row r="16" spans="1:13" ht="28.5">
      <c r="A16" s="17">
        <v>90</v>
      </c>
      <c r="B16" s="18"/>
      <c r="C16" s="18"/>
      <c r="D16" s="18"/>
      <c r="E16" s="18" t="s">
        <v>25</v>
      </c>
      <c r="F16" s="18">
        <f t="shared" si="1"/>
        <v>0</v>
      </c>
      <c r="G16" s="18">
        <f t="shared" si="2"/>
        <v>0</v>
      </c>
      <c r="H16" s="18">
        <f t="shared" si="3"/>
        <v>0</v>
      </c>
      <c r="I16" s="18">
        <f t="shared" si="4"/>
        <v>0</v>
      </c>
      <c r="J16" s="18">
        <f t="shared" si="5"/>
        <v>0</v>
      </c>
      <c r="K16" s="18">
        <f t="shared" si="6"/>
        <v>0</v>
      </c>
      <c r="L16" s="18">
        <f t="shared" si="0"/>
        <v>0</v>
      </c>
      <c r="M16" s="24">
        <f t="shared" si="7"/>
        <v>0</v>
      </c>
    </row>
    <row r="17" spans="1:13" ht="28.5">
      <c r="A17" s="21">
        <v>90</v>
      </c>
      <c r="B17" s="18"/>
      <c r="C17" s="18"/>
      <c r="D17" s="18"/>
      <c r="E17" s="18" t="s">
        <v>25</v>
      </c>
      <c r="F17" s="18">
        <f t="shared" si="1"/>
        <v>0</v>
      </c>
      <c r="G17" s="18">
        <f t="shared" si="2"/>
        <v>0</v>
      </c>
      <c r="H17" s="18">
        <f t="shared" si="3"/>
        <v>0</v>
      </c>
      <c r="I17" s="18">
        <f t="shared" si="4"/>
        <v>0</v>
      </c>
      <c r="J17" s="18">
        <f t="shared" si="5"/>
        <v>0</v>
      </c>
      <c r="K17" s="18">
        <f t="shared" si="6"/>
        <v>0</v>
      </c>
      <c r="L17" s="18">
        <f t="shared" si="0"/>
        <v>0</v>
      </c>
      <c r="M17" s="24">
        <f t="shared" si="7"/>
        <v>0</v>
      </c>
    </row>
    <row r="18" spans="1:13" ht="28.5">
      <c r="A18" s="17">
        <v>90</v>
      </c>
      <c r="B18" s="18"/>
      <c r="C18" s="18"/>
      <c r="D18" s="18"/>
      <c r="E18" s="18" t="s">
        <v>25</v>
      </c>
      <c r="F18" s="18">
        <f t="shared" si="1"/>
        <v>0</v>
      </c>
      <c r="G18" s="18">
        <f t="shared" si="2"/>
        <v>0</v>
      </c>
      <c r="H18" s="18">
        <f t="shared" si="3"/>
        <v>0</v>
      </c>
      <c r="I18" s="18">
        <f t="shared" si="4"/>
        <v>0</v>
      </c>
      <c r="J18" s="18">
        <f t="shared" si="5"/>
        <v>0</v>
      </c>
      <c r="K18" s="18">
        <f t="shared" si="6"/>
        <v>0</v>
      </c>
      <c r="L18" s="18">
        <f t="shared" si="0"/>
        <v>0</v>
      </c>
      <c r="M18" s="24">
        <f t="shared" si="7"/>
        <v>0</v>
      </c>
    </row>
    <row r="19" spans="1:13" ht="28.5">
      <c r="A19" s="101" t="s">
        <v>43</v>
      </c>
      <c r="B19" s="101"/>
      <c r="C19" s="101"/>
      <c r="D19" s="25">
        <f>COUNTIF(F4:L18, "&lt;&gt;0")</f>
        <v>0</v>
      </c>
      <c r="E19"/>
      <c r="F19"/>
      <c r="G19"/>
      <c r="H19"/>
      <c r="I19"/>
      <c r="J19"/>
      <c r="K19"/>
      <c r="L19"/>
      <c r="M19"/>
    </row>
    <row r="20" spans="1:13" ht="28.5">
      <c r="A20" s="101" t="s">
        <v>44</v>
      </c>
      <c r="B20" s="101"/>
      <c r="C20" s="101"/>
      <c r="D20" s="26">
        <f>SUM(F4:L18)/90</f>
        <v>0</v>
      </c>
      <c r="E20"/>
      <c r="F20" s="88"/>
      <c r="G20"/>
      <c r="H20"/>
      <c r="I20"/>
      <c r="J20"/>
      <c r="K20"/>
      <c r="L20"/>
      <c r="M20"/>
    </row>
  </sheetData>
  <mergeCells count="3">
    <mergeCell ref="A19:C19"/>
    <mergeCell ref="A20:C20"/>
    <mergeCell ref="A1:M2"/>
  </mergeCells>
  <conditionalFormatting sqref="A13 A16">
    <cfRule type="cellIs" dxfId="48" priority="2" operator="equal">
      <formula>A9</formula>
    </cfRule>
  </conditionalFormatting>
  <conditionalFormatting sqref="A4:A18">
    <cfRule type="cellIs" dxfId="47" priority="3" operator="equal">
      <formula>#REF!</formula>
    </cfRule>
  </conditionalFormatting>
  <conditionalFormatting sqref="F4:L18 F20">
    <cfRule type="cellIs" dxfId="46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4D410-692F-47F5-A1D7-72348278C6BB}">
  <sheetPr codeName="Sheet2"/>
  <dimension ref="A1:S54"/>
  <sheetViews>
    <sheetView workbookViewId="0">
      <selection activeCell="A4" sqref="A4:D18"/>
    </sheetView>
  </sheetViews>
  <sheetFormatPr defaultColWidth="9.140625" defaultRowHeight="15"/>
  <cols>
    <col min="1" max="1" width="18.28515625" style="2" customWidth="1"/>
    <col min="2" max="2" width="43.42578125" style="2" customWidth="1"/>
    <col min="3" max="3" width="15.140625" style="62" bestFit="1" customWidth="1"/>
    <col min="4" max="4" width="13.28515625" style="2" customWidth="1"/>
    <col min="5" max="5" width="17.28515625" style="2" customWidth="1"/>
    <col min="6" max="6" width="9.140625" style="3"/>
    <col min="7" max="7" width="9.140625" style="2"/>
    <col min="8" max="8" width="12" style="4" customWidth="1"/>
    <col min="9" max="9" width="11" style="4" customWidth="1"/>
    <col min="10" max="10" width="12.28515625" style="4" customWidth="1"/>
    <col min="11" max="11" width="13.28515625" style="2" customWidth="1"/>
    <col min="12" max="12" width="30.140625" style="2" customWidth="1"/>
    <col min="13" max="13" width="28" style="2" customWidth="1"/>
    <col min="14" max="14" width="9.28515625" style="2" customWidth="1"/>
    <col min="15" max="16384" width="9.140625" style="2"/>
  </cols>
  <sheetData>
    <row r="1" spans="1:13" ht="15" customHeight="1">
      <c r="L1" s="108" t="s">
        <v>31</v>
      </c>
      <c r="M1" s="109"/>
    </row>
    <row r="2" spans="1:13" ht="15" customHeight="1">
      <c r="L2" s="110"/>
      <c r="M2" s="111"/>
    </row>
    <row r="3" spans="1:13" ht="15" customHeight="1">
      <c r="A3" s="4" t="s">
        <v>15</v>
      </c>
      <c r="B3" s="4" t="s">
        <v>16</v>
      </c>
      <c r="C3" s="4" t="s">
        <v>17</v>
      </c>
      <c r="D3" s="4" t="s">
        <v>18</v>
      </c>
      <c r="E3" s="4" t="s">
        <v>19</v>
      </c>
      <c r="H3" s="4" t="s">
        <v>20</v>
      </c>
      <c r="I3" s="4" t="s">
        <v>21</v>
      </c>
      <c r="J3" s="4" t="s">
        <v>22</v>
      </c>
      <c r="L3" s="110"/>
      <c r="M3" s="111"/>
    </row>
    <row r="4" spans="1:13" ht="15.75" customHeight="1">
      <c r="A4" s="94"/>
      <c r="B4" s="94"/>
      <c r="C4" s="95"/>
      <c r="D4" s="94"/>
      <c r="E4" s="4" t="b">
        <v>0</v>
      </c>
      <c r="F4" s="6" t="str">
        <f t="shared" ref="F4:F14" si="0">IF(E4="s",ROUNDUP(C4/8,0)+(ROUNDUP(C4/64,0))*2,IF(E4="m",(ROUNDUP(C4/8,0))*2+(ROUNDUP(C4/40,0))*2,IF(E4="L",(ROUNDUP(C4/4,0))*2+(ROUNDUP(C4/20,0))*2,"")))</f>
        <v/>
      </c>
      <c r="G4" s="3" t="str">
        <f>IF(F4="s",ROUNDUP(D4/8,0)+(ROUNDUP(D4/64,0))*2,"")</f>
        <v/>
      </c>
      <c r="H4" s="8"/>
      <c r="I4" s="8">
        <v>296158</v>
      </c>
      <c r="L4" s="112"/>
      <c r="M4" s="113"/>
    </row>
    <row r="5" spans="1:13" ht="34.5" thickBot="1">
      <c r="A5" s="94"/>
      <c r="B5" s="94"/>
      <c r="C5" s="95"/>
      <c r="D5" s="94"/>
      <c r="E5" s="4" t="b">
        <f>IF(ISNUMBER(MATCH(A5,Table2[S],0)), "S", IF(ISNUMBER(MATCH(A5,Table2[M],0)), "M", IF(ISNUMBER(MATCH(A5,Table2[L],0)), "L")))</f>
        <v>0</v>
      </c>
      <c r="F5" s="6" t="str">
        <f t="shared" si="0"/>
        <v/>
      </c>
      <c r="H5" s="8"/>
      <c r="I5" s="8">
        <v>296159</v>
      </c>
      <c r="L5" s="10" t="s">
        <v>23</v>
      </c>
      <c r="M5" s="27">
        <f>ROUNDUP(SUM(F4:F45)/22,0)</f>
        <v>0</v>
      </c>
    </row>
    <row r="6" spans="1:13">
      <c r="A6" s="94"/>
      <c r="B6" s="94"/>
      <c r="C6" s="95"/>
      <c r="D6" s="94"/>
      <c r="E6" s="4" t="b">
        <f>IF(ISNUMBER(MATCH(A6,Table2[S],0)), "S", IF(ISNUMBER(MATCH(A6,Table2[M],0)), "M", IF(ISNUMBER(MATCH(A6,Table2[L],0)), "L")))</f>
        <v>0</v>
      </c>
      <c r="F6" s="6" t="str">
        <f t="shared" si="0"/>
        <v/>
      </c>
      <c r="H6" s="8"/>
      <c r="I6" s="8">
        <v>296157</v>
      </c>
    </row>
    <row r="7" spans="1:13">
      <c r="A7" s="94"/>
      <c r="B7" s="94"/>
      <c r="C7" s="95"/>
      <c r="D7" s="94"/>
      <c r="E7" s="4" t="b">
        <f>IF(ISNUMBER(MATCH(A7,Table2[S],0)), "S", IF(ISNUMBER(MATCH(A7,Table2[M],0)), "M", IF(ISNUMBER(MATCH(A7,Table2[L],0)), "L")))</f>
        <v>0</v>
      </c>
      <c r="F7" s="6" t="str">
        <f t="shared" si="0"/>
        <v/>
      </c>
      <c r="H7" s="8"/>
      <c r="I7" s="8">
        <v>296156</v>
      </c>
    </row>
    <row r="8" spans="1:13">
      <c r="A8" s="94"/>
      <c r="B8" s="94"/>
      <c r="C8" s="95"/>
      <c r="D8" s="94"/>
      <c r="E8" s="4" t="b">
        <f>IF(ISNUMBER(MATCH(A8,Table2[S],0)), "S", IF(ISNUMBER(MATCH(A8,Table2[M],0)), "M", IF(ISNUMBER(MATCH(A8,Table2[L],0)), "L")))</f>
        <v>0</v>
      </c>
      <c r="F8" s="6" t="str">
        <f t="shared" si="0"/>
        <v/>
      </c>
      <c r="H8" s="8"/>
      <c r="I8" s="8">
        <v>296178</v>
      </c>
    </row>
    <row r="9" spans="1:13">
      <c r="A9" s="94"/>
      <c r="B9" s="94"/>
      <c r="C9" s="95"/>
      <c r="D9" s="94"/>
      <c r="E9" s="4" t="b">
        <f>IF(ISNUMBER(MATCH(A9,Table2[S],0)), "S", IF(ISNUMBER(MATCH(A9,Table2[M],0)), "M", IF(ISNUMBER(MATCH(A9,Table2[L],0)), "L")))</f>
        <v>0</v>
      </c>
      <c r="F9" s="6" t="str">
        <f t="shared" si="0"/>
        <v/>
      </c>
      <c r="H9" s="8"/>
      <c r="I9" s="8">
        <v>296182</v>
      </c>
    </row>
    <row r="10" spans="1:13">
      <c r="A10" s="94"/>
      <c r="B10" s="94"/>
      <c r="C10" s="95"/>
      <c r="D10" s="94"/>
      <c r="E10" s="4" t="b">
        <f>IF(ISNUMBER(MATCH(A10,Table2[S],0)), "S", IF(ISNUMBER(MATCH(A10,Table2[M],0)), "M", IF(ISNUMBER(MATCH(A10,Table2[L],0)), "L")))</f>
        <v>0</v>
      </c>
      <c r="F10" s="6" t="str">
        <f t="shared" si="0"/>
        <v/>
      </c>
      <c r="H10" s="8"/>
      <c r="I10" s="8">
        <v>296106</v>
      </c>
    </row>
    <row r="11" spans="1:13">
      <c r="A11" s="94"/>
      <c r="B11" s="94"/>
      <c r="C11" s="95"/>
      <c r="D11" s="94"/>
      <c r="E11" s="4" t="b">
        <f>IF(ISNUMBER(MATCH(A11,Table2[S],0)), "S", IF(ISNUMBER(MATCH(A11,Table2[M],0)), "M", IF(ISNUMBER(MATCH(A11,Table2[L],0)), "L")))</f>
        <v>0</v>
      </c>
      <c r="F11" s="6" t="str">
        <f t="shared" si="0"/>
        <v/>
      </c>
      <c r="H11" s="8"/>
      <c r="I11" s="8">
        <v>296179</v>
      </c>
    </row>
    <row r="12" spans="1:13">
      <c r="A12" s="94"/>
      <c r="B12" s="94"/>
      <c r="C12" s="95"/>
      <c r="D12" s="94"/>
      <c r="E12" s="4" t="b">
        <f>IF(ISNUMBER(MATCH(A12,Table2[S],0)), "S", IF(ISNUMBER(MATCH(A12,Table2[M],0)), "M", IF(ISNUMBER(MATCH(A12,Table2[L],0)), "L")))</f>
        <v>0</v>
      </c>
      <c r="F12" s="6" t="str">
        <f t="shared" si="0"/>
        <v/>
      </c>
      <c r="H12" s="8"/>
      <c r="I12" s="8">
        <v>296147</v>
      </c>
    </row>
    <row r="13" spans="1:13">
      <c r="A13" s="94"/>
      <c r="B13" s="11"/>
      <c r="C13" s="95"/>
      <c r="D13" s="94"/>
      <c r="E13" s="4" t="b">
        <f>IF(ISNUMBER(MATCH(A13,Table2[S],0)), "S", IF(ISNUMBER(MATCH(A13,Table2[M],0)), "M", IF(ISNUMBER(MATCH(A13,Table2[L],0)), "L")))</f>
        <v>0</v>
      </c>
      <c r="F13" s="6" t="str">
        <f t="shared" si="0"/>
        <v/>
      </c>
      <c r="H13" s="8"/>
      <c r="I13" s="8">
        <v>296181</v>
      </c>
    </row>
    <row r="14" spans="1:13">
      <c r="A14" s="94"/>
      <c r="B14" s="11"/>
      <c r="C14" s="95"/>
      <c r="D14" s="94"/>
      <c r="E14" s="4" t="b">
        <f>IF(ISNUMBER(MATCH(A14,Table2[S],0)), "S", IF(ISNUMBER(MATCH(A14,Table2[M],0)), "M", IF(ISNUMBER(MATCH(A14,Table2[L],0)), "L")))</f>
        <v>0</v>
      </c>
      <c r="F14" s="6" t="str">
        <f t="shared" si="0"/>
        <v/>
      </c>
      <c r="H14" s="8"/>
      <c r="I14" s="8">
        <v>296180</v>
      </c>
    </row>
    <row r="15" spans="1:13">
      <c r="A15" s="11"/>
      <c r="B15" s="11"/>
      <c r="C15" s="8"/>
      <c r="D15" s="11"/>
      <c r="E15" s="4" t="b">
        <f>IF(ISNUMBER(MATCH(A15,Table2[S],0)), "S", IF(ISNUMBER(MATCH(A15,Table2[M],0)), "M", IF(ISNUMBER(MATCH(A15,Table2[L],0)), "L")))</f>
        <v>0</v>
      </c>
      <c r="F15" s="6" t="str">
        <f t="shared" ref="F15:F45" si="1">IF(E15="s",ROUNDUP(C15/8,0)+(ROUNDUP(C15/64,0))*2,IF(E15="m",(ROUNDUP(C15/8,0))*2+(ROUNDUP(C15/40,0))*2,IF(E15="L",(ROUNDUP(C15/4,0))*2+(ROUNDUP(C15/20,0))*2,"")))</f>
        <v/>
      </c>
      <c r="H15" s="8"/>
      <c r="I15" s="8">
        <v>231023</v>
      </c>
    </row>
    <row r="16" spans="1:13">
      <c r="A16" s="11"/>
      <c r="B16" s="11"/>
      <c r="C16" s="8"/>
      <c r="D16" s="11"/>
      <c r="E16" s="4" t="b">
        <f>IF(ISNUMBER(MATCH(A16,Table2[S],0)), "S", IF(ISNUMBER(MATCH(A16,Table2[M],0)), "M", IF(ISNUMBER(MATCH(A16,Table2[L],0)), "L")))</f>
        <v>0</v>
      </c>
      <c r="F16" s="6" t="str">
        <f t="shared" si="1"/>
        <v/>
      </c>
      <c r="H16" s="8" t="s">
        <v>24</v>
      </c>
      <c r="I16" s="8">
        <v>231022</v>
      </c>
    </row>
    <row r="17" spans="1:19">
      <c r="A17" s="11"/>
      <c r="B17" s="11"/>
      <c r="C17" s="8"/>
      <c r="D17" s="11"/>
      <c r="E17" s="4" t="b">
        <f>IF(ISNUMBER(MATCH(A17,Table2[S],0)), "S", IF(ISNUMBER(MATCH(A17,Table2[M],0)), "M", IF(ISNUMBER(MATCH(A17,Table2[L],0)), "L")))</f>
        <v>0</v>
      </c>
      <c r="F17" s="6" t="str">
        <f t="shared" si="1"/>
        <v/>
      </c>
      <c r="H17" s="8"/>
      <c r="I17" s="8">
        <v>296195</v>
      </c>
    </row>
    <row r="18" spans="1:19">
      <c r="A18" s="11"/>
      <c r="B18" s="11"/>
      <c r="C18" s="8"/>
      <c r="D18" s="11"/>
      <c r="E18" s="4" t="b">
        <f>IF(ISNUMBER(MATCH(A18,Table2[S],0)), "S", IF(ISNUMBER(MATCH(A18,Table2[M],0)), "M", IF(ISNUMBER(MATCH(A18,Table2[L],0)), "L")))</f>
        <v>0</v>
      </c>
      <c r="F18" s="6" t="str">
        <f t="shared" si="1"/>
        <v/>
      </c>
      <c r="H18" s="8"/>
      <c r="I18" s="8">
        <v>296196</v>
      </c>
    </row>
    <row r="19" spans="1:19">
      <c r="A19" s="11"/>
      <c r="B19" s="11"/>
      <c r="C19" s="8"/>
      <c r="D19" s="11"/>
      <c r="E19" s="4" t="b">
        <f>IF(ISNUMBER(MATCH(A19,Table2[S],0)), "S", IF(ISNUMBER(MATCH(A19,Table2[M],0)), "M", IF(ISNUMBER(MATCH(A19,Table2[L],0)), "L")))</f>
        <v>0</v>
      </c>
      <c r="F19" s="6" t="str">
        <f t="shared" si="1"/>
        <v/>
      </c>
      <c r="H19" s="8"/>
      <c r="I19" s="8">
        <v>296197</v>
      </c>
    </row>
    <row r="20" spans="1:19">
      <c r="A20" s="11"/>
      <c r="B20" s="11"/>
      <c r="C20" s="8"/>
      <c r="D20" s="11"/>
      <c r="E20" s="4" t="b">
        <f>IF(ISNUMBER(MATCH(A20,Table2[S],0)), "S", IF(ISNUMBER(MATCH(A20,Table2[M],0)), "M", IF(ISNUMBER(MATCH(A20,Table2[L],0)), "L")))</f>
        <v>0</v>
      </c>
      <c r="F20" s="6" t="str">
        <f t="shared" si="1"/>
        <v/>
      </c>
      <c r="H20" s="8"/>
      <c r="I20" s="8"/>
    </row>
    <row r="21" spans="1:19">
      <c r="A21" s="11"/>
      <c r="B21" s="11"/>
      <c r="C21" s="8"/>
      <c r="D21" s="11"/>
      <c r="E21" s="4" t="b">
        <f>IF(ISNUMBER(MATCH(A21,Table2[S],0)), "S", IF(ISNUMBER(MATCH(A21,Table2[M],0)), "M", IF(ISNUMBER(MATCH(A21,Table2[L],0)), "L")))</f>
        <v>0</v>
      </c>
      <c r="F21" s="6" t="str">
        <f t="shared" si="1"/>
        <v/>
      </c>
      <c r="H21" s="8"/>
      <c r="I21" s="8"/>
    </row>
    <row r="22" spans="1:19" ht="18.75">
      <c r="A22" s="11"/>
      <c r="B22" s="11"/>
      <c r="C22" s="8"/>
      <c r="D22" s="11"/>
      <c r="E22" s="4" t="b">
        <f>IF(ISNUMBER(MATCH(A22,Table2[S],0)), "S", IF(ISNUMBER(MATCH(A22,Table2[M],0)), "M", IF(ISNUMBER(MATCH(A22,Table2[L],0)), "L")))</f>
        <v>0</v>
      </c>
      <c r="F22" s="6" t="str">
        <f t="shared" si="1"/>
        <v/>
      </c>
      <c r="H22" s="8"/>
      <c r="I22" s="8"/>
      <c r="L22" s="85"/>
      <c r="M22" s="85"/>
      <c r="N22" s="85"/>
      <c r="O22" s="85"/>
    </row>
    <row r="23" spans="1:19" ht="18.75">
      <c r="A23" s="11"/>
      <c r="B23" s="11"/>
      <c r="C23" s="8"/>
      <c r="D23" s="11"/>
      <c r="E23" s="4" t="b">
        <f>IF(ISNUMBER(MATCH(A23,Table2[S],0)), "S", IF(ISNUMBER(MATCH(A23,Table2[M],0)), "M", IF(ISNUMBER(MATCH(A23,Table2[L],0)), "L")))</f>
        <v>0</v>
      </c>
      <c r="F23" s="6" t="str">
        <f t="shared" si="1"/>
        <v/>
      </c>
      <c r="H23" s="8"/>
      <c r="I23" s="8"/>
      <c r="L23" s="85"/>
      <c r="M23" s="85"/>
      <c r="N23" s="85"/>
      <c r="O23" s="85"/>
      <c r="P23" s="85"/>
      <c r="Q23" s="85"/>
      <c r="R23" s="85"/>
      <c r="S23" s="85"/>
    </row>
    <row r="24" spans="1:19">
      <c r="A24" s="11"/>
      <c r="B24" s="11"/>
      <c r="C24" s="8"/>
      <c r="D24" s="11"/>
      <c r="E24" s="4" t="b">
        <f>IF(ISNUMBER(MATCH(A24,Table2[S],0)), "S", IF(ISNUMBER(MATCH(A24,Table2[M],0)), "M", IF(ISNUMBER(MATCH(A24,Table2[L],0)), "L")))</f>
        <v>0</v>
      </c>
      <c r="F24" s="6" t="str">
        <f t="shared" si="1"/>
        <v/>
      </c>
      <c r="H24" s="8"/>
      <c r="I24" s="8"/>
    </row>
    <row r="25" spans="1:19">
      <c r="A25" s="11"/>
      <c r="B25" s="11"/>
      <c r="C25" s="8"/>
      <c r="D25" s="11"/>
      <c r="E25" s="4" t="b">
        <f>IF(ISNUMBER(MATCH(A25,Table2[S],0)), "S", IF(ISNUMBER(MATCH(A25,Table2[M],0)), "M", IF(ISNUMBER(MATCH(A25,Table2[L],0)), "L")))</f>
        <v>0</v>
      </c>
      <c r="F25" s="6" t="str">
        <f t="shared" si="1"/>
        <v/>
      </c>
      <c r="H25" s="8"/>
      <c r="I25" s="8"/>
    </row>
    <row r="26" spans="1:19">
      <c r="A26" s="11"/>
      <c r="B26" s="11"/>
      <c r="C26" s="8"/>
      <c r="D26" s="11"/>
      <c r="E26" s="4" t="b">
        <f>IF(ISNUMBER(MATCH(A26,Table2[S],0)), "S", IF(ISNUMBER(MATCH(A26,Table2[M],0)), "M", IF(ISNUMBER(MATCH(A26,Table2[L],0)), "L")))</f>
        <v>0</v>
      </c>
      <c r="F26" s="6" t="str">
        <f t="shared" si="1"/>
        <v/>
      </c>
      <c r="H26" s="8"/>
      <c r="I26" s="8"/>
    </row>
    <row r="27" spans="1:19">
      <c r="A27" s="11"/>
      <c r="B27" s="11"/>
      <c r="C27" s="8"/>
      <c r="D27" s="11"/>
      <c r="E27" s="4" t="b">
        <f>IF(ISNUMBER(MATCH(A27,Table2[S],0)), "S", IF(ISNUMBER(MATCH(A27,Table2[M],0)), "M", IF(ISNUMBER(MATCH(A27,Table2[L],0)), "L")))</f>
        <v>0</v>
      </c>
      <c r="F27" s="6" t="str">
        <f t="shared" si="1"/>
        <v/>
      </c>
      <c r="H27" s="8"/>
      <c r="I27" s="8"/>
    </row>
    <row r="28" spans="1:19">
      <c r="A28" s="11"/>
      <c r="B28" s="11"/>
      <c r="C28" s="8"/>
      <c r="D28" s="11"/>
      <c r="E28" s="4" t="b">
        <f>IF(ISNUMBER(MATCH(A28,Table2[S],0)), "S", IF(ISNUMBER(MATCH(A28,Table2[M],0)), "M", IF(ISNUMBER(MATCH(A28,Table2[L],0)), "L")))</f>
        <v>0</v>
      </c>
      <c r="F28" s="6" t="str">
        <f t="shared" si="1"/>
        <v/>
      </c>
      <c r="H28" s="8"/>
      <c r="I28" s="8"/>
    </row>
    <row r="29" spans="1:19">
      <c r="A29" s="11"/>
      <c r="B29" s="11"/>
      <c r="C29" s="8"/>
      <c r="D29" s="11"/>
      <c r="E29" s="4" t="b">
        <f>IF(ISNUMBER(MATCH(A29,Table2[S],0)), "S", IF(ISNUMBER(MATCH(A29,Table2[M],0)), "M", IF(ISNUMBER(MATCH(A29,Table2[L],0)), "L")))</f>
        <v>0</v>
      </c>
      <c r="F29" s="6" t="str">
        <f t="shared" si="1"/>
        <v/>
      </c>
      <c r="H29" s="8"/>
      <c r="I29" s="8"/>
    </row>
    <row r="30" spans="1:19">
      <c r="A30" s="11"/>
      <c r="B30" s="11"/>
      <c r="C30" s="8"/>
      <c r="D30" s="11"/>
      <c r="E30" s="4" t="b">
        <f>IF(ISNUMBER(MATCH(A30,Table2[S],0)), "S", IF(ISNUMBER(MATCH(A30,Table2[M],0)), "M", IF(ISNUMBER(MATCH(A30,Table2[L],0)), "L")))</f>
        <v>0</v>
      </c>
      <c r="F30" s="6" t="str">
        <f t="shared" si="1"/>
        <v/>
      </c>
      <c r="H30" s="8"/>
      <c r="I30" s="8"/>
    </row>
    <row r="31" spans="1:19">
      <c r="A31" s="11"/>
      <c r="B31" s="11"/>
      <c r="C31" s="8"/>
      <c r="D31" s="11"/>
      <c r="E31" s="4" t="b">
        <f>IF(ISNUMBER(MATCH(A31,Table2[S],0)), "S", IF(ISNUMBER(MATCH(A31,Table2[M],0)), "M", IF(ISNUMBER(MATCH(A31,Table2[L],0)), "L")))</f>
        <v>0</v>
      </c>
      <c r="F31" s="6" t="str">
        <f t="shared" si="1"/>
        <v/>
      </c>
      <c r="H31" s="8"/>
      <c r="I31" s="8"/>
    </row>
    <row r="32" spans="1:19">
      <c r="A32" s="11"/>
      <c r="B32" s="11"/>
      <c r="C32" s="8"/>
      <c r="D32" s="11"/>
      <c r="E32" s="4" t="b">
        <f>IF(ISNUMBER(MATCH(A32,Table2[S],0)), "S", IF(ISNUMBER(MATCH(A32,Table2[M],0)), "M", IF(ISNUMBER(MATCH(A32,Table2[L],0)), "L")))</f>
        <v>0</v>
      </c>
      <c r="F32" s="6" t="str">
        <f t="shared" si="1"/>
        <v/>
      </c>
      <c r="H32" s="8"/>
      <c r="I32" s="8"/>
    </row>
    <row r="33" spans="1:9">
      <c r="A33" s="11"/>
      <c r="B33" s="11"/>
      <c r="C33" s="8"/>
      <c r="D33" s="11"/>
      <c r="E33" s="4" t="b">
        <f>IF(ISNUMBER(MATCH(A33,Table2[S],0)), "S", IF(ISNUMBER(MATCH(A33,Table2[M],0)), "M", IF(ISNUMBER(MATCH(A33,Table2[L],0)), "L")))</f>
        <v>0</v>
      </c>
      <c r="F33" s="6" t="str">
        <f t="shared" si="1"/>
        <v/>
      </c>
      <c r="H33" s="8"/>
      <c r="I33" s="8"/>
    </row>
    <row r="34" spans="1:9">
      <c r="A34" s="11"/>
      <c r="B34" s="11"/>
      <c r="C34" s="8"/>
      <c r="D34" s="11"/>
      <c r="E34" s="4" t="b">
        <f>IF(ISNUMBER(MATCH(A34,Table2[S],0)), "S", IF(ISNUMBER(MATCH(A34,Table2[M],0)), "M", IF(ISNUMBER(MATCH(A34,Table2[L],0)), "L")))</f>
        <v>0</v>
      </c>
      <c r="F34" s="6" t="str">
        <f t="shared" si="1"/>
        <v/>
      </c>
      <c r="H34" s="8"/>
      <c r="I34" s="8"/>
    </row>
    <row r="35" spans="1:9">
      <c r="A35" s="11"/>
      <c r="B35" s="11"/>
      <c r="C35" s="8"/>
      <c r="D35" s="11"/>
      <c r="E35" s="4" t="b">
        <f>IF(ISNUMBER(MATCH(A35,Table2[S],0)), "S", IF(ISNUMBER(MATCH(A35,Table2[M],0)), "M", IF(ISNUMBER(MATCH(A35,Table2[L],0)), "L")))</f>
        <v>0</v>
      </c>
      <c r="F35" s="6" t="str">
        <f t="shared" si="1"/>
        <v/>
      </c>
      <c r="H35" s="8"/>
      <c r="I35" s="8"/>
    </row>
    <row r="36" spans="1:9">
      <c r="A36" s="11"/>
      <c r="B36" s="11"/>
      <c r="C36" s="8"/>
      <c r="D36" s="11"/>
      <c r="E36" s="4" t="b">
        <f>IF(ISNUMBER(MATCH(A36,Table2[S],0)), "S", IF(ISNUMBER(MATCH(A36,Table2[M],0)), "M", IF(ISNUMBER(MATCH(A36,Table2[L],0)), "L")))</f>
        <v>0</v>
      </c>
      <c r="F36" s="6" t="str">
        <f t="shared" si="1"/>
        <v/>
      </c>
      <c r="H36" s="8"/>
      <c r="I36" s="8"/>
    </row>
    <row r="37" spans="1:9">
      <c r="A37" s="11"/>
      <c r="B37" s="11"/>
      <c r="C37" s="8"/>
      <c r="D37" s="11"/>
      <c r="E37" s="4" t="b">
        <f>IF(ISNUMBER(MATCH(A37,Table2[S],0)), "S", IF(ISNUMBER(MATCH(A37,Table2[M],0)), "M", IF(ISNUMBER(MATCH(A37,Table2[L],0)), "L")))</f>
        <v>0</v>
      </c>
      <c r="F37" s="6" t="str">
        <f t="shared" si="1"/>
        <v/>
      </c>
      <c r="H37" s="8"/>
      <c r="I37" s="8"/>
    </row>
    <row r="38" spans="1:9">
      <c r="A38" s="11"/>
      <c r="B38" s="11"/>
      <c r="C38" s="8"/>
      <c r="D38" s="11"/>
      <c r="E38" s="4" t="b">
        <f>IF(ISNUMBER(MATCH(A38,Table2[S],0)), "S", IF(ISNUMBER(MATCH(A38,Table2[M],0)), "M", IF(ISNUMBER(MATCH(A38,Table2[L],0)), "L")))</f>
        <v>0</v>
      </c>
      <c r="F38" s="6" t="str">
        <f t="shared" si="1"/>
        <v/>
      </c>
      <c r="H38" s="8"/>
      <c r="I38" s="8"/>
    </row>
    <row r="39" spans="1:9">
      <c r="A39" s="11"/>
      <c r="B39" s="11"/>
      <c r="C39" s="8"/>
      <c r="D39" s="11"/>
      <c r="E39" s="4" t="b">
        <f>IF(ISNUMBER(MATCH(A39,Table2[S],0)), "S", IF(ISNUMBER(MATCH(A39,Table2[M],0)), "M", IF(ISNUMBER(MATCH(A39,Table2[L],0)), "L")))</f>
        <v>0</v>
      </c>
      <c r="F39" s="6" t="str">
        <f t="shared" si="1"/>
        <v/>
      </c>
      <c r="H39" s="8"/>
      <c r="I39" s="8"/>
    </row>
    <row r="40" spans="1:9">
      <c r="A40" s="11"/>
      <c r="B40" s="11"/>
      <c r="C40" s="8"/>
      <c r="D40" s="11"/>
      <c r="E40" s="4" t="b">
        <f>IF(ISNUMBER(MATCH(A40,Table2[S],0)), "S", IF(ISNUMBER(MATCH(A40,Table2[M],0)), "M", IF(ISNUMBER(MATCH(A40,Table2[L],0)), "L")))</f>
        <v>0</v>
      </c>
      <c r="F40" s="6" t="str">
        <f t="shared" si="1"/>
        <v/>
      </c>
      <c r="H40" s="8"/>
      <c r="I40" s="8"/>
    </row>
    <row r="41" spans="1:9">
      <c r="A41" s="11"/>
      <c r="B41" s="11"/>
      <c r="C41" s="8"/>
      <c r="D41" s="11"/>
      <c r="E41" s="4" t="b">
        <f>IF(ISNUMBER(MATCH(A41,Table2[S],0)), "S", IF(ISNUMBER(MATCH(A41,Table2[M],0)), "M", IF(ISNUMBER(MATCH(A41,Table2[L],0)), "L")))</f>
        <v>0</v>
      </c>
      <c r="F41" s="6" t="str">
        <f t="shared" si="1"/>
        <v/>
      </c>
      <c r="H41" s="8"/>
      <c r="I41" s="8"/>
    </row>
    <row r="42" spans="1:9">
      <c r="A42" s="11"/>
      <c r="B42" s="11"/>
      <c r="C42" s="8"/>
      <c r="D42" s="11"/>
      <c r="E42" s="4" t="b">
        <f>IF(ISNUMBER(MATCH(A42,Table2[S],0)), "S", IF(ISNUMBER(MATCH(A42,Table2[M],0)), "M", IF(ISNUMBER(MATCH(A42,Table2[L],0)), "L")))</f>
        <v>0</v>
      </c>
      <c r="F42" s="6" t="str">
        <f t="shared" si="1"/>
        <v/>
      </c>
      <c r="H42" s="8"/>
      <c r="I42" s="8"/>
    </row>
    <row r="43" spans="1:9">
      <c r="A43" s="11"/>
      <c r="B43" s="11"/>
      <c r="C43" s="8"/>
      <c r="D43" s="11"/>
      <c r="E43" s="4" t="b">
        <f>IF(ISNUMBER(MATCH(A43,Table2[S],0)), "S", IF(ISNUMBER(MATCH(A43,Table2[M],0)), "M", IF(ISNUMBER(MATCH(A43,Table2[L],0)), "L")))</f>
        <v>0</v>
      </c>
      <c r="F43" s="6" t="str">
        <f t="shared" si="1"/>
        <v/>
      </c>
      <c r="H43" s="8"/>
      <c r="I43" s="8"/>
    </row>
    <row r="44" spans="1:9">
      <c r="A44" s="4"/>
      <c r="B44" s="4"/>
      <c r="C44" s="12"/>
      <c r="D44" s="4"/>
      <c r="E44" s="4" t="b">
        <f>IF(ISNUMBER(MATCH(A44,Table2[S],0)), "S", IF(ISNUMBER(MATCH(A44,Table2[M],0)), "M", IF(ISNUMBER(MATCH(A44,Table2[L],0)), "L")))</f>
        <v>0</v>
      </c>
      <c r="F44" s="6" t="str">
        <f t="shared" si="1"/>
        <v/>
      </c>
      <c r="H44" s="8"/>
      <c r="I44" s="8"/>
    </row>
    <row r="45" spans="1:9">
      <c r="A45" s="4"/>
      <c r="B45" s="4"/>
      <c r="C45" s="12"/>
      <c r="D45" s="78" t="s">
        <v>25</v>
      </c>
      <c r="E45" s="4" t="b">
        <f>IF(ISNUMBER(MATCH(A45,Table2[S],0)), "S", IF(ISNUMBER(MATCH(A45,Table2[M],0)), "M", IF(ISNUMBER(MATCH(A45,Table2[L],0)), "L")))</f>
        <v>0</v>
      </c>
      <c r="F45" s="6" t="str">
        <f t="shared" si="1"/>
        <v/>
      </c>
      <c r="H45" s="8"/>
      <c r="I45" s="8"/>
    </row>
    <row r="46" spans="1:9">
      <c r="H46" s="8"/>
      <c r="I46" s="8"/>
    </row>
    <row r="47" spans="1:9">
      <c r="H47" s="8"/>
      <c r="I47" s="8"/>
    </row>
    <row r="48" spans="1:9">
      <c r="H48" s="8"/>
      <c r="I48" s="8"/>
    </row>
    <row r="49" spans="8:9">
      <c r="H49" s="8"/>
      <c r="I49" s="8"/>
    </row>
    <row r="50" spans="8:9">
      <c r="H50" s="8"/>
      <c r="I50" s="8"/>
    </row>
    <row r="51" spans="8:9">
      <c r="H51" s="8"/>
      <c r="I51" s="8"/>
    </row>
    <row r="52" spans="8:9">
      <c r="H52" s="8"/>
      <c r="I52" s="8"/>
    </row>
    <row r="53" spans="8:9">
      <c r="H53" s="8"/>
      <c r="I53" s="8"/>
    </row>
    <row r="54" spans="8:9">
      <c r="H54" s="8"/>
      <c r="I54" s="8"/>
    </row>
  </sheetData>
  <dataConsolidate>
    <dataRefs count="1">
      <dataRef ref="H3:H5" sheet="CARFEFOUR" r:id="rId1"/>
    </dataRefs>
  </dataConsolidate>
  <mergeCells count="1">
    <mergeCell ref="L1:M4"/>
  </mergeCell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8B2CD-B570-46C4-96DF-82A6229F179E}">
  <sheetPr codeName="Sheet7"/>
  <dimension ref="A1:M70"/>
  <sheetViews>
    <sheetView workbookViewId="0">
      <selection activeCell="A4" sqref="A4:D20"/>
    </sheetView>
  </sheetViews>
  <sheetFormatPr defaultColWidth="9.140625" defaultRowHeight="15"/>
  <cols>
    <col min="1" max="1" width="18.28515625" style="62" customWidth="1"/>
    <col min="2" max="2" width="43.42578125" style="75" customWidth="1"/>
    <col min="3" max="3" width="15.140625" style="62" bestFit="1" customWidth="1"/>
    <col min="4" max="4" width="13.28515625" style="62" customWidth="1"/>
    <col min="5" max="5" width="17.28515625" style="2" customWidth="1"/>
    <col min="6" max="6" width="9.140625" style="3"/>
    <col min="7" max="7" width="9.140625" style="2"/>
    <col min="8" max="8" width="12" style="2" customWidth="1"/>
    <col min="9" max="9" width="11" style="2" customWidth="1"/>
    <col min="10" max="10" width="12.28515625" style="2" customWidth="1"/>
    <col min="11" max="11" width="9.140625" style="2"/>
    <col min="12" max="12" width="30.140625" style="2" customWidth="1"/>
    <col min="13" max="13" width="28" style="2" customWidth="1"/>
    <col min="14" max="16384" width="9.140625" style="2"/>
  </cols>
  <sheetData>
    <row r="1" spans="1:13" ht="15" customHeight="1">
      <c r="D1" s="4"/>
      <c r="L1" s="108" t="s">
        <v>32</v>
      </c>
      <c r="M1" s="114"/>
    </row>
    <row r="2" spans="1:13" ht="15" customHeight="1">
      <c r="L2" s="110"/>
      <c r="M2" s="115"/>
    </row>
    <row r="3" spans="1:13" ht="15" customHeight="1">
      <c r="A3" s="4" t="s">
        <v>15</v>
      </c>
      <c r="B3" s="76" t="s">
        <v>16</v>
      </c>
      <c r="C3" s="4" t="s">
        <v>17</v>
      </c>
      <c r="D3" s="4" t="s">
        <v>18</v>
      </c>
      <c r="E3" s="4" t="s">
        <v>19</v>
      </c>
      <c r="H3" s="4" t="s">
        <v>20</v>
      </c>
      <c r="I3" s="4" t="s">
        <v>21</v>
      </c>
      <c r="J3" s="4" t="s">
        <v>22</v>
      </c>
      <c r="L3" s="110"/>
      <c r="M3" s="115"/>
    </row>
    <row r="4" spans="1:13" ht="15.75" thickBot="1">
      <c r="A4" s="8"/>
      <c r="B4" s="77"/>
      <c r="C4" s="8"/>
      <c r="D4" s="8"/>
      <c r="E4" s="74" t="b">
        <f>IF(ISNUMBER(MATCH(A4,Table2[S],0)), "S", IF(ISNUMBER(MATCH(A4,Table2[M],0)), "M", IF(ISNUMBER(MATCH(A4,Table2[L],0)), "L")))</f>
        <v>0</v>
      </c>
      <c r="F4" s="6" t="str">
        <f>IF(E4="S",ROUNDUP(C4/8,0)+(ROUNDUP(C4/64,0))*2,IF(E4="m",(ROUNDUP(C4/8,0))*2+(ROUNDUP(C4/40,0))*2,IF(E4="L",(ROUNDUP(C4/4,0))*2+(ROUNDUP(C4/20,0))*2,"")))</f>
        <v/>
      </c>
      <c r="G4" s="3" t="str">
        <f>IF(F4="s",ROUNDUP(D4/8,0)+(ROUNDUP(D4/64,0))*2,"")</f>
        <v/>
      </c>
      <c r="H4" s="7"/>
      <c r="I4" s="8">
        <v>296158</v>
      </c>
      <c r="J4" s="8"/>
      <c r="L4" s="110"/>
      <c r="M4" s="115"/>
    </row>
    <row r="5" spans="1:13" ht="34.5" thickBot="1">
      <c r="A5" s="96"/>
      <c r="B5" s="77"/>
      <c r="C5" s="8"/>
      <c r="D5" s="8"/>
      <c r="E5" s="73" t="b">
        <f>IF(ISNUMBER(MATCH(A5,Table2[S],0)), "S", IF(ISNUMBER(MATCH(A5,Table2[M],0)), "M", IF(ISNUMBER(MATCH(A5,Table2[L],0)), "L")))</f>
        <v>0</v>
      </c>
      <c r="F5" s="6" t="str">
        <f t="shared" ref="F5:F12" si="0">IF(E5="s",ROUNDUP(C5/8,0)+(ROUNDUP(C5/64,0))*2,IF(E5="m",(ROUNDUP(C5/8,0))*2+(ROUNDUP(C5/40,0))*2,IF(E5="L",(ROUNDUP(C5/4,0))*2+(ROUNDUP(C5/20,0))*2,"")))</f>
        <v/>
      </c>
      <c r="H5" s="7"/>
      <c r="I5" s="8">
        <v>296159</v>
      </c>
      <c r="J5" s="8"/>
      <c r="L5" s="32" t="s">
        <v>23</v>
      </c>
      <c r="M5" s="32">
        <f>ROUNDUP(SUM(F4:F45)/22,0)</f>
        <v>0</v>
      </c>
    </row>
    <row r="6" spans="1:13">
      <c r="A6" s="4"/>
      <c r="B6" s="76"/>
      <c r="C6" s="12"/>
      <c r="D6" s="4"/>
      <c r="E6" s="74" t="b">
        <f>IF(ISNUMBER(MATCH(A6,Table2[S],0)), "S", IF(ISNUMBER(MATCH(A6,Table2[M],0)), "M", IF(ISNUMBER(MATCH(A6,Table2[L],0)), "L")))</f>
        <v>0</v>
      </c>
      <c r="F6" s="6" t="str">
        <f t="shared" si="0"/>
        <v/>
      </c>
      <c r="H6" s="7"/>
      <c r="I6" s="8">
        <v>296157</v>
      </c>
      <c r="J6" s="8"/>
    </row>
    <row r="7" spans="1:13">
      <c r="A7" s="8"/>
      <c r="B7" s="77"/>
      <c r="C7" s="8"/>
      <c r="D7" s="8"/>
      <c r="E7" s="73" t="b">
        <f>IF(ISNUMBER(MATCH(A7,Table2[S],0)), "S", IF(ISNUMBER(MATCH(A7,Table2[M],0)), "M", IF(ISNUMBER(MATCH(A7,Table2[L],0)), "L")))</f>
        <v>0</v>
      </c>
      <c r="F7" s="6" t="str">
        <f t="shared" si="0"/>
        <v/>
      </c>
      <c r="H7" s="7"/>
      <c r="I7" s="8">
        <v>296156</v>
      </c>
      <c r="J7" s="8"/>
    </row>
    <row r="8" spans="1:13" ht="15" customHeight="1">
      <c r="A8" s="8"/>
      <c r="B8" s="77"/>
      <c r="C8" s="8"/>
      <c r="D8" s="8"/>
      <c r="E8" s="74" t="b">
        <f>IF(ISNUMBER(MATCH(A8,Table2[S],0)), "S", IF(ISNUMBER(MATCH(A8,Table2[M],0)), "M", IF(ISNUMBER(MATCH(A8,Table2[L],0)), "L")))</f>
        <v>0</v>
      </c>
      <c r="F8" s="6" t="str">
        <f t="shared" si="0"/>
        <v/>
      </c>
      <c r="H8" s="7"/>
      <c r="I8" s="8">
        <v>296178</v>
      </c>
      <c r="J8" s="8"/>
    </row>
    <row r="9" spans="1:13" ht="15" customHeight="1">
      <c r="A9" s="8"/>
      <c r="B9" s="77"/>
      <c r="C9" s="8"/>
      <c r="D9" s="8"/>
      <c r="E9" s="73" t="b">
        <f>IF(ISNUMBER(MATCH(A9,Table2[S],0)), "S", IF(ISNUMBER(MATCH(A9,Table2[M],0)), "M", IF(ISNUMBER(MATCH(A9,Table2[L],0)), "L")))</f>
        <v>0</v>
      </c>
      <c r="F9" s="6" t="str">
        <f t="shared" si="0"/>
        <v/>
      </c>
      <c r="H9" s="7"/>
      <c r="I9" s="8">
        <v>296182</v>
      </c>
      <c r="J9" s="4"/>
    </row>
    <row r="10" spans="1:13" ht="15" customHeight="1">
      <c r="A10" s="4"/>
      <c r="B10" s="76"/>
      <c r="C10" s="12"/>
      <c r="D10" s="4"/>
      <c r="E10" s="74" t="b">
        <f>IF(ISNUMBER(MATCH(A10,Table2[S],0)), "S", IF(ISNUMBER(MATCH(A10,Table2[M],0)), "M", IF(ISNUMBER(MATCH(A10,Table2[L],0)), "L")))</f>
        <v>0</v>
      </c>
      <c r="F10" s="6" t="str">
        <f t="shared" si="0"/>
        <v/>
      </c>
      <c r="H10" s="7"/>
      <c r="I10" s="8">
        <v>296106</v>
      </c>
      <c r="J10" s="4"/>
    </row>
    <row r="11" spans="1:13" ht="15" customHeight="1">
      <c r="A11" s="4"/>
      <c r="B11" s="76"/>
      <c r="C11" s="12"/>
      <c r="D11" s="4"/>
      <c r="E11" s="73" t="b">
        <f>IF(ISNUMBER(MATCH(A11,Table2[S],0)), "S", IF(ISNUMBER(MATCH(A11,Table2[M],0)), "M", IF(ISNUMBER(MATCH(A11,Table2[L],0)), "L")))</f>
        <v>0</v>
      </c>
      <c r="F11" s="6" t="str">
        <f t="shared" si="0"/>
        <v/>
      </c>
      <c r="H11" s="7"/>
      <c r="I11" s="8">
        <v>296179</v>
      </c>
      <c r="J11" s="4"/>
    </row>
    <row r="12" spans="1:13" ht="15" customHeight="1">
      <c r="A12" s="8"/>
      <c r="B12" s="77"/>
      <c r="C12" s="8"/>
      <c r="D12" s="8"/>
      <c r="E12" s="74" t="b">
        <f>IF(ISNUMBER(MATCH(A12,Table2[S],0)), "S", IF(ISNUMBER(MATCH(A12,Table2[M],0)), "M", IF(ISNUMBER(MATCH(A12,Table2[L],0)), "L")))</f>
        <v>0</v>
      </c>
      <c r="F12" s="6" t="str">
        <f t="shared" si="0"/>
        <v/>
      </c>
      <c r="H12" s="7"/>
      <c r="I12" s="8">
        <v>296147</v>
      </c>
      <c r="J12" s="4"/>
    </row>
    <row r="13" spans="1:13" ht="15" customHeight="1">
      <c r="A13" s="8"/>
      <c r="B13" s="77"/>
      <c r="C13" s="8"/>
      <c r="D13" s="8"/>
      <c r="E13" s="73" t="b">
        <f>IF(ISNUMBER(MATCH(A13,Table2[S],0)), "S", IF(ISNUMBER(MATCH(A13,Table2[M],0)), "M", IF(ISNUMBER(MATCH(A13,Table2[L],0)), "L")))</f>
        <v>0</v>
      </c>
      <c r="F13" s="6" t="str">
        <f t="shared" ref="F13:F30" si="1">IF(E13="s",ROUNDUP(C13/8,0)+(ROUNDUP(C13/64,0))*2,IF(E13="m",(ROUNDUP(C13/8,0))*2+(ROUNDUP(C13/40,0))*2,IF(E13="L",(ROUNDUP(C13/4,0))*2+(ROUNDUP(C13/20,0))*2,"")))</f>
        <v/>
      </c>
      <c r="H13" s="7"/>
      <c r="I13" s="8">
        <v>296181</v>
      </c>
      <c r="J13" s="4"/>
    </row>
    <row r="14" spans="1:13" ht="15" customHeight="1">
      <c r="A14" s="8"/>
      <c r="B14" s="77"/>
      <c r="C14" s="8"/>
      <c r="D14" s="8"/>
      <c r="E14" s="74" t="b">
        <f>IF(ISNUMBER(MATCH(A14,Table2[S],0)), "S", IF(ISNUMBER(MATCH(A14,Table2[M],0)), "M", IF(ISNUMBER(MATCH(A14,Table2[L],0)), "L")))</f>
        <v>0</v>
      </c>
      <c r="F14" s="3" t="str">
        <f t="shared" si="1"/>
        <v/>
      </c>
      <c r="H14" s="7"/>
      <c r="I14" s="8">
        <v>296180</v>
      </c>
      <c r="J14" s="4"/>
    </row>
    <row r="15" spans="1:13" ht="15" customHeight="1">
      <c r="A15" s="8"/>
      <c r="B15" s="77"/>
      <c r="C15" s="8"/>
      <c r="D15" s="8"/>
      <c r="E15" s="73" t="b">
        <f>IF(ISNUMBER(MATCH(A15,Table2[S],0)), "S", IF(ISNUMBER(MATCH(A15,Table2[M],0)), "M", IF(ISNUMBER(MATCH(A15,Table2[L],0)), "L")))</f>
        <v>0</v>
      </c>
      <c r="F15" s="3" t="str">
        <f t="shared" si="1"/>
        <v/>
      </c>
      <c r="H15" s="8"/>
      <c r="I15" s="8">
        <v>231023</v>
      </c>
      <c r="J15" s="4"/>
    </row>
    <row r="16" spans="1:13" ht="15" customHeight="1">
      <c r="A16" s="4"/>
      <c r="B16" s="76"/>
      <c r="C16" s="12"/>
      <c r="D16" s="4"/>
      <c r="E16" s="74" t="b">
        <f>IF(ISNUMBER(MATCH(A16,Table2[S],0)), "S", IF(ISNUMBER(MATCH(A16,Table2[M],0)), "M", IF(ISNUMBER(MATCH(A16,Table2[L],0)), "L")))</f>
        <v>0</v>
      </c>
      <c r="F16" s="3" t="str">
        <f t="shared" si="1"/>
        <v/>
      </c>
      <c r="H16" s="8" t="s">
        <v>24</v>
      </c>
      <c r="I16" s="8">
        <v>231022</v>
      </c>
      <c r="J16" s="4"/>
    </row>
    <row r="17" spans="1:10" ht="15" customHeight="1">
      <c r="A17" s="8"/>
      <c r="B17" s="77"/>
      <c r="C17" s="8"/>
      <c r="D17" s="8"/>
      <c r="E17" s="73" t="b">
        <f>IF(ISNUMBER(MATCH(A17,Table2[S],0)), "S", IF(ISNUMBER(MATCH(A17,Table2[M],0)), "M", IF(ISNUMBER(MATCH(A17,Table2[L],0)), "L")))</f>
        <v>0</v>
      </c>
      <c r="F17" s="3" t="str">
        <f>IF(E17="s",ROUNDUP(C17/8,0)+(ROUNDUP(C17/64,0))*2,IF(E17="m",(ROUNDUP(C17/8,0))*2+(ROUNDUP(C17/40,0))*2,IF(E17="L",(ROUNDUP(C17/4,0))*2+(ROUNDUP(C17/20,0))*2,"")))</f>
        <v/>
      </c>
      <c r="H17" s="8"/>
      <c r="I17" s="8">
        <v>296195</v>
      </c>
      <c r="J17" s="4"/>
    </row>
    <row r="18" spans="1:10" ht="15" customHeight="1">
      <c r="A18" s="8"/>
      <c r="B18" s="77"/>
      <c r="C18" s="8"/>
      <c r="D18" s="8"/>
      <c r="E18" s="74" t="b">
        <f>IF(ISNUMBER(MATCH(A18,Table2[S],0)), "S", IF(ISNUMBER(MATCH(A18,Table2[M],0)), "M", IF(ISNUMBER(MATCH(A18,Table2[L],0)), "L")))</f>
        <v>0</v>
      </c>
      <c r="F18" s="3" t="str">
        <f t="shared" si="1"/>
        <v/>
      </c>
      <c r="H18" s="8"/>
      <c r="I18" s="8">
        <v>296196</v>
      </c>
      <c r="J18" s="4"/>
    </row>
    <row r="19" spans="1:10" ht="15" customHeight="1">
      <c r="A19" s="8"/>
      <c r="B19" s="77"/>
      <c r="C19" s="8"/>
      <c r="D19" s="8"/>
      <c r="E19" s="73" t="b">
        <f>IF(ISNUMBER(MATCH(A19,Table2[S],0)), "S", IF(ISNUMBER(MATCH(A19,Table2[M],0)), "M", IF(ISNUMBER(MATCH(A19,Table2[L],0)), "L")))</f>
        <v>0</v>
      </c>
      <c r="F19" s="3" t="str">
        <f t="shared" si="1"/>
        <v/>
      </c>
      <c r="H19" s="8"/>
      <c r="I19" s="8">
        <v>296197</v>
      </c>
      <c r="J19" s="4"/>
    </row>
    <row r="20" spans="1:10" ht="15" customHeight="1">
      <c r="A20" s="4"/>
      <c r="B20" s="76"/>
      <c r="C20" s="12"/>
      <c r="D20" s="4"/>
      <c r="E20" s="74" t="b">
        <f>IF(ISNUMBER(MATCH(A20,Table2[S],0)), "S", IF(ISNUMBER(MATCH(A20,Table2[M],0)), "M", IF(ISNUMBER(MATCH(A20,Table2[L],0)), "L")))</f>
        <v>0</v>
      </c>
      <c r="F20" s="3" t="str">
        <f t="shared" si="1"/>
        <v/>
      </c>
      <c r="H20" s="8"/>
      <c r="I20" s="8"/>
      <c r="J20" s="4"/>
    </row>
    <row r="21" spans="1:10" ht="15" customHeight="1">
      <c r="A21" s="4"/>
      <c r="B21" s="76"/>
      <c r="C21" s="12"/>
      <c r="D21" s="4"/>
      <c r="E21" s="73" t="b">
        <f>IF(ISNUMBER(MATCH(A21,Table2[S],0)), "S", IF(ISNUMBER(MATCH(A21,Table2[M],0)), "M", IF(ISNUMBER(MATCH(A21,Table2[L],0)), "L")))</f>
        <v>0</v>
      </c>
      <c r="F21" s="3" t="str">
        <f t="shared" si="1"/>
        <v/>
      </c>
      <c r="H21" s="8"/>
      <c r="I21" s="8"/>
      <c r="J21" s="4"/>
    </row>
    <row r="22" spans="1:10" ht="15" customHeight="1">
      <c r="A22" s="8"/>
      <c r="B22" s="77"/>
      <c r="C22" s="8"/>
      <c r="D22" s="8"/>
      <c r="E22" s="74" t="b">
        <f>IF(ISNUMBER(MATCH(A22,Table2[S],0)), "S", IF(ISNUMBER(MATCH(A22,Table2[M],0)), "M", IF(ISNUMBER(MATCH(A22,Table2[L],0)), "L")))</f>
        <v>0</v>
      </c>
      <c r="F22" s="3" t="str">
        <f t="shared" si="1"/>
        <v/>
      </c>
      <c r="H22" s="8"/>
      <c r="I22" s="8"/>
      <c r="J22" s="4"/>
    </row>
    <row r="23" spans="1:10" ht="15" customHeight="1">
      <c r="A23" s="8"/>
      <c r="B23" s="77"/>
      <c r="C23" s="8"/>
      <c r="D23" s="8"/>
      <c r="E23" s="73" t="b">
        <f>IF(ISNUMBER(MATCH(A23,Table2[S],0)), "S", IF(ISNUMBER(MATCH(A23,Table2[M],0)), "M", IF(ISNUMBER(MATCH(A23,Table2[L],0)), "L")))</f>
        <v>0</v>
      </c>
      <c r="F23" s="3" t="str">
        <f t="shared" si="1"/>
        <v/>
      </c>
      <c r="H23" s="8"/>
      <c r="I23" s="8"/>
      <c r="J23" s="4"/>
    </row>
    <row r="24" spans="1:10" ht="15" customHeight="1">
      <c r="A24" s="8"/>
      <c r="B24" s="77"/>
      <c r="C24" s="8"/>
      <c r="D24" s="8"/>
      <c r="E24" s="74" t="b">
        <f>IF(ISNUMBER(MATCH(A24,Table2[S],0)), "S", IF(ISNUMBER(MATCH(A24,Table2[M],0)), "M", IF(ISNUMBER(MATCH(A24,Table2[L],0)), "L")))</f>
        <v>0</v>
      </c>
      <c r="F24" s="3" t="str">
        <f t="shared" si="1"/>
        <v/>
      </c>
      <c r="H24" s="8"/>
      <c r="I24" s="8"/>
      <c r="J24" s="4"/>
    </row>
    <row r="25" spans="1:10" ht="15" customHeight="1">
      <c r="A25" s="8"/>
      <c r="B25" s="77"/>
      <c r="C25" s="8"/>
      <c r="D25" s="8"/>
      <c r="E25" s="73" t="b">
        <f>IF(ISNUMBER(MATCH(A25,Table2[S],0)), "S", IF(ISNUMBER(MATCH(A25,Table2[M],0)), "M", IF(ISNUMBER(MATCH(A25,Table2[L],0)), "L")))</f>
        <v>0</v>
      </c>
      <c r="F25" s="3" t="str">
        <f t="shared" si="1"/>
        <v/>
      </c>
      <c r="H25" s="8"/>
      <c r="I25" s="8"/>
      <c r="J25" s="4"/>
    </row>
    <row r="26" spans="1:10" ht="15" customHeight="1">
      <c r="A26" s="8"/>
      <c r="B26" s="77"/>
      <c r="C26" s="8"/>
      <c r="D26" s="8"/>
      <c r="E26" s="74" t="b">
        <f>IF(ISNUMBER(MATCH(A26,Table2[S],0)), "S", IF(ISNUMBER(MATCH(A26,Table2[M],0)), "M", IF(ISNUMBER(MATCH(A26,Table2[L],0)), "L")))</f>
        <v>0</v>
      </c>
      <c r="F26" s="3" t="str">
        <f t="shared" si="1"/>
        <v/>
      </c>
      <c r="H26" s="8"/>
      <c r="I26" s="8"/>
      <c r="J26" s="4"/>
    </row>
    <row r="27" spans="1:10" ht="15" customHeight="1">
      <c r="A27" s="8"/>
      <c r="B27" s="77"/>
      <c r="C27" s="8"/>
      <c r="D27" s="8"/>
      <c r="E27" s="73" t="b">
        <f>IF(ISNUMBER(MATCH(A27,Table2[S],0)), "S", IF(ISNUMBER(MATCH(A27,Table2[M],0)), "M", IF(ISNUMBER(MATCH(A27,Table2[L],0)), "L")))</f>
        <v>0</v>
      </c>
      <c r="F27" s="3" t="str">
        <f t="shared" si="1"/>
        <v/>
      </c>
      <c r="H27" s="8"/>
      <c r="I27" s="8"/>
      <c r="J27" s="4"/>
    </row>
    <row r="28" spans="1:10" ht="15" customHeight="1">
      <c r="A28" s="4"/>
      <c r="B28" s="76"/>
      <c r="C28" s="12"/>
      <c r="D28" s="4"/>
      <c r="E28" s="74" t="b">
        <f>IF(ISNUMBER(MATCH(A28,Table2[S],0)), "S", IF(ISNUMBER(MATCH(A28,Table2[M],0)), "M", IF(ISNUMBER(MATCH(A28,Table2[L],0)), "L")))</f>
        <v>0</v>
      </c>
      <c r="F28" s="3" t="str">
        <f t="shared" si="1"/>
        <v/>
      </c>
      <c r="H28" s="8"/>
      <c r="I28" s="8"/>
      <c r="J28" s="4"/>
    </row>
    <row r="29" spans="1:10" ht="15" customHeight="1">
      <c r="A29" s="4"/>
      <c r="B29" s="76"/>
      <c r="C29" s="12"/>
      <c r="D29" s="4"/>
      <c r="E29" s="73" t="b">
        <f>IF(ISNUMBER(MATCH(A29,Table2[S],0)), "S", IF(ISNUMBER(MATCH(A29,Table2[M],0)), "M", IF(ISNUMBER(MATCH(A29,Table2[L],0)), "L")))</f>
        <v>0</v>
      </c>
      <c r="F29" s="3" t="str">
        <f t="shared" si="1"/>
        <v/>
      </c>
      <c r="H29" s="8"/>
      <c r="I29" s="8"/>
      <c r="J29" s="4"/>
    </row>
    <row r="30" spans="1:10">
      <c r="A30" s="8"/>
      <c r="B30" s="77"/>
      <c r="C30" s="8"/>
      <c r="D30" s="8"/>
      <c r="E30" s="74" t="b">
        <f>IF(ISNUMBER(MATCH(A30,Table2[S],0)), "S", IF(ISNUMBER(MATCH(A30,Table2[M],0)), "M", IF(ISNUMBER(MATCH(A30,Table2[L],0)), "L")))</f>
        <v>0</v>
      </c>
      <c r="F30" s="3" t="str">
        <f t="shared" si="1"/>
        <v/>
      </c>
      <c r="H30" s="8"/>
      <c r="I30" s="8"/>
      <c r="J30" s="4"/>
    </row>
    <row r="31" spans="1:10">
      <c r="A31" s="8"/>
      <c r="B31" s="77"/>
      <c r="C31" s="8"/>
      <c r="D31" s="8"/>
      <c r="E31" s="73" t="b">
        <f>IF(ISNUMBER(MATCH(A31,Table2[S],0)), "S", IF(ISNUMBER(MATCH(A31,Table2[M],0)), "M", IF(ISNUMBER(MATCH(A31,Table2[L],0)), "L")))</f>
        <v>0</v>
      </c>
      <c r="F31" s="3" t="str">
        <f>IF(E31="s",ROUNDUP(C31/8,0)+(ROUNDUP(C31/64,0))*2,IF(E31="m",(ROUNDUP(C31/8,0))*2+(ROUNDUP(C31/40,0))*2,IF(E31="L",(ROUNDUP(C31/4,0))*2+(ROUNDUP(C31/20,0))*2,"")))</f>
        <v/>
      </c>
      <c r="H31" s="8"/>
      <c r="I31" s="8"/>
      <c r="J31" s="4"/>
    </row>
    <row r="32" spans="1:10">
      <c r="A32" s="8"/>
      <c r="B32" s="77"/>
      <c r="C32" s="8"/>
      <c r="D32" s="8"/>
      <c r="E32" s="74" t="b">
        <f>IF(ISNUMBER(MATCH(A32,Table2[S],0)), "S", IF(ISNUMBER(MATCH(A32,Table2[M],0)), "M", IF(ISNUMBER(MATCH(A32,Table2[L],0)), "L")))</f>
        <v>0</v>
      </c>
      <c r="F32" s="3" t="str">
        <f t="shared" ref="F32:F44" si="2">IF(E32="s",ROUNDUP(C32/8,0)+(ROUNDUP(C32/64,0))*2,IF(E32="m",(ROUNDUP(C32/8,0))*2+(ROUNDUP(C32/40,0))*2,IF(E32="L",(ROUNDUP(C32/4,0))*2+(ROUNDUP(C32/20,0))*2,"")))</f>
        <v/>
      </c>
      <c r="H32" s="8"/>
      <c r="I32" s="8"/>
      <c r="J32" s="4"/>
    </row>
    <row r="33" spans="1:10">
      <c r="A33" s="8"/>
      <c r="B33" s="77"/>
      <c r="C33" s="8"/>
      <c r="D33" s="8"/>
      <c r="E33" s="73" t="b">
        <f>IF(ISNUMBER(MATCH(A33,Table2[S],0)), "S", IF(ISNUMBER(MATCH(A33,Table2[M],0)), "M", IF(ISNUMBER(MATCH(A33,Table2[L],0)), "L")))</f>
        <v>0</v>
      </c>
      <c r="F33" s="3" t="str">
        <f t="shared" si="2"/>
        <v/>
      </c>
      <c r="H33" s="8"/>
      <c r="I33" s="8"/>
      <c r="J33" s="4"/>
    </row>
    <row r="34" spans="1:10">
      <c r="A34" s="4"/>
      <c r="B34" s="76"/>
      <c r="C34" s="12"/>
      <c r="D34" s="4"/>
      <c r="E34" s="74" t="b">
        <f>IF(ISNUMBER(MATCH(A34,Table2[S],0)), "S", IF(ISNUMBER(MATCH(A34,Table2[M],0)), "M", IF(ISNUMBER(MATCH(A34,Table2[L],0)), "L")))</f>
        <v>0</v>
      </c>
      <c r="F34" s="3" t="str">
        <f t="shared" si="2"/>
        <v/>
      </c>
      <c r="H34" s="8"/>
      <c r="I34" s="8"/>
      <c r="J34" s="4"/>
    </row>
    <row r="35" spans="1:10">
      <c r="A35" s="8"/>
      <c r="B35" s="77"/>
      <c r="C35" s="8"/>
      <c r="D35" s="8"/>
      <c r="E35" s="73" t="b">
        <f>IF(ISNUMBER(MATCH(A35,Table2[S],0)), "S", IF(ISNUMBER(MATCH(A35,Table2[M],0)), "M", IF(ISNUMBER(MATCH(A35,Table2[L],0)), "L")))</f>
        <v>0</v>
      </c>
      <c r="F35" s="3" t="str">
        <f t="shared" si="2"/>
        <v/>
      </c>
      <c r="H35" s="8"/>
      <c r="I35" s="8"/>
      <c r="J35" s="4"/>
    </row>
    <row r="36" spans="1:10">
      <c r="A36" s="8"/>
      <c r="B36" s="77"/>
      <c r="C36" s="8"/>
      <c r="D36" s="8"/>
      <c r="E36" s="74" t="b">
        <f>IF(ISNUMBER(MATCH(A36,Table2[S],0)), "S", IF(ISNUMBER(MATCH(A36,Table2[M],0)), "M", IF(ISNUMBER(MATCH(A36,Table2[L],0)), "L")))</f>
        <v>0</v>
      </c>
      <c r="F36" s="3" t="str">
        <f t="shared" si="2"/>
        <v/>
      </c>
      <c r="H36" s="8"/>
      <c r="I36" s="8"/>
      <c r="J36" s="4"/>
    </row>
    <row r="37" spans="1:10">
      <c r="A37" s="8"/>
      <c r="B37" s="77"/>
      <c r="C37" s="8"/>
      <c r="D37" s="8"/>
      <c r="E37" s="73" t="b">
        <f>IF(ISNUMBER(MATCH(A37,Table2[S],0)), "S", IF(ISNUMBER(MATCH(A37,Table2[M],0)), "M", IF(ISNUMBER(MATCH(A37,Table2[L],0)), "L")))</f>
        <v>0</v>
      </c>
      <c r="F37" s="3" t="str">
        <f t="shared" si="2"/>
        <v/>
      </c>
      <c r="H37" s="8"/>
      <c r="I37" s="8"/>
      <c r="J37" s="4"/>
    </row>
    <row r="38" spans="1:10">
      <c r="A38" s="4"/>
      <c r="B38" s="76"/>
      <c r="C38" s="12"/>
      <c r="D38" s="4"/>
      <c r="E38" s="74" t="b">
        <f>IF(ISNUMBER(MATCH(A38,Table2[S],0)), "S", IF(ISNUMBER(MATCH(A38,Table2[M],0)), "M", IF(ISNUMBER(MATCH(A38,Table2[L],0)), "L")))</f>
        <v>0</v>
      </c>
      <c r="F38" s="3" t="str">
        <f t="shared" si="2"/>
        <v/>
      </c>
      <c r="H38" s="8"/>
      <c r="I38" s="8"/>
      <c r="J38" s="4"/>
    </row>
    <row r="39" spans="1:10">
      <c r="A39" s="4"/>
      <c r="B39" s="76"/>
      <c r="C39" s="12"/>
      <c r="D39" s="4"/>
      <c r="E39" s="73" t="b">
        <f>IF(ISNUMBER(MATCH(A39,Table2[S],0)), "S", IF(ISNUMBER(MATCH(A39,Table2[M],0)), "M", IF(ISNUMBER(MATCH(A39,Table2[L],0)), "L")))</f>
        <v>0</v>
      </c>
      <c r="F39" s="3" t="str">
        <f t="shared" si="2"/>
        <v/>
      </c>
      <c r="H39" s="8"/>
      <c r="I39" s="8"/>
      <c r="J39" s="4"/>
    </row>
    <row r="40" spans="1:10">
      <c r="A40" s="8"/>
      <c r="B40" s="77"/>
      <c r="C40" s="8"/>
      <c r="D40" s="8"/>
      <c r="E40" s="74" t="b">
        <f>IF(ISNUMBER(MATCH(A40,Table2[S],0)), "S", IF(ISNUMBER(MATCH(A40,Table2[M],0)), "M", IF(ISNUMBER(MATCH(A40,Table2[L],0)), "L")))</f>
        <v>0</v>
      </c>
      <c r="F40" s="3" t="str">
        <f t="shared" si="2"/>
        <v/>
      </c>
      <c r="H40" s="8"/>
      <c r="I40" s="8"/>
      <c r="J40" s="4"/>
    </row>
    <row r="41" spans="1:10">
      <c r="A41" s="8"/>
      <c r="B41" s="77"/>
      <c r="C41" s="8"/>
      <c r="D41" s="8"/>
      <c r="E41" s="73" t="b">
        <f>IF(ISNUMBER(MATCH(A41,Table2[S],0)), "S", IF(ISNUMBER(MATCH(A41,Table2[M],0)), "M", IF(ISNUMBER(MATCH(A41,Table2[L],0)), "L")))</f>
        <v>0</v>
      </c>
      <c r="F41" s="3" t="str">
        <f t="shared" si="2"/>
        <v/>
      </c>
      <c r="H41" s="8"/>
      <c r="I41" s="8"/>
      <c r="J41" s="4"/>
    </row>
    <row r="42" spans="1:10">
      <c r="A42" s="8"/>
      <c r="B42" s="77"/>
      <c r="C42" s="8"/>
      <c r="D42" s="8"/>
      <c r="E42" s="74" t="b">
        <f>IF(ISNUMBER(MATCH(A42,Table2[S],0)), "S", IF(ISNUMBER(MATCH(A42,Table2[M],0)), "M", IF(ISNUMBER(MATCH(A42,Table2[L],0)), "L")))</f>
        <v>0</v>
      </c>
      <c r="F42" s="3" t="str">
        <f t="shared" si="2"/>
        <v/>
      </c>
      <c r="H42" s="8"/>
      <c r="I42" s="8"/>
      <c r="J42" s="4"/>
    </row>
    <row r="43" spans="1:10">
      <c r="A43" s="8"/>
      <c r="B43" s="77"/>
      <c r="C43" s="8"/>
      <c r="D43" s="8"/>
      <c r="E43" s="73" t="b">
        <f>IF(ISNUMBER(MATCH(A43,Table2[S],0)), "S", IF(ISNUMBER(MATCH(A43,Table2[M],0)), "M", IF(ISNUMBER(MATCH(A43,Table2[L],0)), "L")))</f>
        <v>0</v>
      </c>
      <c r="F43" s="3" t="str">
        <f t="shared" si="2"/>
        <v/>
      </c>
      <c r="H43" s="8"/>
      <c r="I43" s="8"/>
      <c r="J43" s="4"/>
    </row>
    <row r="44" spans="1:10">
      <c r="A44" s="4"/>
      <c r="B44" s="76"/>
      <c r="C44" s="12"/>
      <c r="D44" s="4"/>
      <c r="E44" s="74" t="b">
        <f>IF(ISNUMBER(MATCH(A44,Table2[S],0)), "S", IF(ISNUMBER(MATCH(A44,Table2[M],0)), "M", IF(ISNUMBER(MATCH(A44,Table2[L],0)), "L")))</f>
        <v>0</v>
      </c>
      <c r="F44" s="3" t="str">
        <f t="shared" si="2"/>
        <v/>
      </c>
      <c r="H44" s="8"/>
      <c r="I44" s="8"/>
      <c r="J44" s="4"/>
    </row>
    <row r="45" spans="1:10">
      <c r="A45" s="4"/>
      <c r="B45" s="76"/>
      <c r="C45" s="12"/>
      <c r="D45" s="81"/>
      <c r="E45" s="73" t="b">
        <f>IF(ISNUMBER(MATCH(A45,Table2[S],0)), "S", IF(ISNUMBER(MATCH(A45,Table2[M],0)), "M", IF(ISNUMBER(MATCH(A45,Table2[L],0)), "L")))</f>
        <v>0</v>
      </c>
      <c r="F45" s="3" t="str">
        <f>IF(E45="s",ROUNDUP(C45/8,0)+(ROUNDUP(C45/64,0))*2,IF(E45="m",(ROUNDUP(C45/8,0))*2+(ROUNDUP(C45/40,0))*2,IF(E45="L",(ROUNDUP(C45/4,0))*2+(ROUNDUP(C45/20,0))*2,"")))</f>
        <v/>
      </c>
      <c r="H45" s="8"/>
      <c r="I45" s="8"/>
      <c r="J45" s="4"/>
    </row>
    <row r="46" spans="1:10">
      <c r="H46" s="8"/>
      <c r="I46" s="8"/>
      <c r="J46" s="4"/>
    </row>
    <row r="47" spans="1:10">
      <c r="H47" s="8"/>
      <c r="I47" s="8"/>
      <c r="J47" s="4"/>
    </row>
    <row r="48" spans="1:10">
      <c r="H48" s="8"/>
      <c r="I48" s="8"/>
      <c r="J48" s="4"/>
    </row>
    <row r="49" spans="8:10">
      <c r="H49" s="8"/>
      <c r="I49" s="8"/>
      <c r="J49" s="4"/>
    </row>
    <row r="50" spans="8:10">
      <c r="H50" s="8"/>
      <c r="I50" s="8"/>
      <c r="J50" s="4"/>
    </row>
    <row r="51" spans="8:10">
      <c r="H51" s="8"/>
      <c r="I51" s="8"/>
      <c r="J51" s="4"/>
    </row>
    <row r="52" spans="8:10">
      <c r="H52" s="8"/>
      <c r="I52" s="8"/>
      <c r="J52" s="4"/>
    </row>
    <row r="53" spans="8:10">
      <c r="H53" s="8"/>
      <c r="I53" s="8"/>
      <c r="J53" s="4"/>
    </row>
    <row r="54" spans="8:10">
      <c r="H54" s="8"/>
      <c r="I54" s="8"/>
      <c r="J54" s="4"/>
    </row>
    <row r="55" spans="8:10">
      <c r="H55" s="4"/>
      <c r="I55" s="4"/>
      <c r="J55" s="4"/>
    </row>
    <row r="56" spans="8:10">
      <c r="H56" s="4"/>
      <c r="I56" s="4"/>
      <c r="J56" s="4"/>
    </row>
    <row r="57" spans="8:10">
      <c r="H57" s="4"/>
      <c r="I57" s="4"/>
      <c r="J57" s="4"/>
    </row>
    <row r="58" spans="8:10">
      <c r="H58" s="4"/>
      <c r="I58" s="4"/>
      <c r="J58" s="4"/>
    </row>
    <row r="59" spans="8:10">
      <c r="H59" s="4"/>
      <c r="I59" s="4"/>
      <c r="J59" s="4"/>
    </row>
    <row r="60" spans="8:10">
      <c r="H60" s="4"/>
      <c r="I60" s="4"/>
      <c r="J60" s="4"/>
    </row>
    <row r="61" spans="8:10">
      <c r="H61" s="4"/>
      <c r="I61" s="4"/>
      <c r="J61" s="4"/>
    </row>
    <row r="62" spans="8:10">
      <c r="H62" s="4"/>
      <c r="I62" s="4"/>
      <c r="J62" s="4"/>
    </row>
    <row r="63" spans="8:10">
      <c r="H63" s="4"/>
      <c r="I63" s="4"/>
      <c r="J63" s="4"/>
    </row>
    <row r="64" spans="8:10">
      <c r="H64" s="4"/>
      <c r="I64" s="4"/>
      <c r="J64" s="4"/>
    </row>
    <row r="65" spans="8:10">
      <c r="H65" s="4"/>
      <c r="I65" s="4"/>
      <c r="J65" s="4"/>
    </row>
    <row r="66" spans="8:10">
      <c r="H66" s="4"/>
      <c r="I66" s="4"/>
      <c r="J66" s="4"/>
    </row>
    <row r="67" spans="8:10">
      <c r="H67" s="4"/>
      <c r="I67" s="4"/>
      <c r="J67" s="4"/>
    </row>
    <row r="68" spans="8:10">
      <c r="H68" s="4"/>
      <c r="I68" s="4"/>
      <c r="J68" s="4"/>
    </row>
    <row r="69" spans="8:10">
      <c r="H69" s="4"/>
      <c r="I69" s="4"/>
      <c r="J69" s="4"/>
    </row>
    <row r="70" spans="8:10">
      <c r="H70" s="4"/>
      <c r="I70" s="4"/>
      <c r="J70" s="4"/>
    </row>
  </sheetData>
  <dataConsolidate>
    <dataRefs count="1">
      <dataRef ref="H3:H5" sheet="CARFEFOUR" r:id="rId1"/>
    </dataRefs>
  </dataConsolidate>
  <mergeCells count="1">
    <mergeCell ref="L1:M4"/>
  </mergeCell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3E7FB-7336-4444-A20F-031219B37453}">
  <sheetPr codeName="Sheet4"/>
  <dimension ref="A1:M39"/>
  <sheetViews>
    <sheetView workbookViewId="0">
      <selection activeCell="A2" sqref="A2:D13"/>
    </sheetView>
  </sheetViews>
  <sheetFormatPr defaultColWidth="16.42578125" defaultRowHeight="15"/>
  <cols>
    <col min="1" max="1" width="16.42578125" style="1"/>
    <col min="2" max="2" width="24.5703125" style="1" bestFit="1" customWidth="1"/>
    <col min="3" max="5" width="16.42578125" style="1"/>
    <col min="13" max="13" width="25.7109375" customWidth="1"/>
  </cols>
  <sheetData>
    <row r="1" spans="1:13" ht="15" customHeight="1">
      <c r="A1" s="59" t="s">
        <v>15</v>
      </c>
      <c r="B1" s="59" t="s">
        <v>16</v>
      </c>
      <c r="C1" s="59" t="s">
        <v>17</v>
      </c>
      <c r="D1" s="59" t="s">
        <v>64</v>
      </c>
      <c r="E1" s="59" t="s">
        <v>11</v>
      </c>
      <c r="J1" s="116" t="s">
        <v>29</v>
      </c>
      <c r="K1" s="117"/>
      <c r="L1" s="117"/>
      <c r="M1" s="118"/>
    </row>
    <row r="2" spans="1:13" ht="15.75" thickBot="1">
      <c r="A2" s="87"/>
      <c r="C2" s="90"/>
      <c r="E2" s="1">
        <f>ROUNDUP(C2/132,0)</f>
        <v>0</v>
      </c>
      <c r="J2" s="119"/>
      <c r="K2" s="120"/>
      <c r="L2" s="120"/>
      <c r="M2" s="121"/>
    </row>
    <row r="3" spans="1:13" ht="34.5" thickBot="1">
      <c r="A3" s="81"/>
      <c r="C3" s="91"/>
      <c r="E3" s="1">
        <f>ROUNDUP(C3/132,0)</f>
        <v>0</v>
      </c>
      <c r="F3" s="60"/>
      <c r="J3" s="122" t="s">
        <v>26</v>
      </c>
      <c r="K3" s="123"/>
      <c r="L3" s="124"/>
      <c r="M3" s="32">
        <f>SUM(E2:E45)</f>
        <v>0</v>
      </c>
    </row>
    <row r="4" spans="1:13">
      <c r="A4" s="86"/>
      <c r="C4" s="90"/>
      <c r="E4" s="1">
        <f>ROUNDUP(C4/132,0)</f>
        <v>0</v>
      </c>
    </row>
    <row r="5" spans="1:13">
      <c r="A5" s="81"/>
      <c r="C5" s="91"/>
      <c r="E5" s="1">
        <f>ROUNDUP(C5/132,0)</f>
        <v>0</v>
      </c>
    </row>
    <row r="6" spans="1:13">
      <c r="E6" s="1">
        <f>ROUNDUP(C6/132,0)</f>
        <v>0</v>
      </c>
    </row>
    <row r="7" spans="1:13">
      <c r="E7" s="1">
        <f>ROUNDUP(C8/132,0)</f>
        <v>0</v>
      </c>
    </row>
    <row r="8" spans="1:13">
      <c r="E8" s="1">
        <f>E6</f>
        <v>0</v>
      </c>
      <c r="G8" s="61"/>
    </row>
    <row r="9" spans="1:13">
      <c r="E9" s="1">
        <f t="shared" ref="E9:E39" si="0">ROUNDUP(C9/132,0)</f>
        <v>0</v>
      </c>
    </row>
    <row r="10" spans="1:13">
      <c r="E10" s="1">
        <f t="shared" si="0"/>
        <v>0</v>
      </c>
    </row>
    <row r="11" spans="1:13">
      <c r="E11" s="1">
        <f t="shared" si="0"/>
        <v>0</v>
      </c>
    </row>
    <row r="12" spans="1:13">
      <c r="E12" s="1">
        <f t="shared" si="0"/>
        <v>0</v>
      </c>
    </row>
    <row r="13" spans="1:13">
      <c r="E13" s="1">
        <f t="shared" si="0"/>
        <v>0</v>
      </c>
    </row>
    <row r="14" spans="1:13">
      <c r="E14" s="1">
        <f t="shared" si="0"/>
        <v>0</v>
      </c>
      <c r="G14" s="61"/>
    </row>
    <row r="15" spans="1:13">
      <c r="E15" s="1">
        <f t="shared" si="0"/>
        <v>0</v>
      </c>
    </row>
    <row r="16" spans="1:13">
      <c r="E16" s="1">
        <f t="shared" si="0"/>
        <v>0</v>
      </c>
    </row>
    <row r="17" spans="5:5">
      <c r="E17" s="1">
        <f t="shared" si="0"/>
        <v>0</v>
      </c>
    </row>
    <row r="18" spans="5:5">
      <c r="E18" s="1">
        <f t="shared" si="0"/>
        <v>0</v>
      </c>
    </row>
    <row r="19" spans="5:5">
      <c r="E19" s="1">
        <f t="shared" si="0"/>
        <v>0</v>
      </c>
    </row>
    <row r="20" spans="5:5">
      <c r="E20" s="1">
        <f t="shared" si="0"/>
        <v>0</v>
      </c>
    </row>
    <row r="21" spans="5:5">
      <c r="E21" s="1">
        <f t="shared" si="0"/>
        <v>0</v>
      </c>
    </row>
    <row r="22" spans="5:5">
      <c r="E22" s="1">
        <f t="shared" si="0"/>
        <v>0</v>
      </c>
    </row>
    <row r="23" spans="5:5">
      <c r="E23" s="1">
        <f t="shared" si="0"/>
        <v>0</v>
      </c>
    </row>
    <row r="24" spans="5:5">
      <c r="E24" s="1">
        <f t="shared" si="0"/>
        <v>0</v>
      </c>
    </row>
    <row r="25" spans="5:5">
      <c r="E25" s="1">
        <f t="shared" si="0"/>
        <v>0</v>
      </c>
    </row>
    <row r="26" spans="5:5">
      <c r="E26" s="1">
        <f t="shared" si="0"/>
        <v>0</v>
      </c>
    </row>
    <row r="27" spans="5:5">
      <c r="E27" s="1">
        <f t="shared" si="0"/>
        <v>0</v>
      </c>
    </row>
    <row r="28" spans="5:5">
      <c r="E28" s="1">
        <f t="shared" si="0"/>
        <v>0</v>
      </c>
    </row>
    <row r="29" spans="5:5">
      <c r="E29" s="1">
        <f t="shared" si="0"/>
        <v>0</v>
      </c>
    </row>
    <row r="30" spans="5:5">
      <c r="E30" s="1">
        <f t="shared" si="0"/>
        <v>0</v>
      </c>
    </row>
    <row r="31" spans="5:5">
      <c r="E31" s="1">
        <f t="shared" si="0"/>
        <v>0</v>
      </c>
    </row>
    <row r="32" spans="5:5">
      <c r="E32" s="1">
        <f t="shared" si="0"/>
        <v>0</v>
      </c>
    </row>
    <row r="33" spans="5:5">
      <c r="E33" s="1">
        <f t="shared" si="0"/>
        <v>0</v>
      </c>
    </row>
    <row r="34" spans="5:5">
      <c r="E34" s="1">
        <f t="shared" si="0"/>
        <v>0</v>
      </c>
    </row>
    <row r="35" spans="5:5">
      <c r="E35" s="1">
        <f t="shared" si="0"/>
        <v>0</v>
      </c>
    </row>
    <row r="36" spans="5:5">
      <c r="E36" s="1">
        <f t="shared" si="0"/>
        <v>0</v>
      </c>
    </row>
    <row r="37" spans="5:5">
      <c r="E37" s="1">
        <f t="shared" si="0"/>
        <v>0</v>
      </c>
    </row>
    <row r="38" spans="5:5">
      <c r="E38" s="1">
        <f t="shared" si="0"/>
        <v>0</v>
      </c>
    </row>
    <row r="39" spans="5:5">
      <c r="E39" s="1">
        <f t="shared" si="0"/>
        <v>0</v>
      </c>
    </row>
  </sheetData>
  <mergeCells count="2">
    <mergeCell ref="J1:M2"/>
    <mergeCell ref="J3:L3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B3A8-975D-4012-811B-F6394E0A8508}">
  <sheetPr codeName="Sheet10">
    <tabColor rgb="FFCCCCFF"/>
  </sheetPr>
  <dimension ref="A1:M39"/>
  <sheetViews>
    <sheetView workbookViewId="0">
      <selection activeCell="A2" sqref="A2:D11"/>
    </sheetView>
  </sheetViews>
  <sheetFormatPr defaultColWidth="16.42578125" defaultRowHeight="15"/>
  <cols>
    <col min="2" max="2" width="24.5703125" bestFit="1" customWidth="1"/>
    <col min="13" max="13" width="27.7109375" customWidth="1"/>
  </cols>
  <sheetData>
    <row r="1" spans="1:13" ht="15" customHeight="1">
      <c r="A1" s="13" t="s">
        <v>15</v>
      </c>
      <c r="B1" s="13" t="s">
        <v>16</v>
      </c>
      <c r="C1" s="13" t="s">
        <v>17</v>
      </c>
      <c r="D1" s="13" t="s">
        <v>25</v>
      </c>
      <c r="E1" s="13" t="s">
        <v>11</v>
      </c>
      <c r="F1" s="13" t="s">
        <v>64</v>
      </c>
      <c r="J1" s="116" t="s">
        <v>29</v>
      </c>
      <c r="K1" s="117"/>
      <c r="L1" s="117"/>
      <c r="M1" s="117"/>
    </row>
    <row r="2" spans="1:13">
      <c r="A2" s="87"/>
      <c r="B2" s="1"/>
      <c r="C2" s="86"/>
      <c r="D2" s="1"/>
      <c r="E2">
        <f t="shared" ref="E2:E39" si="0">ROUNDUP(C2/132,0)</f>
        <v>0</v>
      </c>
      <c r="F2" s="78"/>
      <c r="J2" s="125"/>
      <c r="K2" s="126"/>
      <c r="L2" s="126"/>
      <c r="M2" s="126"/>
    </row>
    <row r="3" spans="1:13" ht="34.5" thickBot="1">
      <c r="A3" s="81"/>
      <c r="B3" s="1"/>
      <c r="C3" s="81"/>
      <c r="D3" s="1"/>
      <c r="E3">
        <f t="shared" si="0"/>
        <v>0</v>
      </c>
      <c r="F3" s="79"/>
      <c r="J3" s="127" t="s">
        <v>26</v>
      </c>
      <c r="K3" s="128"/>
      <c r="L3" s="128"/>
      <c r="M3" s="54">
        <f>SUM(E2:E45)</f>
        <v>0</v>
      </c>
    </row>
    <row r="4" spans="1:13">
      <c r="A4" s="86"/>
      <c r="B4" s="1"/>
      <c r="C4" s="86"/>
      <c r="D4" s="1"/>
      <c r="E4">
        <f t="shared" si="0"/>
        <v>0</v>
      </c>
      <c r="F4" s="78"/>
    </row>
    <row r="5" spans="1:13">
      <c r="A5" s="81"/>
      <c r="B5" s="1"/>
      <c r="C5" s="81"/>
      <c r="D5" s="1"/>
      <c r="E5">
        <f t="shared" si="0"/>
        <v>0</v>
      </c>
      <c r="F5" s="79"/>
    </row>
    <row r="6" spans="1:13">
      <c r="A6" s="1"/>
      <c r="B6" s="1"/>
      <c r="C6" s="5"/>
      <c r="D6" s="1"/>
      <c r="E6">
        <f t="shared" si="0"/>
        <v>0</v>
      </c>
    </row>
    <row r="7" spans="1:13">
      <c r="A7" s="1"/>
      <c r="B7" s="1"/>
      <c r="C7" s="9"/>
      <c r="D7" s="1"/>
      <c r="E7">
        <f t="shared" si="0"/>
        <v>0</v>
      </c>
    </row>
    <row r="8" spans="1:13">
      <c r="A8" s="1"/>
      <c r="B8" s="1"/>
      <c r="D8" s="1"/>
      <c r="E8">
        <f t="shared" si="0"/>
        <v>0</v>
      </c>
    </row>
    <row r="9" spans="1:13">
      <c r="E9">
        <f t="shared" si="0"/>
        <v>0</v>
      </c>
    </row>
    <row r="10" spans="1:13">
      <c r="E10">
        <f t="shared" si="0"/>
        <v>0</v>
      </c>
    </row>
    <row r="11" spans="1:13">
      <c r="E11">
        <f t="shared" si="0"/>
        <v>0</v>
      </c>
    </row>
    <row r="12" spans="1:13">
      <c r="E12">
        <f t="shared" si="0"/>
        <v>0</v>
      </c>
    </row>
    <row r="13" spans="1:13">
      <c r="E13">
        <f t="shared" si="0"/>
        <v>0</v>
      </c>
    </row>
    <row r="14" spans="1:13">
      <c r="E14">
        <f t="shared" si="0"/>
        <v>0</v>
      </c>
    </row>
    <row r="15" spans="1:13">
      <c r="E15">
        <f t="shared" si="0"/>
        <v>0</v>
      </c>
    </row>
    <row r="16" spans="1:13">
      <c r="E16">
        <f t="shared" si="0"/>
        <v>0</v>
      </c>
    </row>
    <row r="17" spans="5:5">
      <c r="E17">
        <f t="shared" si="0"/>
        <v>0</v>
      </c>
    </row>
    <row r="18" spans="5:5">
      <c r="E18">
        <f t="shared" si="0"/>
        <v>0</v>
      </c>
    </row>
    <row r="19" spans="5:5">
      <c r="E19">
        <f t="shared" si="0"/>
        <v>0</v>
      </c>
    </row>
    <row r="20" spans="5:5">
      <c r="E20">
        <f t="shared" si="0"/>
        <v>0</v>
      </c>
    </row>
    <row r="21" spans="5:5">
      <c r="E21">
        <f t="shared" si="0"/>
        <v>0</v>
      </c>
    </row>
    <row r="22" spans="5:5">
      <c r="E22">
        <f t="shared" si="0"/>
        <v>0</v>
      </c>
    </row>
    <row r="23" spans="5:5">
      <c r="E23">
        <f t="shared" si="0"/>
        <v>0</v>
      </c>
    </row>
    <row r="24" spans="5:5">
      <c r="E24">
        <f t="shared" si="0"/>
        <v>0</v>
      </c>
    </row>
    <row r="25" spans="5:5">
      <c r="E25">
        <f t="shared" si="0"/>
        <v>0</v>
      </c>
    </row>
    <row r="26" spans="5:5">
      <c r="E26">
        <f t="shared" si="0"/>
        <v>0</v>
      </c>
    </row>
    <row r="27" spans="5:5">
      <c r="E27">
        <f t="shared" si="0"/>
        <v>0</v>
      </c>
    </row>
    <row r="28" spans="5:5">
      <c r="E28">
        <f t="shared" si="0"/>
        <v>0</v>
      </c>
    </row>
    <row r="29" spans="5:5">
      <c r="E29">
        <f t="shared" si="0"/>
        <v>0</v>
      </c>
    </row>
    <row r="30" spans="5:5">
      <c r="E30">
        <f t="shared" si="0"/>
        <v>0</v>
      </c>
    </row>
    <row r="31" spans="5:5">
      <c r="E31">
        <f t="shared" si="0"/>
        <v>0</v>
      </c>
    </row>
    <row r="32" spans="5:5">
      <c r="E32">
        <f t="shared" si="0"/>
        <v>0</v>
      </c>
    </row>
    <row r="33" spans="5:5">
      <c r="E33">
        <f t="shared" si="0"/>
        <v>0</v>
      </c>
    </row>
    <row r="34" spans="5:5">
      <c r="E34">
        <f t="shared" si="0"/>
        <v>0</v>
      </c>
    </row>
    <row r="35" spans="5:5">
      <c r="E35">
        <f t="shared" si="0"/>
        <v>0</v>
      </c>
    </row>
    <row r="36" spans="5:5">
      <c r="E36">
        <f t="shared" si="0"/>
        <v>0</v>
      </c>
    </row>
    <row r="37" spans="5:5">
      <c r="E37">
        <f t="shared" si="0"/>
        <v>0</v>
      </c>
    </row>
    <row r="38" spans="5:5">
      <c r="E38">
        <f t="shared" si="0"/>
        <v>0</v>
      </c>
    </row>
    <row r="39" spans="5:5">
      <c r="E39">
        <f t="shared" si="0"/>
        <v>0</v>
      </c>
    </row>
  </sheetData>
  <mergeCells count="2">
    <mergeCell ref="J1:M2"/>
    <mergeCell ref="J3:L3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9E75-A36F-4A9B-AC8D-5BD60226112B}">
  <sheetPr codeName="Sheet5">
    <pageSetUpPr fitToPage="1"/>
  </sheetPr>
  <dimension ref="A1:M14"/>
  <sheetViews>
    <sheetView workbookViewId="0">
      <selection activeCell="D4" sqref="D4:D5"/>
    </sheetView>
  </sheetViews>
  <sheetFormatPr defaultColWidth="9.28515625" defaultRowHeight="15"/>
  <cols>
    <col min="1" max="1" width="18.7109375" style="14" bestFit="1" customWidth="1"/>
    <col min="2" max="2" width="29.42578125" style="14" bestFit="1" customWidth="1"/>
    <col min="3" max="3" width="66.140625" style="1" bestFit="1" customWidth="1"/>
    <col min="4" max="4" width="32.140625" style="1" bestFit="1" customWidth="1"/>
    <col min="5" max="5" width="10.85546875" style="1" bestFit="1" customWidth="1"/>
    <col min="6" max="12" width="12.140625" style="1" customWidth="1"/>
    <col min="13" max="13" width="23.5703125" style="1" bestFit="1" customWidth="1"/>
    <col min="14" max="16384" width="9.28515625" style="1"/>
  </cols>
  <sheetData>
    <row r="1" spans="1:13" ht="12.75" customHeight="1">
      <c r="A1" s="132" t="s">
        <v>14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</row>
    <row r="2" spans="1:13" ht="15.75" thickBot="1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</row>
    <row r="3" spans="1:13" ht="29.25" thickBot="1">
      <c r="A3" s="65" t="s">
        <v>56</v>
      </c>
      <c r="B3" s="66" t="s">
        <v>57</v>
      </c>
      <c r="C3" s="66" t="s">
        <v>33</v>
      </c>
      <c r="D3" s="71" t="s">
        <v>34</v>
      </c>
      <c r="E3" s="22" t="s">
        <v>27</v>
      </c>
      <c r="F3" s="72" t="s">
        <v>35</v>
      </c>
      <c r="G3" s="66" t="s">
        <v>36</v>
      </c>
      <c r="H3" s="66" t="s">
        <v>37</v>
      </c>
      <c r="I3" s="66" t="s">
        <v>38</v>
      </c>
      <c r="J3" s="66" t="s">
        <v>39</v>
      </c>
      <c r="K3" s="66" t="s">
        <v>40</v>
      </c>
      <c r="L3" s="66" t="s">
        <v>41</v>
      </c>
      <c r="M3" s="67" t="s">
        <v>42</v>
      </c>
    </row>
    <row r="4" spans="1:13" ht="29.25" customHeight="1" thickBot="1">
      <c r="A4" s="63">
        <f>IF(E4="cases", 40, IF(E4="slices", 800, ""))</f>
        <v>40</v>
      </c>
      <c r="B4" s="55" t="s">
        <v>49</v>
      </c>
      <c r="C4" s="64" t="s">
        <v>55</v>
      </c>
      <c r="D4" s="92"/>
      <c r="E4" s="70" t="s">
        <v>61</v>
      </c>
      <c r="F4" s="68">
        <f>IF( COLUMNS($F$4:F4) &lt;= MIN(7, CEILING($D$4/$A$4, 1)), IF( COLUMNS($F$4:F4) &lt; MIN(7, CEILING($D$4/$A$4, 1)), INT($D$4 / MIN(7, CEILING($D$4/$A$4, 1))), $D$4 - INT($D$4 / MIN(7, CEILING($D$4/$A$4, 1))) * (MIN(7, CEILING($D$4/$A$4, 1)) - 1) ), 0 )</f>
        <v>0</v>
      </c>
      <c r="G4" s="23">
        <f>IF( COLUMNS($F$4:G4) &lt;= MIN(7, CEILING($D$4/$A$4, 1)), IF( COLUMNS($F$4:G4) &lt; MIN(7, CEILING($D$4/$A$4, 1)), INT($D$4 / MIN(7, CEILING($D$4/$A$4, 1))), $D$4 - INT($D$4 / MIN(7, CEILING($D$4/$A$4, 1))) * (MIN(7, CEILING($D$4/$A$4, 1)) - 1) ), 0 )</f>
        <v>0</v>
      </c>
      <c r="H4" s="23">
        <f>IF( COLUMNS($F$4:H4) &lt;= MIN(7, CEILING($D$4/$A$4, 1)), IF( COLUMNS($F$4:H4) &lt; MIN(7, CEILING($D$4/$A$4, 1)), INT($D$4 / MIN(7, CEILING($D$4/$A$4, 1))), $D$4 - INT($D$4 / MIN(7, CEILING($D$4/$A$4, 1))) * (MIN(7, CEILING($D$4/$A$4, 1)) - 1) ), 0 )</f>
        <v>0</v>
      </c>
      <c r="I4" s="23">
        <f>IF( COLUMNS($F$4:I4) &lt;= MIN(7, CEILING($D$4/$A$4, 1)), IF( COLUMNS($F$4:I4) &lt; MIN(7, CEILING($D$4/$A$4, 1)), INT($D$4 / MIN(7, CEILING($D$4/$A$4, 1))), $D$4 - INT($D$4 / MIN(7, CEILING($D$4/$A$4, 1))) * (MIN(7, CEILING($D$4/$A$4, 1)) - 1) ), 0 )</f>
        <v>0</v>
      </c>
      <c r="J4" s="23">
        <f>IF( COLUMNS($F$4:J4) &lt;= MIN(7, CEILING($D$4/$A$4, 1)), IF( COLUMNS($F$4:J4) &lt; MIN(7, CEILING($D$4/$A$4, 1)), INT($D$4 / MIN(7, CEILING($D$4/$A$4, 1))), $D$4 - INT($D$4 / MIN(7, CEILING($D$4/$A$4, 1))) * (MIN(7, CEILING($D$4/$A$4, 1)) - 1) ), 0 )</f>
        <v>0</v>
      </c>
      <c r="K4" s="23">
        <f>IF( COLUMNS($F$4:K4) &lt;= MIN(7, CEILING($D$4/$A$4, 1)), IF( COLUMNS($F$4:K4) &lt; MIN(7, CEILING($D$4/$A$4, 1)), INT($D$4 / MIN(7, CEILING($D$4/$A$4, 1))), $D$4 - INT($D$4 / MIN(7, CEILING($D$4/$A$4, 1))) * (MIN(7, CEILING($D$4/$A$4, 1)) - 1) ), 0 )</f>
        <v>0</v>
      </c>
      <c r="L4" s="23">
        <f>IF( COLUMNS($F$4:L4) &lt;= MIN(7, CEILING($D$4/$A$4, 1)), IF( COLUMNS($F$4:L4) &lt; MIN(7, CEILING($D$4/$A$4, 1)), INT($D$4 / MIN(7, CEILING($D$4/$A$4, 1))), $D$4 - INT($D$4 / MIN(7, CEILING($D$4/$A$4, 1))) * (MIN(7, CEILING($D$4/$A$4, 1)) - 1) ), 0 )</f>
        <v>0</v>
      </c>
      <c r="M4" s="24">
        <f>COUNTIF(F4:L4, "&lt;&gt;0")</f>
        <v>0</v>
      </c>
    </row>
    <row r="5" spans="1:13" ht="29.25" customHeight="1" thickBot="1">
      <c r="A5" s="31">
        <f t="shared" ref="A5:A9" si="0">IF(E5="cases", 40, IF(E5="slices", 800, ""))</f>
        <v>40</v>
      </c>
      <c r="B5" s="56" t="s">
        <v>50</v>
      </c>
      <c r="C5" s="19" t="s">
        <v>55</v>
      </c>
      <c r="D5" s="92"/>
      <c r="E5" s="70" t="s">
        <v>61</v>
      </c>
      <c r="F5" s="69">
        <f>IF( COLUMNS($F$5:F5) &lt;= MIN(7, CEILING($D$5/$A$5, 1)), IF( COLUMNS($F$5:F5) &lt; MIN(7, CEILING($D$5/$A$5, 1)), INT($D$5 / MIN(7, CEILING($D$5/$A$5, 1))), $D$5 - INT($D$5 / MIN(7, CEILING($D$5/$A$5, 1))) * (MIN(7, CEILING($D$5/$A$5, 1)) - 1) ), 0 )</f>
        <v>0</v>
      </c>
      <c r="G5" s="18">
        <f>IF( COLUMNS($F$5:G5) &lt;= MIN(7, CEILING($D$5/$A$5, 1)), IF( COLUMNS($F$5:G5) &lt; MIN(7, CEILING($D$5/$A$5, 1)), INT($D$5 / MIN(7, CEILING($D$5/$A$5, 1))), $D$5 - INT($D$5 / MIN(7, CEILING($D$5/$A$5, 1))) * (MIN(7, CEILING($D$5/$A$5, 1)) - 1) ), 0 )</f>
        <v>0</v>
      </c>
      <c r="H5" s="18">
        <f>IF( COLUMNS($F$5:H5) &lt;= MIN(7, CEILING($D$5/$A$5, 1)), IF( COLUMNS($F$5:H5) &lt; MIN(7, CEILING($D$5/$A$5, 1)), INT($D$5 / MIN(7, CEILING($D$5/$A$5, 1))), $D$5 - INT($D$5 / MIN(7, CEILING($D$5/$A$5, 1))) * (MIN(7, CEILING($D$5/$A$5, 1)) - 1) ), 0 )</f>
        <v>0</v>
      </c>
      <c r="I5" s="18">
        <f>IF( COLUMNS($F$5:I5) &lt;= MIN(7, CEILING($D$5/$A$5, 1)), IF( COLUMNS($F$5:I5) &lt; MIN(7, CEILING($D$5/$A$5, 1)), INT($D$5 / MIN(7, CEILING($D$5/$A$5, 1))), $D$5 - INT($D$5 / MIN(7, CEILING($D$5/$A$5, 1))) * (MIN(7, CEILING($D$5/$A$5, 1)) - 1) ), 0 )</f>
        <v>0</v>
      </c>
      <c r="J5" s="18">
        <f>IF( COLUMNS($F$5:J5) &lt;= MIN(7, CEILING($D$5/$A$5, 1)), IF( COLUMNS($F$5:J5) &lt; MIN(7, CEILING($D$5/$A$5, 1)), INT($D$5 / MIN(7, CEILING($D$5/$A$5, 1))), $D$5 - INT($D$5 / MIN(7, CEILING($D$5/$A$5, 1))) * (MIN(7, CEILING($D$5/$A$5, 1)) - 1) ), 0 )</f>
        <v>0</v>
      </c>
      <c r="K5" s="18">
        <f>IF( COLUMNS($F$5:K5) &lt;= MIN(7, CEILING($D$5/$A$5, 1)), IF( COLUMNS($F$5:K5) &lt; MIN(7, CEILING($D$5/$A$5, 1)), INT($D$5 / MIN(7, CEILING($D$5/$A$5, 1))), $D$5 - INT($D$5 / MIN(7, CEILING($D$5/$A$5, 1))) * (MIN(7, CEILING($D$5/$A$5, 1)) - 1) ), 0 )</f>
        <v>0</v>
      </c>
      <c r="L5" s="18">
        <f>IF( COLUMNS($F$5:L5) &lt;= MIN(7, CEILING($D$5/$A$5, 1)), IF( COLUMNS($F$5:L5) &lt; MIN(7, CEILING($D$5/$A$5, 1)), INT($D$5 / MIN(7, CEILING($D$5/$A$5, 1))), $D$5 - INT($D$5 / MIN(7, CEILING($D$5/$A$5, 1))) * (MIN(7, CEILING($D$5/$A$5, 1)) - 1) ), 0 )</f>
        <v>0</v>
      </c>
      <c r="M5" s="20">
        <f t="shared" ref="M5:M9" si="1">COUNTIF(F5:L5, "&lt;&gt;0")</f>
        <v>0</v>
      </c>
    </row>
    <row r="6" spans="1:13" ht="29.25" customHeight="1" thickBot="1">
      <c r="A6" s="31">
        <f t="shared" si="0"/>
        <v>40</v>
      </c>
      <c r="B6" s="57" t="s">
        <v>51</v>
      </c>
      <c r="C6" s="19" t="s">
        <v>55</v>
      </c>
      <c r="D6" s="92"/>
      <c r="E6" s="70" t="s">
        <v>61</v>
      </c>
      <c r="F6" s="69">
        <f>IF( COLUMNS($F$6:F6) &lt;= MIN(7, CEILING($D$6/$A$6, 1)), IF( COLUMNS($F$6:F6) &lt; MIN(7, CEILING($D$6/$A$6, 1)), INT($D$6 / MIN(7, CEILING($D$6/$A$6, 1))), $D$6 - INT($D$6 / MIN(7, CEILING($D$6/$A$6, 1))) * (MIN(7, CEILING($D$6/$A$6, 1)) - 1) ), 0 )</f>
        <v>0</v>
      </c>
      <c r="G6" s="18">
        <f>IF( COLUMNS($F$6:G6) &lt;= MIN(7, CEILING($D$6/$A$6, 1)), IF( COLUMNS($F$6:G6) &lt; MIN(7, CEILING($D$6/$A$6, 1)), INT($D$6 / MIN(7, CEILING($D$6/$A$6, 1))), $D$6 - INT($D$6 / MIN(7, CEILING($D$6/$A$6, 1))) * (MIN(7, CEILING($D$6/$A$6, 1)) - 1) ), 0 )</f>
        <v>0</v>
      </c>
      <c r="H6" s="18">
        <f>IF( COLUMNS($F$4:H6) &lt;= MIN(7, INT($D6/$A6) + 1), ROUNDDOWN($D6 / MIN(7, INT($D6/$A6) + 1), 0) + IF( COLUMNS($F$4:H6) &gt; MIN(7, INT($D6/$A6) + 1) - MOD($D6, MIN(7, INT($D6/$A6) + 1)), 1, 0 ), 0 )</f>
        <v>0</v>
      </c>
      <c r="I6" s="18">
        <f>IF( COLUMNS($F$4:I6) &lt;= MIN(7, INT($D6/$A6) + 1), ROUNDDOWN($D6 / MIN(7, INT($D6/$A6) + 1), 0) + IF( COLUMNS($F$4:I6) &gt; MIN(7, INT($D6/$A6) + 1) - MOD($D6, MIN(7, INT($D6/$A6) + 1)), 1, 0 ), 0 )</f>
        <v>0</v>
      </c>
      <c r="J6" s="18">
        <f>IF( COLUMNS($F$4:J6) &lt;= MIN(7, INT($D6/$A6) + 1), ROUNDDOWN($D6 / MIN(7, INT($D6/$A6) + 1), 0) + IF( COLUMNS($F$4:J6) &gt; MIN(7, INT($D6/$A6) + 1) - MOD($D6, MIN(7, INT($D6/$A6) + 1)), 1, 0 ), 0 )</f>
        <v>0</v>
      </c>
      <c r="K6" s="18">
        <f>IF( COLUMNS($F$4:K6) &lt;= MIN(7, INT($D6/$A6) + 1), ROUNDDOWN($D6 / MIN(7, INT($D6/$A6) + 1), 0) + IF( COLUMNS($F$4:K6) &gt; MIN(7, INT($D6/$A6) + 1) - MOD($D6, MIN(7, INT($D6/$A6) + 1)), 1, 0 ), 0 )</f>
        <v>0</v>
      </c>
      <c r="L6" s="18">
        <f>IF( COLUMNS($F$4:L6) &lt;= MIN(7, INT($D6/$A6) + 1), ROUNDDOWN($D6 / MIN(7, INT($D6/$A6) + 1), 0) + IF( COLUMNS($F$4:L6) &gt; MIN(7, INT($D6/$A6) + 1) - MOD($D6, MIN(7, INT($D6/$A6) + 1)), 1, 0 ), 0 )</f>
        <v>0</v>
      </c>
      <c r="M6" s="20">
        <f t="shared" si="1"/>
        <v>0</v>
      </c>
    </row>
    <row r="7" spans="1:13" ht="29.25" customHeight="1" thickBot="1">
      <c r="A7" s="31">
        <f t="shared" si="0"/>
        <v>40</v>
      </c>
      <c r="B7" s="57" t="s">
        <v>52</v>
      </c>
      <c r="C7" s="19" t="s">
        <v>55</v>
      </c>
      <c r="D7" s="92"/>
      <c r="E7" s="70" t="s">
        <v>61</v>
      </c>
      <c r="F7" s="69">
        <f>IF( COLUMNS($F$7:F7) &lt;= MIN(7, CEILING($D$7/$A$7, 1)), IF( COLUMNS($F$7:F7) &lt; MIN(7, CEILING($D$7/$A$7, 1)), INT($D$7 / MIN(7, CEILING($D$7/$A$7, 1))), $D$7 - INT($D$7 / MIN(7, CEILING($D$7/$A$7, 1))) * (MIN(7, CEILING($D$7/$A$7, 1)) - 1) ), 0 )</f>
        <v>0</v>
      </c>
      <c r="G7" s="18">
        <f>IF( COLUMNS($F$7:G7) &lt;= MIN(7, CEILING($D$7/$A$7, 1)), IF( COLUMNS($F$7:G7) &lt; MIN(7, CEILING($D$7/$A$7, 1)), INT($D$7 / MIN(7, CEILING($D$7/$A$7, 1))), $D$7 - INT($D$7 / MIN(7, CEILING($D$7/$A$7, 1))) * (MIN(7, CEILING($D$7/$A$7, 1)) - 1) ), 0 )</f>
        <v>0</v>
      </c>
      <c r="H7" s="18">
        <f>IF( COLUMNS($F$7:H7) &lt;= MIN(7, CEILING($D$7/$A$7, 1)), IF( COLUMNS($F$7:H7) &lt; MIN(7, CEILING($D$7/$A$7, 1)), INT($D$7 / MIN(7, CEILING($D$7/$A$7, 1))), $D$7 - INT($D$7 / MIN(7, CEILING($D$7/$A$7, 1))) * (MIN(7, CEILING($D$7/$A$7, 1)) - 1) ), 0 )</f>
        <v>0</v>
      </c>
      <c r="I7" s="18">
        <f>IF( COLUMNS($F$7:I7) &lt;= MIN(7, CEILING($D$7/$A$7, 1)), IF( COLUMNS($F$7:I7) &lt; MIN(7, CEILING($D$7/$A$7, 1)), INT($D$7 / MIN(7, CEILING($D$7/$A$7, 1))), $D$7 - INT($D$7 / MIN(7, CEILING($D$7/$A$7, 1))) * (MIN(7, CEILING($D$7/$A$7, 1)) - 1) ), 0 )</f>
        <v>0</v>
      </c>
      <c r="J7" s="18">
        <f>IF( COLUMNS($F$7:J7) &lt;= MIN(7, CEILING($D$7/$A$7, 1)), IF( COLUMNS($F$7:J7) &lt; MIN(7, CEILING($D$7/$A$7, 1)), INT($D$7 / MIN(7, CEILING($D$7/$A$7, 1))), $D$7 - INT($D$7 / MIN(7, CEILING($D$7/$A$7, 1))) * (MIN(7, CEILING($D$7/$A$7, 1)) - 1) ), 0 )</f>
        <v>0</v>
      </c>
      <c r="K7" s="18">
        <f>IF( COLUMNS($F$7:K7) &lt;= MIN(7, CEILING($D$7/$A$7, 1)), IF( COLUMNS($F$7:K7) &lt; MIN(7, CEILING($D$7/$A$7, 1)), INT($D$7 / MIN(7, CEILING($D$7/$A$7, 1))), $D$7 - INT($D$7 / MIN(7, CEILING($D$7/$A$7, 1))) * (MIN(7, CEILING($D$7/$A$7, 1)) - 1) ), 0 )</f>
        <v>0</v>
      </c>
      <c r="L7" s="18">
        <f>IF( COLUMNS($F$7:L7) &lt;= MIN(7, CEILING($D$7/$A$7, 1)), IF( COLUMNS($F$7:L7) &lt; MIN(7, CEILING($D$7/$A$7, 1)), INT($D$7 / MIN(7, CEILING($D$7/$A$7, 1))), $D$7 - INT($D$7 / MIN(7, CEILING($D$7/$A$7, 1))) * (MIN(7, CEILING($D$7/$A$7, 1)) - 1) ), 0 )</f>
        <v>0</v>
      </c>
      <c r="M7" s="20">
        <f t="shared" si="1"/>
        <v>0</v>
      </c>
    </row>
    <row r="8" spans="1:13" ht="29.25" customHeight="1" thickBot="1">
      <c r="A8" s="31">
        <f t="shared" si="0"/>
        <v>40</v>
      </c>
      <c r="B8" s="57" t="s">
        <v>53</v>
      </c>
      <c r="C8" s="19" t="s">
        <v>55</v>
      </c>
      <c r="D8" s="92"/>
      <c r="E8" s="70" t="s">
        <v>61</v>
      </c>
      <c r="F8" s="69">
        <f>IF( COLUMNS($F$8:F8) &lt;= MIN(7, CEILING($D$8/$A$8, 1)), IF( COLUMNS($F$8:F8) &lt; MIN(7, CEILING($D$8/$A$8, 1)), INT($D$8 / MIN(7, CEILING($D$8/$A$8, 1))), $D$8 - INT($D$8 / MIN(7, CEILING($D$8/$A$8, 1))) * (MIN(7, CEILING($D$8/$A$8, 1)) - 1) ), 0 )</f>
        <v>0</v>
      </c>
      <c r="G8" s="18">
        <f>IF( COLUMNS($F$8:G8) &lt;= MIN(7, CEILING($D$8/$A$8, 1)), IF( COLUMNS($F$8:G8) &lt; MIN(7, CEILING($D$8/$A$8, 1)), INT($D$8 / MIN(7, CEILING($D$8/$A$8, 1))), $D$8 - INT($D$8 / MIN(7, CEILING($D$8/$A$8, 1))) * (MIN(7, CEILING($D$8/$A$8, 1)) - 1) ), 0 )</f>
        <v>0</v>
      </c>
      <c r="H8" s="18">
        <f>IF( COLUMNS($F$8:H8) &lt;= MIN(7, CEILING($D$8/$A$8, 1)), IF( COLUMNS($F$8:H8) &lt; MIN(7, CEILING($D$8/$A$8, 1)), INT($D$8 / MIN(7, CEILING($D$8/$A$8, 1))), $D$8 - INT($D$8 / MIN(7, CEILING($D$8/$A$8, 1))) * (MIN(7, CEILING($D$8/$A$8, 1)) - 1) ), 0 )</f>
        <v>0</v>
      </c>
      <c r="I8" s="18">
        <f>IF( COLUMNS($F$8:I8) &lt;= MIN(7, CEILING($D$8/$A$8, 1)), IF( COLUMNS($F$8:I8) &lt; MIN(7, CEILING($D$8/$A$8, 1)), INT($D$8 / MIN(7, CEILING($D$8/$A$8, 1))), $D$8 - INT($D$8 / MIN(7, CEILING($D$8/$A$8, 1))) * (MIN(7, CEILING($D$8/$A$8, 1)) - 1) ), 0 )</f>
        <v>0</v>
      </c>
      <c r="J8" s="18">
        <f>IF( COLUMNS($F$8:J8) &lt;= MIN(7, CEILING($D$8/$A$8, 1)), IF( COLUMNS($F$8:J8) &lt; MIN(7, CEILING($D$8/$A$8, 1)), INT($D$8 / MIN(7, CEILING($D$8/$A$8, 1))), $D$8 - INT($D$8 / MIN(7, CEILING($D$8/$A$8, 1))) * (MIN(7, CEILING($D$8/$A$8, 1)) - 1) ), 0 )</f>
        <v>0</v>
      </c>
      <c r="K8" s="18">
        <f>IF( COLUMNS($F$8:K8) &lt;= MIN(7, CEILING($D$8/$A$8, 1)), IF( COLUMNS($F$8:K8) &lt; MIN(7, CEILING($D$8/$A$8, 1)), INT($D$8 / MIN(7, CEILING($D$8/$A$8, 1))), $D$8 - INT($D$8 / MIN(7, CEILING($D$8/$A$8, 1))) * (MIN(7, CEILING($D$8/$A$8, 1)) - 1) ), 0 )</f>
        <v>0</v>
      </c>
      <c r="L8" s="18">
        <f>IF( COLUMNS($F$8:L8) &lt;= MIN(7, CEILING($D$8/$A$8, 1)), IF( COLUMNS($F$8:L8) &lt; MIN(7, CEILING($D$8/$A$8, 1)), INT($D$8 / MIN(7, CEILING($D$8/$A$8, 1))), $D$8 - INT($D$8 / MIN(7, CEILING($D$8/$A$8, 1))) * (MIN(7, CEILING($D$8/$A$8, 1)) - 1) ), 0 )</f>
        <v>0</v>
      </c>
      <c r="M8" s="20">
        <f t="shared" si="1"/>
        <v>0</v>
      </c>
    </row>
    <row r="9" spans="1:13" ht="29.25" customHeight="1" thickBot="1">
      <c r="A9" s="31">
        <f t="shared" si="0"/>
        <v>40</v>
      </c>
      <c r="B9" s="57" t="s">
        <v>54</v>
      </c>
      <c r="C9" s="19" t="s">
        <v>55</v>
      </c>
      <c r="D9" s="92"/>
      <c r="E9" s="70" t="s">
        <v>61</v>
      </c>
      <c r="F9" s="69">
        <f>IF( COLUMNS($F$9:F9) &lt;= MIN(7, CEILING($D$9/$A$9, 1)), IF( COLUMNS($F$9:F9) &lt; MIN(7, CEILING($D$9/$A$9, 1)), INT($D$9 / MIN(7, CEILING($D$9/$A$9, 1))), $D$9 - INT($D$9 / MIN(7, CEILING($D$9/$A$9, 1))) * (MIN(7, CEILING($D$9/$A$9, 1)) - 1) ), 0 )</f>
        <v>0</v>
      </c>
      <c r="G9" s="18">
        <f>IF( COLUMNS($F$9:G9) &lt;= MIN(7, CEILING($D$9/$A$9, 1)), IF( COLUMNS($F$9:G9) &lt; MIN(7, CEILING($D$9/$A$9, 1)), INT($D$9 / MIN(7, CEILING($D$9/$A$9, 1))), $D$9 - INT($D$9 / MIN(7, CEILING($D$9/$A$9, 1))) * (MIN(7, CEILING($D$9/$A$9, 1)) - 1) ), 0 )</f>
        <v>0</v>
      </c>
      <c r="H9" s="18">
        <f>IF( COLUMNS($F$9:H9) &lt;= MIN(7, CEILING($D$9/$A$9, 1)), IF( COLUMNS($F$9:H9) &lt; MIN(7, CEILING($D$9/$A$9, 1)), INT($D$9 / MIN(7, CEILING($D$9/$A$9, 1))), $D$9 - INT($D$9 / MIN(7, CEILING($D$9/$A$9, 1))) * (MIN(7, CEILING($D$9/$A$9, 1)) - 1) ), 0 )</f>
        <v>0</v>
      </c>
      <c r="I9" s="18">
        <f>IF( COLUMNS($F$9:I9) &lt;= MIN(7, CEILING($D$9/$A$9, 1)), IF( COLUMNS($F$9:I9) &lt; MIN(7, CEILING($D$9/$A$9, 1)), INT($D$9 / MIN(7, CEILING($D$9/$A$9, 1))), $D$9 - INT($D$9 / MIN(7, CEILING($D$9/$A$9, 1))) * (MIN(7, CEILING($D$9/$A$9, 1)) - 1) ), 0 )</f>
        <v>0</v>
      </c>
      <c r="J9" s="18">
        <f>IF( COLUMNS($F$9:J9) &lt;= MIN(7, CEILING($D$9/$A$9, 1)), IF( COLUMNS($F$9:J9) &lt; MIN(7, CEILING($D$9/$A$9, 1)), INT($D$9 / MIN(7, CEILING($D$9/$A$9, 1))), $D$9 - INT($D$9 / MIN(7, CEILING($D$9/$A$9, 1))) * (MIN(7, CEILING($D$9/$A$9, 1)) - 1) ), 0 )</f>
        <v>0</v>
      </c>
      <c r="K9" s="18">
        <f>IF( COLUMNS($F$9:K9) &lt;= MIN(7, CEILING($D$9/$A$9, 1)), IF( COLUMNS($F$9:K9) &lt; MIN(7, CEILING($D$9/$A$9, 1)), INT($D$9 / MIN(7, CEILING($D$9/$A$9, 1))), $D$9 - INT($D$9 / MIN(7, CEILING($D$9/$A$9, 1))) * (MIN(7, CEILING($D$9/$A$9, 1)) - 1) ), 0 )</f>
        <v>0</v>
      </c>
      <c r="L9" s="18">
        <f>IF( COLUMNS($F$9:L9) &lt;= MIN(7, CEILING($D$9/$A$9, 1)), IF( COLUMNS($F$9:L9) &lt; MIN(7, CEILING($D$9/$A$9, 1)), INT($D$9 / MIN(7, CEILING($D$9/$A$9, 1))), $D$9 - INT($D$9 / MIN(7, CEILING($D$9/$A$9, 1))) * (MIN(7, CEILING($D$9/$A$9, 1)) - 1) ), 0 )</f>
        <v>0</v>
      </c>
      <c r="M9" s="20">
        <f t="shared" si="1"/>
        <v>0</v>
      </c>
    </row>
    <row r="10" spans="1:13" ht="29.25" thickBot="1">
      <c r="A10" s="129" t="s">
        <v>43</v>
      </c>
      <c r="B10" s="130"/>
      <c r="C10" s="131"/>
      <c r="D10" s="52">
        <f>COUNTIF(F4:L9, "&lt;&gt;0")</f>
        <v>0</v>
      </c>
      <c r="E10"/>
      <c r="F10">
        <f>SUM(F4:F9)</f>
        <v>0</v>
      </c>
      <c r="G10">
        <f>SUM(G4:G9)</f>
        <v>0</v>
      </c>
      <c r="H10">
        <f>SUM(H4:H9)</f>
        <v>0</v>
      </c>
      <c r="I10"/>
      <c r="J10"/>
      <c r="K10"/>
      <c r="L10"/>
      <c r="M10"/>
    </row>
    <row r="11" spans="1:13" ht="29.25" thickBot="1">
      <c r="A11" s="129" t="s">
        <v>44</v>
      </c>
      <c r="B11" s="130"/>
      <c r="C11" s="131"/>
      <c r="D11" s="53">
        <f>SUM(M4:M9)</f>
        <v>0</v>
      </c>
      <c r="E11"/>
      <c r="F11"/>
      <c r="G11"/>
      <c r="H11"/>
      <c r="I11"/>
      <c r="J11"/>
      <c r="K11"/>
      <c r="L11"/>
      <c r="M11"/>
    </row>
    <row r="13" spans="1:13" ht="21">
      <c r="C13" s="93"/>
    </row>
    <row r="14" spans="1:13">
      <c r="D14" s="89"/>
    </row>
  </sheetData>
  <mergeCells count="3">
    <mergeCell ref="A11:C11"/>
    <mergeCell ref="A1:M2"/>
    <mergeCell ref="A10:C10"/>
  </mergeCells>
  <conditionalFormatting sqref="A4:A9">
    <cfRule type="cellIs" dxfId="14" priority="3" operator="equal">
      <formula>A1048576</formula>
    </cfRule>
  </conditionalFormatting>
  <conditionalFormatting sqref="A4:A9">
    <cfRule type="cellIs" dxfId="13" priority="4" operator="equal">
      <formula>#REF!</formula>
    </cfRule>
  </conditionalFormatting>
  <conditionalFormatting sqref="F4:L9">
    <cfRule type="cellIs" dxfId="12" priority="2" operator="lessThan">
      <formula>1</formula>
    </cfRule>
  </conditionalFormatting>
  <printOptions horizontalCentered="1" verticalCentered="1"/>
  <pageMargins left="0" right="0" top="0" bottom="0" header="0" footer="0"/>
  <pageSetup paperSize="9" scale="53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8E17B-3E8F-4587-8386-AB64F58D2C54}">
  <sheetPr codeName="Sheet9">
    <tabColor rgb="FFCCCCFF"/>
    <pageSetUpPr fitToPage="1"/>
  </sheetPr>
  <dimension ref="A1:M17"/>
  <sheetViews>
    <sheetView workbookViewId="0">
      <selection activeCell="D5" sqref="D5:D7"/>
    </sheetView>
  </sheetViews>
  <sheetFormatPr defaultColWidth="9.28515625" defaultRowHeight="15"/>
  <cols>
    <col min="1" max="1" width="18.7109375" style="14" bestFit="1" customWidth="1"/>
    <col min="2" max="2" width="29.42578125" style="14" bestFit="1" customWidth="1"/>
    <col min="3" max="3" width="66.140625" style="1" bestFit="1" customWidth="1"/>
    <col min="4" max="4" width="32.140625" style="1" bestFit="1" customWidth="1"/>
    <col min="5" max="5" width="10.85546875" style="1" bestFit="1" customWidth="1"/>
    <col min="6" max="12" width="12.140625" style="1" customWidth="1"/>
    <col min="13" max="13" width="23.5703125" style="1" bestFit="1" customWidth="1"/>
    <col min="14" max="16384" width="9.28515625" style="1"/>
  </cols>
  <sheetData>
    <row r="1" spans="1:13">
      <c r="A1" s="132" t="s">
        <v>14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</row>
    <row r="2" spans="1:1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1:13" ht="29.25" thickBot="1">
      <c r="A3" s="16" t="s">
        <v>56</v>
      </c>
      <c r="B3" s="16" t="s">
        <v>57</v>
      </c>
      <c r="C3" s="16" t="s">
        <v>33</v>
      </c>
      <c r="D3" s="16" t="s">
        <v>34</v>
      </c>
      <c r="E3" s="16" t="s">
        <v>27</v>
      </c>
      <c r="F3" s="16" t="s">
        <v>35</v>
      </c>
      <c r="G3" s="16" t="s">
        <v>36</v>
      </c>
      <c r="H3" s="16" t="s">
        <v>37</v>
      </c>
      <c r="I3" s="16" t="s">
        <v>38</v>
      </c>
      <c r="J3" s="16" t="s">
        <v>39</v>
      </c>
      <c r="K3" s="16" t="s">
        <v>40</v>
      </c>
      <c r="L3" s="16" t="s">
        <v>41</v>
      </c>
      <c r="M3" s="16" t="s">
        <v>42</v>
      </c>
    </row>
    <row r="4" spans="1:13" ht="29.25" customHeight="1" thickBot="1">
      <c r="A4" s="31">
        <f>IF(E4="cases", 40, IF(E4="slices", 800, ""))</f>
        <v>40</v>
      </c>
      <c r="B4" s="19" t="s">
        <v>49</v>
      </c>
      <c r="C4" s="19" t="s">
        <v>55</v>
      </c>
      <c r="D4" s="92"/>
      <c r="E4" s="30" t="s">
        <v>61</v>
      </c>
      <c r="F4" s="18">
        <f>IF( COLUMNS($F$4:F4) &lt;= MIN(7, CEILING($D$4/$A$4, 1)), IF( COLUMNS($F$4:F4) &lt; MIN(7, CEILING($D$4/$A$4, 1)), INT($D$4 / MIN(7, CEILING($D$4/$A$4, 1))), $D$4 - INT($D$4 / MIN(7, CEILING($D$4/$A$4, 1))) * (MIN(7, CEILING($D$4/$A$4, 1)) - 1) ), 0 )</f>
        <v>0</v>
      </c>
      <c r="G4" s="18">
        <f>IF( COLUMNS($F$4:G4) &lt;= MIN(7, CEILING($D$4/$A$4, 1)), IF( COLUMNS($F$4:G4) &lt; MIN(7, CEILING($D$4/$A$4, 1)), INT($D$4 / MIN(7, CEILING($D$4/$A$4, 1))), $D$4 - INT($D$4 / MIN(7, CEILING($D$4/$A$4, 1))) * (MIN(7, CEILING($D$4/$A$4, 1)) - 1) ), 0 )</f>
        <v>0</v>
      </c>
      <c r="H4" s="18">
        <f>IF( COLUMNS($F$4:H4) &lt;= MIN(7, CEILING($D$4/$A$4, 1)), IF( COLUMNS($F$4:H4) &lt; MIN(7, CEILING($D$4/$A$4, 1)), INT($D$4 / MIN(7, CEILING($D$4/$A$4, 1))), $D$4 - INT($D$4 / MIN(7, CEILING($D$4/$A$4, 1))) * (MIN(7, CEILING($D$4/$A$4, 1)) - 1) ), 0 )</f>
        <v>0</v>
      </c>
      <c r="I4" s="18">
        <f>IF( COLUMNS($F$4:I4) &lt;= MIN(7, CEILING($D$4/$A$4, 1)), IF( COLUMNS($F$4:I4) &lt; MIN(7, CEILING($D$4/$A$4, 1)), INT($D$4 / MIN(7, CEILING($D$4/$A$4, 1))), $D$4 - INT($D$4 / MIN(7, CEILING($D$4/$A$4, 1))) * (MIN(7, CEILING($D$4/$A$4, 1)) - 1) ), 0 )</f>
        <v>0</v>
      </c>
      <c r="J4" s="18">
        <f>IF( COLUMNS($F$4:J4) &lt;= MIN(7, CEILING($D$4/$A$4, 1)), IF( COLUMNS($F$4:J4) &lt; MIN(7, CEILING($D$4/$A$4, 1)), INT($D$4 / MIN(7, CEILING($D$4/$A$4, 1))), $D$4 - INT($D$4 / MIN(7, CEILING($D$4/$A$4, 1))) * (MIN(7, CEILING($D$4/$A$4, 1)) - 1) ), 0 )</f>
        <v>0</v>
      </c>
      <c r="K4" s="18">
        <f>IF( COLUMNS($F$4:K4) &lt;= MIN(7, CEILING($D$4/$A$4, 1)), IF( COLUMNS($F$4:K4) &lt; MIN(7, CEILING($D$4/$A$4, 1)), INT($D$4 / MIN(7, CEILING($D$4/$A$4, 1))), $D$4 - INT($D$4 / MIN(7, CEILING($D$4/$A$4, 1))) * (MIN(7, CEILING($D$4/$A$4, 1)) - 1) ), 0 )</f>
        <v>0</v>
      </c>
      <c r="L4" s="18">
        <f>IF( COLUMNS($F$4:L4) &lt;= MIN(7, CEILING($D$4/$A$4, 1)), IF( COLUMNS($F$4:L4) &lt; MIN(7, CEILING($D$4/$A$4, 1)), INT($D$4 / MIN(7, CEILING($D$4/$A$4, 1))), $D$4 - INT($D$4 / MIN(7, CEILING($D$4/$A$4, 1))) * (MIN(7, CEILING($D$4/$A$4, 1)) - 1) ), 0 )</f>
        <v>0</v>
      </c>
      <c r="M4" s="20">
        <f>COUNTIF(F4:L4, "&lt;&gt;0")</f>
        <v>0</v>
      </c>
    </row>
    <row r="5" spans="1:13" ht="29.25" customHeight="1" thickBot="1">
      <c r="A5" s="31">
        <f t="shared" ref="A5:A9" si="0">IF(E5="cases", 40, IF(E5="slices", 800, ""))</f>
        <v>40</v>
      </c>
      <c r="B5" s="19" t="s">
        <v>50</v>
      </c>
      <c r="C5" s="19" t="s">
        <v>55</v>
      </c>
      <c r="D5" s="92"/>
      <c r="E5" s="30" t="s">
        <v>61</v>
      </c>
      <c r="F5" s="18">
        <f>IF( COLUMNS($F$5:F5) &lt;= MIN(7, CEILING($D$5/$A$5, 1)), IF( COLUMNS($F$5:F5) &lt; MIN(7, CEILING($D$5/$A$5, 1)), INT($D$5 / MIN(7, CEILING($D$5/$A$5, 1))), $D$5 - INT($D$5 / MIN(7, CEILING($D$5/$A$5, 1))) * (MIN(7, CEILING($D$5/$A$5, 1)) - 1) ), 0 )</f>
        <v>0</v>
      </c>
      <c r="G5" s="18">
        <f>IF( COLUMNS($F$5:G5) &lt;= MIN(7, CEILING($D$5/$A$5, 1)), IF( COLUMNS($F$5:G5) &lt; MIN(7, CEILING($D$5/$A$5, 1)), INT($D$5 / MIN(7, CEILING($D$5/$A$5, 1))), $D$5 - INT($D$5 / MIN(7, CEILING($D$5/$A$5, 1))) * (MIN(7, CEILING($D$5/$A$5, 1)) - 1) ), 0 )</f>
        <v>0</v>
      </c>
      <c r="H5" s="18">
        <f>IF( COLUMNS($F$5:H5) &lt;= MIN(7, CEILING($D$5/$A$5, 1)), IF( COLUMNS($F$5:H5) &lt; MIN(7, CEILING($D$5/$A$5, 1)), INT($D$5 / MIN(7, CEILING($D$5/$A$5, 1))), $D$5 - INT($D$5 / MIN(7, CEILING($D$5/$A$5, 1))) * (MIN(7, CEILING($D$5/$A$5, 1)) - 1) ), 0 )</f>
        <v>0</v>
      </c>
      <c r="I5" s="18">
        <f>IF( COLUMNS($F$5:I5) &lt;= MIN(7, CEILING($D$5/$A$5, 1)), IF( COLUMNS($F$5:I5) &lt; MIN(7, CEILING($D$5/$A$5, 1)), INT($D$5 / MIN(7, CEILING($D$5/$A$5, 1))), $D$5 - INT($D$5 / MIN(7, CEILING($D$5/$A$5, 1))) * (MIN(7, CEILING($D$5/$A$5, 1)) - 1) ), 0 )</f>
        <v>0</v>
      </c>
      <c r="J5" s="18">
        <f>IF( COLUMNS($F$5:J5) &lt;= MIN(7, CEILING($D$5/$A$5, 1)), IF( COLUMNS($F$5:J5) &lt; MIN(7, CEILING($D$5/$A$5, 1)), INT($D$5 / MIN(7, CEILING($D$5/$A$5, 1))), $D$5 - INT($D$5 / MIN(7, CEILING($D$5/$A$5, 1))) * (MIN(7, CEILING($D$5/$A$5, 1)) - 1) ), 0 )</f>
        <v>0</v>
      </c>
      <c r="K5" s="18">
        <f>IF( COLUMNS($F$5:K5) &lt;= MIN(7, CEILING($D$5/$A$5, 1)), IF( COLUMNS($F$5:K5) &lt; MIN(7, CEILING($D$5/$A$5, 1)), INT($D$5 / MIN(7, CEILING($D$5/$A$5, 1))), $D$5 - INT($D$5 / MIN(7, CEILING($D$5/$A$5, 1))) * (MIN(7, CEILING($D$5/$A$5, 1)) - 1) ), 0 )</f>
        <v>0</v>
      </c>
      <c r="L5" s="18">
        <f>IF( COLUMNS($F$5:L5) &lt;= MIN(7, CEILING($D$5/$A$5, 1)), IF( COLUMNS($F$5:L5) &lt; MIN(7, CEILING($D$5/$A$5, 1)), INT($D$5 / MIN(7, CEILING($D$5/$A$5, 1))), $D$5 - INT($D$5 / MIN(7, CEILING($D$5/$A$5, 1))) * (MIN(7, CEILING($D$5/$A$5, 1)) - 1) ), 0 )</f>
        <v>0</v>
      </c>
      <c r="M5" s="20">
        <f t="shared" ref="M5:M9" si="1">COUNTIF(F5:L5, "&lt;&gt;0")</f>
        <v>0</v>
      </c>
    </row>
    <row r="6" spans="1:13" ht="29.25" customHeight="1" thickBot="1">
      <c r="A6" s="31">
        <f t="shared" si="0"/>
        <v>40</v>
      </c>
      <c r="B6" s="19" t="s">
        <v>51</v>
      </c>
      <c r="C6" s="19" t="s">
        <v>55</v>
      </c>
      <c r="D6" s="92"/>
      <c r="E6" s="30" t="s">
        <v>61</v>
      </c>
      <c r="F6" s="18">
        <f>IF( COLUMNS($F$6:F6) &lt;= MIN(7, CEILING($D$6/$A$6, 1)), IF( COLUMNS($F$6:F6) &lt; MIN(7, CEILING($D$6/$A$6, 1)), INT($D$6 / MIN(7, CEILING($D$6/$A$6, 1))), $D$6 - INT($D$6 / MIN(7, CEILING($D$6/$A$6, 1))) * (MIN(7, CEILING($D$6/$A$6, 1)) - 1) ), 0 )</f>
        <v>0</v>
      </c>
      <c r="G6" s="18">
        <f>IF( COLUMNS($F$4:G6) &lt;= MIN(7, INT($D6/$A6) + 1), ROUNDDOWN($D6 / MIN(7, INT($D6/$A6) + 1), 0) + IF( COLUMNS($F$4:G6) &gt; MIN(7, INT($D6/$A6) + 1) - MOD($D6, MIN(7, INT($D6/$A6) + 1)), 1, 0 ), 0 )</f>
        <v>0</v>
      </c>
      <c r="H6" s="18">
        <f>IF( COLUMNS($F$4:H6) &lt;= MIN(7, INT($D6/$A6) + 1), ROUNDDOWN($D6 / MIN(7, INT($D6/$A6) + 1), 0) + IF( COLUMNS($F$4:H6) &gt; MIN(7, INT($D6/$A6) + 1) - MOD($D6, MIN(7, INT($D6/$A6) + 1)), 1, 0 ), 0 )</f>
        <v>0</v>
      </c>
      <c r="I6" s="18">
        <f>IF( COLUMNS($F$4:I6) &lt;= MIN(7, INT($D6/$A6) + 1), ROUNDDOWN($D6 / MIN(7, INT($D6/$A6) + 1), 0) + IF( COLUMNS($F$4:I6) &gt; MIN(7, INT($D6/$A6) + 1) - MOD($D6, MIN(7, INT($D6/$A6) + 1)), 1, 0 ), 0 )</f>
        <v>0</v>
      </c>
      <c r="J6" s="18">
        <f>IF( COLUMNS($F$4:J6) &lt;= MIN(7, INT($D6/$A6) + 1), ROUNDDOWN($D6 / MIN(7, INT($D6/$A6) + 1), 0) + IF( COLUMNS($F$4:J6) &gt; MIN(7, INT($D6/$A6) + 1) - MOD($D6, MIN(7, INT($D6/$A6) + 1)), 1, 0 ), 0 )</f>
        <v>0</v>
      </c>
      <c r="K6" s="18">
        <f>IF( COLUMNS($F$4:K6) &lt;= MIN(7, INT($D6/$A6) + 1), ROUNDDOWN($D6 / MIN(7, INT($D6/$A6) + 1), 0) + IF( COLUMNS($F$4:K6) &gt; MIN(7, INT($D6/$A6) + 1) - MOD($D6, MIN(7, INT($D6/$A6) + 1)), 1, 0 ), 0 )</f>
        <v>0</v>
      </c>
      <c r="L6" s="18">
        <f>IF( COLUMNS($F$4:L6) &lt;= MIN(7, INT($D6/$A6) + 1), ROUNDDOWN($D6 / MIN(7, INT($D6/$A6) + 1), 0) + IF( COLUMNS($F$4:L6) &gt; MIN(7, INT($D6/$A6) + 1) - MOD($D6, MIN(7, INT($D6/$A6) + 1)), 1, 0 ), 0 )</f>
        <v>0</v>
      </c>
      <c r="M6" s="20">
        <f t="shared" si="1"/>
        <v>0</v>
      </c>
    </row>
    <row r="7" spans="1:13" ht="29.25" customHeight="1" thickBot="1">
      <c r="A7" s="31">
        <f t="shared" si="0"/>
        <v>40</v>
      </c>
      <c r="B7" s="19" t="s">
        <v>52</v>
      </c>
      <c r="C7" s="19" t="s">
        <v>55</v>
      </c>
      <c r="D7" s="92"/>
      <c r="E7" s="30" t="s">
        <v>61</v>
      </c>
      <c r="F7" s="18">
        <f>IF( COLUMNS($F$7:F7) &lt;= MIN(7, CEILING($D$7/$A$7, 1)), IF( COLUMNS($F$7:F7) &lt; MIN(7, CEILING($D$7/$A$7, 1)), INT($D$7 / MIN(7, CEILING($D$7/$A$7, 1))), $D$7 - INT($D$7 / MIN(7, CEILING($D$7/$A$7, 1))) * (MIN(7, CEILING($D$7/$A$7, 1)) - 1) ), 0 )</f>
        <v>0</v>
      </c>
      <c r="G7" s="18">
        <f>IF( COLUMNS($F$7:G7) &lt;= MIN(7, CEILING($D$7/$A$7, 1)), IF( COLUMNS($F$7:G7) &lt; MIN(7, CEILING($D$7/$A$7, 1)), INT($D$7 / MIN(7, CEILING($D$7/$A$7, 1))), $D$7 - INT($D$7 / MIN(7, CEILING($D$7/$A$7, 1))) * (MIN(7, CEILING($D$7/$A$7, 1)) - 1) ), 0 )</f>
        <v>0</v>
      </c>
      <c r="H7" s="18">
        <f>IF( COLUMNS($F$7:H7) &lt;= MIN(7, CEILING($D$7/$A$7, 1)), IF( COLUMNS($F$7:H7) &lt; MIN(7, CEILING($D$7/$A$7, 1)), INT($D$7 / MIN(7, CEILING($D$7/$A$7, 1))), $D$7 - INT($D$7 / MIN(7, CEILING($D$7/$A$7, 1))) * (MIN(7, CEILING($D$7/$A$7, 1)) - 1) ), 0 )</f>
        <v>0</v>
      </c>
      <c r="I7" s="18">
        <f>IF( COLUMNS($F$7:I7) &lt;= MIN(7, CEILING($D$7/$A$7, 1)), IF( COLUMNS($F$7:I7) &lt; MIN(7, CEILING($D$7/$A$7, 1)), INT($D$7 / MIN(7, CEILING($D$7/$A$7, 1))), $D$7 - INT($D$7 / MIN(7, CEILING($D$7/$A$7, 1))) * (MIN(7, CEILING($D$7/$A$7, 1)) - 1) ), 0 )</f>
        <v>0</v>
      </c>
      <c r="J7" s="18">
        <f>IF( COLUMNS($F$7:J7) &lt;= MIN(7, CEILING($D$7/$A$7, 1)), IF( COLUMNS($F$7:J7) &lt; MIN(7, CEILING($D$7/$A$7, 1)), INT($D$7 / MIN(7, CEILING($D$7/$A$7, 1))), $D$7 - INT($D$7 / MIN(7, CEILING($D$7/$A$7, 1))) * (MIN(7, CEILING($D$7/$A$7, 1)) - 1) ), 0 )</f>
        <v>0</v>
      </c>
      <c r="K7" s="18">
        <f>IF( COLUMNS($F$7:K7) &lt;= MIN(7, CEILING($D$7/$A$7, 1)), IF( COLUMNS($F$7:K7) &lt; MIN(7, CEILING($D$7/$A$7, 1)), INT($D$7 / MIN(7, CEILING($D$7/$A$7, 1))), $D$7 - INT($D$7 / MIN(7, CEILING($D$7/$A$7, 1))) * (MIN(7, CEILING($D$7/$A$7, 1)) - 1) ), 0 )</f>
        <v>0</v>
      </c>
      <c r="L7" s="18">
        <f>IF( COLUMNS($F$7:L7) &lt;= MIN(7, CEILING($D$7/$A$7, 1)), IF( COLUMNS($F$7:L7) &lt; MIN(7, CEILING($D$7/$A$7, 1)), INT($D$7 / MIN(7, CEILING($D$7/$A$7, 1))), $D$7 - INT($D$7 / MIN(7, CEILING($D$7/$A$7, 1))) * (MIN(7, CEILING($D$7/$A$7, 1)) - 1) ), 0 )</f>
        <v>0</v>
      </c>
      <c r="M7" s="20">
        <f t="shared" si="1"/>
        <v>0</v>
      </c>
    </row>
    <row r="8" spans="1:13" ht="29.25" customHeight="1" thickBot="1">
      <c r="A8" s="31">
        <f t="shared" si="0"/>
        <v>40</v>
      </c>
      <c r="B8" s="19" t="s">
        <v>53</v>
      </c>
      <c r="C8" s="19" t="s">
        <v>55</v>
      </c>
      <c r="D8" s="92"/>
      <c r="E8" s="30" t="s">
        <v>61</v>
      </c>
      <c r="F8" s="18">
        <f>IF( COLUMNS($F$8:F8) &lt;= MIN(7, CEILING($D$8/$A$8, 1)), IF( COLUMNS($F$8:F8) &lt; MIN(7, CEILING($D$8/$A$8, 1)), INT($D$8 / MIN(7, CEILING($D$8/$A$8, 1))), $D$8 - INT($D$8 / MIN(7, CEILING($D$8/$A$8, 1))) * (MIN(7, CEILING($D$8/$A$8, 1)) - 1) ), 0 )</f>
        <v>0</v>
      </c>
      <c r="G8" s="18">
        <f>IF( COLUMNS($F$8:G8) &lt;= MIN(7, CEILING($D$8/$A$8, 1)), IF( COLUMNS($F$8:G8) &lt; MIN(7, CEILING($D$8/$A$8, 1)), INT($D$8 / MIN(7, CEILING($D$8/$A$8, 1))), $D$8 - INT($D$8 / MIN(7, CEILING($D$8/$A$8, 1))) * (MIN(7, CEILING($D$8/$A$8, 1)) - 1) ), 0 )</f>
        <v>0</v>
      </c>
      <c r="H8" s="18">
        <f>IF( COLUMNS($F$8:H8) &lt;= MIN(7, CEILING($D$8/$A$8, 1)), IF( COLUMNS($F$8:H8) &lt; MIN(7, CEILING($D$8/$A$8, 1)), INT($D$8 / MIN(7, CEILING($D$8/$A$8, 1))), $D$8 - INT($D$8 / MIN(7, CEILING($D$8/$A$8, 1))) * (MIN(7, CEILING($D$8/$A$8, 1)) - 1) ), 0 )</f>
        <v>0</v>
      </c>
      <c r="I8" s="18">
        <f>IF( COLUMNS($F$8:I8) &lt;= MIN(7, CEILING($D$8/$A$8, 1)), IF( COLUMNS($F$8:I8) &lt; MIN(7, CEILING($D$8/$A$8, 1)), INT($D$8 / MIN(7, CEILING($D$8/$A$8, 1))), $D$8 - INT($D$8 / MIN(7, CEILING($D$8/$A$8, 1))) * (MIN(7, CEILING($D$8/$A$8, 1)) - 1) ), 0 )</f>
        <v>0</v>
      </c>
      <c r="J8" s="18">
        <f>IF( COLUMNS($F$8:J8) &lt;= MIN(7, CEILING($D$8/$A$8, 1)), IF( COLUMNS($F$8:J8) &lt; MIN(7, CEILING($D$8/$A$8, 1)), INT($D$8 / MIN(7, CEILING($D$8/$A$8, 1))), $D$8 - INT($D$8 / MIN(7, CEILING($D$8/$A$8, 1))) * (MIN(7, CEILING($D$8/$A$8, 1)) - 1) ), 0 )</f>
        <v>0</v>
      </c>
      <c r="K8" s="18">
        <f>IF( COLUMNS($F$8:K8) &lt;= MIN(7, CEILING($D$8/$A$8, 1)), IF( COLUMNS($F$8:K8) &lt; MIN(7, CEILING($D$8/$A$8, 1)), INT($D$8 / MIN(7, CEILING($D$8/$A$8, 1))), $D$8 - INT($D$8 / MIN(7, CEILING($D$8/$A$8, 1))) * (MIN(7, CEILING($D$8/$A$8, 1)) - 1) ), 0 )</f>
        <v>0</v>
      </c>
      <c r="L8" s="18">
        <f>IF( COLUMNS($F$8:L8) &lt;= MIN(7, CEILING($D$8/$A$8, 1)), IF( COLUMNS($F$8:L8) &lt; MIN(7, CEILING($D$8/$A$8, 1)), INT($D$8 / MIN(7, CEILING($D$8/$A$8, 1))), $D$8 - INT($D$8 / MIN(7, CEILING($D$8/$A$8, 1))) * (MIN(7, CEILING($D$8/$A$8, 1)) - 1) ), 0 )</f>
        <v>0</v>
      </c>
      <c r="M8" s="20">
        <f t="shared" si="1"/>
        <v>0</v>
      </c>
    </row>
    <row r="9" spans="1:13" ht="29.25" customHeight="1" thickBot="1">
      <c r="A9" s="31">
        <f t="shared" si="0"/>
        <v>40</v>
      </c>
      <c r="B9" s="19" t="s">
        <v>54</v>
      </c>
      <c r="C9" s="19" t="s">
        <v>55</v>
      </c>
      <c r="D9" s="92"/>
      <c r="E9" s="30" t="s">
        <v>61</v>
      </c>
      <c r="F9" s="18">
        <f>IF( COLUMNS($F$9:F9) &lt;= MIN(7, CEILING($D$9/$A$9, 1)), IF( COLUMNS($F$9:F9) &lt; MIN(7, CEILING($D$9/$A$9, 1)), INT($D$9 / MIN(7, CEILING($D$9/$A$9, 1))), $D$9 - INT($D$9 / MIN(7, CEILING($D$9/$A$9, 1))) * (MIN(7, CEILING($D$9/$A$9, 1)) - 1) ), 0 )</f>
        <v>0</v>
      </c>
      <c r="G9" s="18">
        <f>IF( COLUMNS($F$9:G9) &lt;= MIN(7, CEILING($D$9/$A$9, 1)), IF( COLUMNS($F$9:G9) &lt; MIN(7, CEILING($D$9/$A$9, 1)), INT($D$9 / MIN(7, CEILING($D$9/$A$9, 1))), $D$9 - INT($D$9 / MIN(7, CEILING($D$9/$A$9, 1))) * (MIN(7, CEILING($D$9/$A$9, 1)) - 1) ), 0 )</f>
        <v>0</v>
      </c>
      <c r="H9" s="18">
        <f>IF( COLUMNS($F$9:H9) &lt;= MIN(7, CEILING($D$9/$A$9, 1)), IF( COLUMNS($F$9:H9) &lt; MIN(7, CEILING($D$9/$A$9, 1)), INT($D$9 / MIN(7, CEILING($D$9/$A$9, 1))), $D$9 - INT($D$9 / MIN(7, CEILING($D$9/$A$9, 1))) * (MIN(7, CEILING($D$9/$A$9, 1)) - 1) ), 0 )</f>
        <v>0</v>
      </c>
      <c r="I9" s="18">
        <f>IF( COLUMNS($F$9:I9) &lt;= MIN(7, CEILING($D$9/$A$9, 1)), IF( COLUMNS($F$9:I9) &lt; MIN(7, CEILING($D$9/$A$9, 1)), INT($D$9 / MIN(7, CEILING($D$9/$A$9, 1))), $D$9 - INT($D$9 / MIN(7, CEILING($D$9/$A$9, 1))) * (MIN(7, CEILING($D$9/$A$9, 1)) - 1) ), 0 )</f>
        <v>0</v>
      </c>
      <c r="J9" s="18">
        <f>IF( COLUMNS($F$9:J9) &lt;= MIN(7, CEILING($D$9/$A$9, 1)), IF( COLUMNS($F$9:J9) &lt; MIN(7, CEILING($D$9/$A$9, 1)), INT($D$9 / MIN(7, CEILING($D$9/$A$9, 1))), $D$9 - INT($D$9 / MIN(7, CEILING($D$9/$A$9, 1))) * (MIN(7, CEILING($D$9/$A$9, 1)) - 1) ), 0 )</f>
        <v>0</v>
      </c>
      <c r="K9" s="18">
        <f>IF( COLUMNS($F$9:K9) &lt;= MIN(7, CEILING($D$9/$A$9, 1)), IF( COLUMNS($F$9:K9) &lt; MIN(7, CEILING($D$9/$A$9, 1)), INT($D$9 / MIN(7, CEILING($D$9/$A$9, 1))), $D$9 - INT($D$9 / MIN(7, CEILING($D$9/$A$9, 1))) * (MIN(7, CEILING($D$9/$A$9, 1)) - 1) ), 0 )</f>
        <v>0</v>
      </c>
      <c r="L9" s="18">
        <f>IF( COLUMNS($F$9:L9) &lt;= MIN(7, CEILING($D$9/$A$9, 1)), IF( COLUMNS($F$9:L9) &lt; MIN(7, CEILING($D$9/$A$9, 1)), INT($D$9 / MIN(7, CEILING($D$9/$A$9, 1))), $D$9 - INT($D$9 / MIN(7, CEILING($D$9/$A$9, 1))) * (MIN(7, CEILING($D$9/$A$9, 1)) - 1) ), 0 )</f>
        <v>0</v>
      </c>
      <c r="M9" s="20">
        <f t="shared" si="1"/>
        <v>0</v>
      </c>
    </row>
    <row r="10" spans="1:13" ht="29.25" thickBot="1">
      <c r="A10" s="129" t="s">
        <v>43</v>
      </c>
      <c r="B10" s="130"/>
      <c r="C10" s="131"/>
      <c r="D10" s="52">
        <f>COUNTIF(F4:L9, "&lt;&gt;0")</f>
        <v>0</v>
      </c>
      <c r="E10"/>
      <c r="F10">
        <f>SUM(F4:F9)</f>
        <v>0</v>
      </c>
      <c r="G10">
        <f>SUM(G4:G9)</f>
        <v>0</v>
      </c>
      <c r="H10">
        <f>SUM(H4:H9)</f>
        <v>0</v>
      </c>
      <c r="I10"/>
      <c r="J10"/>
      <c r="K10"/>
      <c r="L10"/>
      <c r="M10"/>
    </row>
    <row r="11" spans="1:13" ht="29.25" thickBot="1">
      <c r="A11" s="129" t="s">
        <v>44</v>
      </c>
      <c r="B11" s="130"/>
      <c r="C11" s="131"/>
      <c r="D11" s="53">
        <f>SUM(M4:M9)</f>
        <v>0</v>
      </c>
      <c r="E11"/>
      <c r="F11"/>
      <c r="G11"/>
      <c r="H11"/>
      <c r="I11"/>
      <c r="J11"/>
      <c r="K11"/>
      <c r="L11"/>
      <c r="M11"/>
    </row>
    <row r="14" spans="1:13">
      <c r="C14" s="134"/>
    </row>
    <row r="15" spans="1:13">
      <c r="C15" s="134"/>
    </row>
    <row r="17" spans="3:3" ht="18" customHeight="1">
      <c r="C17" s="80"/>
    </row>
  </sheetData>
  <mergeCells count="4">
    <mergeCell ref="A1:M2"/>
    <mergeCell ref="A10:C10"/>
    <mergeCell ref="A11:C11"/>
    <mergeCell ref="C14:C15"/>
  </mergeCells>
  <conditionalFormatting sqref="A4:A9">
    <cfRule type="cellIs" dxfId="11" priority="2" operator="equal">
      <formula>A1048576</formula>
    </cfRule>
  </conditionalFormatting>
  <conditionalFormatting sqref="A4:A9">
    <cfRule type="cellIs" dxfId="10" priority="3" operator="equal">
      <formula>#REF!</formula>
    </cfRule>
  </conditionalFormatting>
  <conditionalFormatting sqref="F4:L9">
    <cfRule type="cellIs" dxfId="9" priority="1" operator="lessThan">
      <formula>1</formula>
    </cfRule>
  </conditionalFormatting>
  <printOptions horizontalCentered="1" verticalCentered="1"/>
  <pageMargins left="0" right="0" top="0" bottom="0" header="0" footer="0"/>
  <pageSetup paperSize="9" scale="53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8D403-8DA4-47A1-9B39-68090858EE86}">
  <sheetPr codeName="Sheet3">
    <tabColor theme="1"/>
  </sheetPr>
  <dimension ref="A1:M20"/>
  <sheetViews>
    <sheetView workbookViewId="0">
      <selection activeCell="C16" sqref="C16"/>
    </sheetView>
  </sheetViews>
  <sheetFormatPr defaultRowHeight="19.5"/>
  <cols>
    <col min="1" max="1" width="49.5703125" style="14" bestFit="1" customWidth="1"/>
    <col min="2" max="2" width="23.85546875" style="14" bestFit="1" customWidth="1"/>
    <col min="3" max="3" width="66" style="1" bestFit="1" customWidth="1"/>
    <col min="4" max="4" width="32.140625" style="15" bestFit="1" customWidth="1"/>
    <col min="5" max="5" width="10" bestFit="1" customWidth="1"/>
    <col min="6" max="11" width="8.28515625" customWidth="1"/>
    <col min="12" max="12" width="13.7109375" customWidth="1"/>
    <col min="13" max="13" width="23.5703125" bestFit="1" customWidth="1"/>
  </cols>
  <sheetData>
    <row r="1" spans="1:13" ht="15">
      <c r="A1" s="132" t="s">
        <v>48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</row>
    <row r="2" spans="1:13" ht="15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1:13" ht="28.5">
      <c r="A3" s="16" t="s">
        <v>47</v>
      </c>
      <c r="B3" s="16" t="s">
        <v>45</v>
      </c>
      <c r="C3" s="16" t="s">
        <v>33</v>
      </c>
      <c r="D3" s="16" t="s">
        <v>34</v>
      </c>
      <c r="E3" s="16" t="s">
        <v>27</v>
      </c>
      <c r="F3" s="16" t="s">
        <v>35</v>
      </c>
      <c r="G3" s="16" t="s">
        <v>36</v>
      </c>
      <c r="H3" s="16" t="s">
        <v>37</v>
      </c>
      <c r="I3" s="16" t="s">
        <v>38</v>
      </c>
      <c r="J3" s="16" t="s">
        <v>39</v>
      </c>
      <c r="K3" s="16" t="s">
        <v>40</v>
      </c>
      <c r="L3" s="16" t="s">
        <v>41</v>
      </c>
      <c r="M3" s="16" t="s">
        <v>42</v>
      </c>
    </row>
    <row r="4" spans="1:13" ht="28.5">
      <c r="A4" s="17">
        <f>IF(OR(B4="",E4=""),0,IF(E4="Collo",IF(B4=297071,108,IF(B4=297045,64,IF(B4=297072,108,IF(B4=297068,160,IF(B4=297075,40,IF(B4=297090,200,IF(B4=297092,200,IF(B4=297073,56,IF(B4=297048,64,0))))))))),IF(E4="Stuk",IF(B4=297071,864,IF(B4=297045,320,IF(B4=297072,864,IF(B4=297068,1600,IF(B4=297075,800,IF(B4=297090,800,IF(B4=297092,800,IF(B4=297073,448,IF(B4=297048,384,0))))))))),0)))</f>
        <v>0</v>
      </c>
      <c r="B4" s="82"/>
      <c r="C4" s="82"/>
      <c r="D4" s="82"/>
      <c r="E4" s="82"/>
      <c r="F4" s="18">
        <f>IF(D4&gt;=A4,(A4),(D4))</f>
        <v>0</v>
      </c>
      <c r="G4" s="18">
        <f>IF(D4&gt;=2*A4,(A4),(D4-F4))</f>
        <v>0</v>
      </c>
      <c r="H4" s="18">
        <f>IF(D4&gt;=3*A4,(A4),(D4-F4-G4))</f>
        <v>0</v>
      </c>
      <c r="I4" s="18">
        <f>IF(D4&gt;=4*A4,(A4),(D4-F4-G4-H4))</f>
        <v>0</v>
      </c>
      <c r="J4" s="18">
        <f>IF(D4&gt;=5*A4,(A4),(D4-F4-G4-H4-I4))</f>
        <v>0</v>
      </c>
      <c r="K4" s="18">
        <f>IF(D4&gt;=6*A4,(A4),(D4-F4-G4-H4-I4-J4))</f>
        <v>0</v>
      </c>
      <c r="L4" s="18">
        <f>D4-F4-G4-H4-I4-J4-K4</f>
        <v>0</v>
      </c>
      <c r="M4" s="20" t="e">
        <f>ROUNDUP(SUM(F4:L4)/A4, 0)</f>
        <v>#DIV/0!</v>
      </c>
    </row>
    <row r="5" spans="1:13" ht="28.5">
      <c r="A5" s="17">
        <f t="shared" ref="A5:A18" si="0">IF(OR(B5="",E5=""),0,IF(E5="Collo",IF(B5=297071,108,IF(B5=297045,64,IF(B5=297072,108,IF(B5=297068,160,IF(B5=297075,40,IF(B5=297090,200,IF(B5=297092,200,IF(B5=297073,56,IF(B5=297048,64,0))))))))),IF(E5="Stuk",IF(B5=297071,864,IF(B5=297045,320,IF(B5=297072,864,IF(B5=297068,1600,IF(B5=297075,800,IF(B5=297090,800,IF(B5=297092,800,IF(B5=297073,448,IF(B5=297048,384,0))))))))),0)))</f>
        <v>0</v>
      </c>
      <c r="B5" s="83"/>
      <c r="C5" s="83"/>
      <c r="D5" s="83"/>
      <c r="E5" s="83"/>
      <c r="F5" s="18">
        <f t="shared" ref="F5:F18" si="1">IF(D5&gt;=A5,(A5),(D5))</f>
        <v>0</v>
      </c>
      <c r="G5" s="18">
        <f t="shared" ref="G5:G18" si="2">IF(D5&gt;=2*A5,(A5),(D5-F5))</f>
        <v>0</v>
      </c>
      <c r="H5" s="18">
        <f t="shared" ref="H5:H18" si="3">IF(D5&gt;=3*A5,(A5),(D5-F5-G5))</f>
        <v>0</v>
      </c>
      <c r="I5" s="18">
        <f t="shared" ref="I5:I18" si="4">IF(D5&gt;=4*A5,(A5),(D5-F5-G5-H5))</f>
        <v>0</v>
      </c>
      <c r="J5" s="18">
        <f t="shared" ref="J5:J18" si="5">IF(D5&gt;=5*A5,(A5),(D5-F5-G5-H5-I5))</f>
        <v>0</v>
      </c>
      <c r="K5" s="18">
        <f t="shared" ref="K5:K18" si="6">IF(D5&gt;=6*A5,(A5),(D5-F5-G5-H5-I5-J5))</f>
        <v>0</v>
      </c>
      <c r="L5" s="18">
        <f t="shared" ref="L5:L18" si="7">D5-F5-G5-H5-I5-J5-K5</f>
        <v>0</v>
      </c>
      <c r="M5" s="20" t="e">
        <f t="shared" ref="M5:M17" si="8">ROUNDUP(SUM(F5:L5)/A5, 0)</f>
        <v>#DIV/0!</v>
      </c>
    </row>
    <row r="6" spans="1:13" ht="28.5">
      <c r="A6" s="17">
        <v>600</v>
      </c>
      <c r="B6" s="82"/>
      <c r="C6" s="82"/>
      <c r="D6" s="82"/>
      <c r="E6" s="82"/>
      <c r="F6" s="18">
        <f t="shared" si="1"/>
        <v>0</v>
      </c>
      <c r="G6" s="18">
        <f t="shared" si="2"/>
        <v>0</v>
      </c>
      <c r="H6" s="18">
        <f t="shared" si="3"/>
        <v>0</v>
      </c>
      <c r="I6" s="18">
        <f t="shared" si="4"/>
        <v>0</v>
      </c>
      <c r="J6" s="18">
        <f t="shared" si="5"/>
        <v>0</v>
      </c>
      <c r="K6" s="18">
        <f t="shared" si="6"/>
        <v>0</v>
      </c>
      <c r="L6" s="18">
        <f t="shared" si="7"/>
        <v>0</v>
      </c>
      <c r="M6" s="20">
        <f t="shared" si="8"/>
        <v>0</v>
      </c>
    </row>
    <row r="7" spans="1:13" ht="28.5">
      <c r="A7" s="17">
        <f t="shared" si="0"/>
        <v>0</v>
      </c>
      <c r="B7" s="83"/>
      <c r="C7" s="83"/>
      <c r="D7" s="84"/>
      <c r="E7" s="83"/>
      <c r="F7" s="18">
        <f t="shared" si="1"/>
        <v>0</v>
      </c>
      <c r="G7" s="18">
        <f t="shared" si="2"/>
        <v>0</v>
      </c>
      <c r="H7" s="18">
        <f t="shared" si="3"/>
        <v>0</v>
      </c>
      <c r="I7" s="18">
        <f t="shared" si="4"/>
        <v>0</v>
      </c>
      <c r="J7" s="18">
        <f t="shared" si="5"/>
        <v>0</v>
      </c>
      <c r="K7" s="18">
        <f t="shared" si="6"/>
        <v>0</v>
      </c>
      <c r="L7" s="18">
        <f t="shared" si="7"/>
        <v>0</v>
      </c>
      <c r="M7" s="20" t="e">
        <f t="shared" si="8"/>
        <v>#DIV/0!</v>
      </c>
    </row>
    <row r="8" spans="1:13" ht="28.5">
      <c r="A8" s="17">
        <f t="shared" si="0"/>
        <v>0</v>
      </c>
      <c r="B8" s="82"/>
      <c r="C8" s="82"/>
      <c r="D8" s="82"/>
      <c r="E8" s="82"/>
      <c r="F8" s="18">
        <f t="shared" si="1"/>
        <v>0</v>
      </c>
      <c r="G8" s="18">
        <f t="shared" si="2"/>
        <v>0</v>
      </c>
      <c r="H8" s="18">
        <f t="shared" si="3"/>
        <v>0</v>
      </c>
      <c r="I8" s="18">
        <f t="shared" si="4"/>
        <v>0</v>
      </c>
      <c r="J8" s="18">
        <f t="shared" si="5"/>
        <v>0</v>
      </c>
      <c r="K8" s="18">
        <f t="shared" si="6"/>
        <v>0</v>
      </c>
      <c r="L8" s="18">
        <f t="shared" si="7"/>
        <v>0</v>
      </c>
      <c r="M8" s="20" t="e">
        <f t="shared" si="8"/>
        <v>#DIV/0!</v>
      </c>
    </row>
    <row r="9" spans="1:13" ht="28.5">
      <c r="A9" s="17">
        <f t="shared" si="0"/>
        <v>0</v>
      </c>
      <c r="B9" s="83"/>
      <c r="C9" s="83"/>
      <c r="D9" s="84"/>
      <c r="E9" s="83"/>
      <c r="F9" s="18">
        <f t="shared" si="1"/>
        <v>0</v>
      </c>
      <c r="G9" s="18">
        <f t="shared" si="2"/>
        <v>0</v>
      </c>
      <c r="H9" s="18">
        <f t="shared" si="3"/>
        <v>0</v>
      </c>
      <c r="I9" s="18">
        <f t="shared" si="4"/>
        <v>0</v>
      </c>
      <c r="J9" s="18">
        <f t="shared" si="5"/>
        <v>0</v>
      </c>
      <c r="K9" s="18">
        <f t="shared" si="6"/>
        <v>0</v>
      </c>
      <c r="L9" s="18">
        <f t="shared" si="7"/>
        <v>0</v>
      </c>
      <c r="M9" s="20" t="e">
        <f t="shared" si="8"/>
        <v>#DIV/0!</v>
      </c>
    </row>
    <row r="10" spans="1:13" ht="28.5">
      <c r="A10" s="17">
        <f t="shared" si="0"/>
        <v>0</v>
      </c>
      <c r="B10" s="18"/>
      <c r="C10" s="28"/>
      <c r="D10" s="18"/>
      <c r="E10" s="30" t="s">
        <v>25</v>
      </c>
      <c r="F10" s="18">
        <f t="shared" si="1"/>
        <v>0</v>
      </c>
      <c r="G10" s="18">
        <f t="shared" si="2"/>
        <v>0</v>
      </c>
      <c r="H10" s="18">
        <f t="shared" si="3"/>
        <v>0</v>
      </c>
      <c r="I10" s="18">
        <f t="shared" si="4"/>
        <v>0</v>
      </c>
      <c r="J10" s="18">
        <f t="shared" si="5"/>
        <v>0</v>
      </c>
      <c r="K10" s="18">
        <f t="shared" si="6"/>
        <v>0</v>
      </c>
      <c r="L10" s="18">
        <f t="shared" si="7"/>
        <v>0</v>
      </c>
      <c r="M10" s="20" t="e">
        <f t="shared" si="8"/>
        <v>#DIV/0!</v>
      </c>
    </row>
    <row r="11" spans="1:13" ht="28.5">
      <c r="A11" s="17">
        <f t="shared" si="0"/>
        <v>0</v>
      </c>
      <c r="B11" s="18"/>
      <c r="C11" s="28"/>
      <c r="D11" s="18"/>
      <c r="E11" s="30" t="s">
        <v>28</v>
      </c>
      <c r="F11" s="18">
        <f t="shared" si="1"/>
        <v>0</v>
      </c>
      <c r="G11" s="18">
        <f t="shared" si="2"/>
        <v>0</v>
      </c>
      <c r="H11" s="18">
        <f t="shared" si="3"/>
        <v>0</v>
      </c>
      <c r="I11" s="18">
        <f t="shared" si="4"/>
        <v>0</v>
      </c>
      <c r="J11" s="18">
        <f t="shared" si="5"/>
        <v>0</v>
      </c>
      <c r="K11" s="18">
        <f t="shared" si="6"/>
        <v>0</v>
      </c>
      <c r="L11" s="18">
        <f t="shared" si="7"/>
        <v>0</v>
      </c>
      <c r="M11" s="20" t="e">
        <f t="shared" si="8"/>
        <v>#DIV/0!</v>
      </c>
    </row>
    <row r="12" spans="1:13" ht="28.5">
      <c r="A12" s="17">
        <v>64</v>
      </c>
      <c r="B12" s="18"/>
      <c r="C12" s="28"/>
      <c r="D12" s="18"/>
      <c r="E12" s="30" t="s">
        <v>28</v>
      </c>
      <c r="F12" s="18">
        <f t="shared" si="1"/>
        <v>0</v>
      </c>
      <c r="G12" s="18">
        <f t="shared" si="2"/>
        <v>0</v>
      </c>
      <c r="H12" s="18">
        <f t="shared" si="3"/>
        <v>0</v>
      </c>
      <c r="I12" s="18">
        <f t="shared" si="4"/>
        <v>0</v>
      </c>
      <c r="J12" s="18">
        <f t="shared" si="5"/>
        <v>0</v>
      </c>
      <c r="K12" s="18">
        <f t="shared" si="6"/>
        <v>0</v>
      </c>
      <c r="L12" s="18">
        <f t="shared" si="7"/>
        <v>0</v>
      </c>
      <c r="M12" s="20">
        <f t="shared" si="8"/>
        <v>0</v>
      </c>
    </row>
    <row r="13" spans="1:13" ht="28.5">
      <c r="A13" s="17">
        <f t="shared" si="0"/>
        <v>0</v>
      </c>
      <c r="B13" s="18"/>
      <c r="C13" s="28"/>
      <c r="D13" s="18"/>
      <c r="E13" s="30" t="s">
        <v>28</v>
      </c>
      <c r="F13" s="18">
        <f t="shared" si="1"/>
        <v>0</v>
      </c>
      <c r="G13" s="18">
        <f t="shared" si="2"/>
        <v>0</v>
      </c>
      <c r="H13" s="18">
        <f t="shared" si="3"/>
        <v>0</v>
      </c>
      <c r="I13" s="18">
        <f t="shared" si="4"/>
        <v>0</v>
      </c>
      <c r="J13" s="18">
        <f t="shared" si="5"/>
        <v>0</v>
      </c>
      <c r="K13" s="18">
        <f t="shared" si="6"/>
        <v>0</v>
      </c>
      <c r="L13" s="18">
        <f t="shared" si="7"/>
        <v>0</v>
      </c>
      <c r="M13" s="20" t="e">
        <f t="shared" si="8"/>
        <v>#DIV/0!</v>
      </c>
    </row>
    <row r="14" spans="1:13" ht="28.5">
      <c r="A14" s="17">
        <f t="shared" si="0"/>
        <v>0</v>
      </c>
      <c r="B14" s="18"/>
      <c r="C14" s="28"/>
      <c r="D14" s="18"/>
      <c r="E14" s="30" t="s">
        <v>28</v>
      </c>
      <c r="F14" s="18">
        <f t="shared" si="1"/>
        <v>0</v>
      </c>
      <c r="G14" s="18">
        <f t="shared" si="2"/>
        <v>0</v>
      </c>
      <c r="H14" s="18">
        <f t="shared" si="3"/>
        <v>0</v>
      </c>
      <c r="I14" s="18">
        <f t="shared" si="4"/>
        <v>0</v>
      </c>
      <c r="J14" s="18">
        <f t="shared" si="5"/>
        <v>0</v>
      </c>
      <c r="K14" s="18">
        <f t="shared" si="6"/>
        <v>0</v>
      </c>
      <c r="L14" s="18">
        <f t="shared" si="7"/>
        <v>0</v>
      </c>
      <c r="M14" s="20" t="e">
        <f t="shared" si="8"/>
        <v>#DIV/0!</v>
      </c>
    </row>
    <row r="15" spans="1:13" ht="28.5">
      <c r="A15" s="17">
        <f t="shared" si="0"/>
        <v>0</v>
      </c>
      <c r="B15" s="18"/>
      <c r="C15" s="28"/>
      <c r="D15" s="18"/>
      <c r="E15" s="30" t="s">
        <v>28</v>
      </c>
      <c r="F15" s="18">
        <f t="shared" si="1"/>
        <v>0</v>
      </c>
      <c r="G15" s="18">
        <f t="shared" si="2"/>
        <v>0</v>
      </c>
      <c r="H15" s="18">
        <f t="shared" si="3"/>
        <v>0</v>
      </c>
      <c r="I15" s="18">
        <f t="shared" si="4"/>
        <v>0</v>
      </c>
      <c r="J15" s="18">
        <f t="shared" si="5"/>
        <v>0</v>
      </c>
      <c r="K15" s="18">
        <f t="shared" si="6"/>
        <v>0</v>
      </c>
      <c r="L15" s="18">
        <f t="shared" si="7"/>
        <v>0</v>
      </c>
      <c r="M15" s="20" t="e">
        <f t="shared" si="8"/>
        <v>#DIV/0!</v>
      </c>
    </row>
    <row r="16" spans="1:13" ht="28.5">
      <c r="A16" s="17">
        <f t="shared" si="0"/>
        <v>0</v>
      </c>
      <c r="B16" s="18"/>
      <c r="C16" s="28"/>
      <c r="D16" s="18"/>
      <c r="E16" s="30" t="s">
        <v>28</v>
      </c>
      <c r="F16" s="18">
        <f t="shared" si="1"/>
        <v>0</v>
      </c>
      <c r="G16" s="18">
        <f t="shared" si="2"/>
        <v>0</v>
      </c>
      <c r="H16" s="18">
        <f t="shared" si="3"/>
        <v>0</v>
      </c>
      <c r="I16" s="18">
        <f t="shared" si="4"/>
        <v>0</v>
      </c>
      <c r="J16" s="18">
        <f t="shared" si="5"/>
        <v>0</v>
      </c>
      <c r="K16" s="18">
        <f t="shared" si="6"/>
        <v>0</v>
      </c>
      <c r="L16" s="18">
        <f t="shared" si="7"/>
        <v>0</v>
      </c>
      <c r="M16" s="20" t="e">
        <f t="shared" si="8"/>
        <v>#DIV/0!</v>
      </c>
    </row>
    <row r="17" spans="1:13" ht="28.5">
      <c r="A17" s="17">
        <f t="shared" si="0"/>
        <v>0</v>
      </c>
      <c r="B17" s="18"/>
      <c r="C17" s="28"/>
      <c r="D17" s="18"/>
      <c r="E17" s="30" t="s">
        <v>28</v>
      </c>
      <c r="F17" s="18">
        <f t="shared" si="1"/>
        <v>0</v>
      </c>
      <c r="G17" s="18">
        <f t="shared" si="2"/>
        <v>0</v>
      </c>
      <c r="H17" s="18">
        <f t="shared" si="3"/>
        <v>0</v>
      </c>
      <c r="I17" s="18">
        <f t="shared" si="4"/>
        <v>0</v>
      </c>
      <c r="J17" s="18">
        <f t="shared" si="5"/>
        <v>0</v>
      </c>
      <c r="K17" s="18">
        <f t="shared" si="6"/>
        <v>0</v>
      </c>
      <c r="L17" s="18">
        <f t="shared" si="7"/>
        <v>0</v>
      </c>
      <c r="M17" s="20" t="e">
        <f t="shared" si="8"/>
        <v>#DIV/0!</v>
      </c>
    </row>
    <row r="18" spans="1:13" ht="29.25" thickBot="1">
      <c r="A18" s="17">
        <f t="shared" si="0"/>
        <v>0</v>
      </c>
      <c r="B18" s="18"/>
      <c r="C18" s="36"/>
      <c r="D18" s="33"/>
      <c r="E18" s="30" t="s">
        <v>28</v>
      </c>
      <c r="F18" s="18">
        <f t="shared" si="1"/>
        <v>0</v>
      </c>
      <c r="G18" s="18">
        <f t="shared" si="2"/>
        <v>0</v>
      </c>
      <c r="H18" s="18">
        <f t="shared" si="3"/>
        <v>0</v>
      </c>
      <c r="I18" s="18">
        <f t="shared" si="4"/>
        <v>0</v>
      </c>
      <c r="J18" s="18">
        <f t="shared" si="5"/>
        <v>0</v>
      </c>
      <c r="K18" s="18">
        <f t="shared" si="6"/>
        <v>0</v>
      </c>
      <c r="L18" s="18">
        <f t="shared" si="7"/>
        <v>0</v>
      </c>
      <c r="M18" s="20" t="e">
        <f>ROUNDUP(SUM(F18:L18)/A18, 0)</f>
        <v>#DIV/0!</v>
      </c>
    </row>
    <row r="19" spans="1:13" ht="29.25" thickBot="1">
      <c r="A19" s="135" t="s">
        <v>65</v>
      </c>
      <c r="B19" s="136"/>
      <c r="C19" s="137"/>
      <c r="D19" s="34">
        <f>COUNTIF(F4:L18, "&lt;&gt;0")</f>
        <v>0</v>
      </c>
    </row>
    <row r="20" spans="1:13" ht="29.25" thickBot="1">
      <c r="A20" s="135" t="s">
        <v>43</v>
      </c>
      <c r="B20" s="136"/>
      <c r="C20" s="137"/>
      <c r="D20" s="35" t="e">
        <f>SUM(M4:M18)</f>
        <v>#DIV/0!</v>
      </c>
    </row>
  </sheetData>
  <mergeCells count="3">
    <mergeCell ref="A20:C20"/>
    <mergeCell ref="A1:M2"/>
    <mergeCell ref="A19:C19"/>
  </mergeCells>
  <conditionalFormatting sqref="F4:L18">
    <cfRule type="cellIs" dxfId="8" priority="5" operator="lessThan">
      <formula>1</formula>
    </cfRule>
  </conditionalFormatting>
  <conditionalFormatting sqref="A4:A18">
    <cfRule type="cellIs" dxfId="7" priority="1" operator="equal">
      <formula>A1048576</formula>
    </cfRule>
  </conditionalFormatting>
  <conditionalFormatting sqref="A4:A18">
    <cfRule type="cellIs" dxfId="6" priority="2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88F65-9E4A-4A98-AF83-BEC11F6122A5}">
  <sheetPr codeName="Sheet8">
    <tabColor theme="1"/>
  </sheetPr>
  <dimension ref="A1:M20"/>
  <sheetViews>
    <sheetView workbookViewId="0">
      <selection activeCell="B4" sqref="B4"/>
    </sheetView>
  </sheetViews>
  <sheetFormatPr defaultRowHeight="19.5"/>
  <cols>
    <col min="1" max="1" width="49.5703125" style="14" bestFit="1" customWidth="1"/>
    <col min="2" max="2" width="23.85546875" style="14" bestFit="1" customWidth="1"/>
    <col min="3" max="3" width="66" style="1" bestFit="1" customWidth="1"/>
    <col min="4" max="4" width="32.140625" style="15" bestFit="1" customWidth="1"/>
    <col min="5" max="5" width="10" bestFit="1" customWidth="1"/>
    <col min="6" max="12" width="8.28515625" customWidth="1"/>
    <col min="13" max="13" width="23.5703125" bestFit="1" customWidth="1"/>
  </cols>
  <sheetData>
    <row r="1" spans="1:13" ht="15">
      <c r="A1" s="132" t="s">
        <v>48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</row>
    <row r="2" spans="1:13" ht="15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1:13" ht="28.5">
      <c r="A3" s="16" t="s">
        <v>47</v>
      </c>
      <c r="B3" s="16" t="s">
        <v>45</v>
      </c>
      <c r="C3" s="16" t="s">
        <v>33</v>
      </c>
      <c r="D3" s="16" t="s">
        <v>34</v>
      </c>
      <c r="E3" s="16" t="s">
        <v>27</v>
      </c>
      <c r="F3" s="16" t="s">
        <v>35</v>
      </c>
      <c r="G3" s="16" t="s">
        <v>36</v>
      </c>
      <c r="H3" s="16" t="s">
        <v>37</v>
      </c>
      <c r="I3" s="16" t="s">
        <v>38</v>
      </c>
      <c r="J3" s="16" t="s">
        <v>39</v>
      </c>
      <c r="K3" s="16" t="s">
        <v>40</v>
      </c>
      <c r="L3" s="16" t="s">
        <v>41</v>
      </c>
      <c r="M3" s="16" t="s">
        <v>42</v>
      </c>
    </row>
    <row r="4" spans="1:13" ht="28.5">
      <c r="A4" s="17">
        <f>IF(OR(B4="",E4=""),0,IF(E4="Collo",IF(B4=297071,108,IF(B4=297045,64,IF(B4=297072,108,IF(B4=297068,160,IF(B4=297075,40,IF(B4=297090,200,IF(B4=297092,200,IF(B4=297073,56,IF(B4=297048,64,0))))))))),IF(E4="Stuk",IF(B4=297071,864,IF(B4=297045,320,IF(B4=297072,864,IF(B4=297068,1600,IF(B4=297075,800,IF(B4=297090,800,IF(B4=297092,800,IF(B4=297073,448,IF(B4=297048,384,0))))))))),0)))</f>
        <v>0</v>
      </c>
      <c r="B4" s="18"/>
      <c r="C4" s="28"/>
      <c r="D4" s="18"/>
      <c r="E4" s="30" t="s">
        <v>25</v>
      </c>
      <c r="F4" s="18">
        <f>IF(D4&gt;=A4,(A4),(D4))</f>
        <v>0</v>
      </c>
      <c r="G4" s="18">
        <f>IF(D4&gt;=2*A4,(A4),(D4-F4))</f>
        <v>0</v>
      </c>
      <c r="H4" s="18">
        <f>IF(D4&gt;=3*A4,(A4),(D4-F4-G4))</f>
        <v>0</v>
      </c>
      <c r="I4" s="18">
        <f>IF(D4&gt;=4*A4,(A4),(D4-F4-G4-H4))</f>
        <v>0</v>
      </c>
      <c r="J4" s="18">
        <f>IF(D4&gt;=5*A4,(A4),(D4-F4-G4-H4-I4))</f>
        <v>0</v>
      </c>
      <c r="K4" s="18">
        <f>IF(D4&gt;=6*A4,(A4),(D4-F4-G4-H4-I4-J4))</f>
        <v>0</v>
      </c>
      <c r="L4" s="18">
        <f>D4-F4-G4-H4-I4-J4-K4</f>
        <v>0</v>
      </c>
      <c r="M4" s="20" t="e">
        <f>ROUNDUP(SUM(F4:L4)/A4, 0)</f>
        <v>#DIV/0!</v>
      </c>
    </row>
    <row r="5" spans="1:13" ht="28.5">
      <c r="A5" s="17">
        <f t="shared" ref="A5:A18" si="0">IF(OR(B5="",E5=""),0,IF(E5="Collo",IF(B5=297071,108,IF(B5=297045,64,IF(B5=297072,108,IF(B5=297068,160,IF(B5=297075,40,IF(B5=297090,200,IF(B5=297092,200,IF(B5=297073,56,IF(B5=297048,64,0))))))))),IF(E5="Stuk",IF(B5=297071,864,IF(B5=297045,320,IF(B5=297072,864,IF(B5=297068,1600,IF(B5=297075,800,IF(B5=297090,800,IF(B5=297092,800,IF(B5=297073,448,IF(B5=297048,384,0))))))))),0)))</f>
        <v>0</v>
      </c>
      <c r="B5" s="18"/>
      <c r="C5" s="28"/>
      <c r="D5" s="18"/>
      <c r="E5" s="30" t="s">
        <v>28</v>
      </c>
      <c r="F5" s="18">
        <f t="shared" ref="F5:F18" si="1">IF(D5&gt;=A5,(A5),(D5))</f>
        <v>0</v>
      </c>
      <c r="G5" s="18">
        <f t="shared" ref="G5:G18" si="2">IF(D5&gt;=2*A5,(A5),(D5-F5))</f>
        <v>0</v>
      </c>
      <c r="H5" s="18">
        <f t="shared" ref="H5:H18" si="3">IF(D5&gt;=3*A5,(A5),(D5-F5-G5))</f>
        <v>0</v>
      </c>
      <c r="I5" s="18">
        <f t="shared" ref="I5:I18" si="4">IF(D5&gt;=4*A5,(A5),(D5-F5-G5-H5))</f>
        <v>0</v>
      </c>
      <c r="J5" s="18">
        <f t="shared" ref="J5:J18" si="5">IF(D5&gt;=5*A5,(A5),(D5-F5-G5-H5-I5))</f>
        <v>0</v>
      </c>
      <c r="K5" s="18">
        <f t="shared" ref="K5:K18" si="6">IF(D5&gt;=6*A5,(A5),(D5-F5-G5-H5-I5-J5))</f>
        <v>0</v>
      </c>
      <c r="L5" s="18">
        <f t="shared" ref="L5:L18" si="7">D5-F5-G5-H5-I5-J5-K5</f>
        <v>0</v>
      </c>
      <c r="M5" s="20" t="e">
        <f t="shared" ref="M5:M17" si="8">ROUNDUP(SUM(F5:L5)/A5, 0)</f>
        <v>#DIV/0!</v>
      </c>
    </row>
    <row r="6" spans="1:13" ht="28.5">
      <c r="A6" s="17">
        <f t="shared" si="0"/>
        <v>0</v>
      </c>
      <c r="B6" s="18"/>
      <c r="C6" s="28"/>
      <c r="D6" s="18"/>
      <c r="E6" s="30" t="s">
        <v>28</v>
      </c>
      <c r="F6" s="18">
        <f t="shared" si="1"/>
        <v>0</v>
      </c>
      <c r="G6" s="18">
        <f t="shared" si="2"/>
        <v>0</v>
      </c>
      <c r="H6" s="18">
        <f t="shared" si="3"/>
        <v>0</v>
      </c>
      <c r="I6" s="18">
        <f t="shared" si="4"/>
        <v>0</v>
      </c>
      <c r="J6" s="18">
        <f t="shared" si="5"/>
        <v>0</v>
      </c>
      <c r="K6" s="18">
        <f t="shared" si="6"/>
        <v>0</v>
      </c>
      <c r="L6" s="18">
        <f t="shared" si="7"/>
        <v>0</v>
      </c>
      <c r="M6" s="20" t="e">
        <f t="shared" si="8"/>
        <v>#DIV/0!</v>
      </c>
    </row>
    <row r="7" spans="1:13" ht="28.5">
      <c r="A7" s="17">
        <f t="shared" si="0"/>
        <v>0</v>
      </c>
      <c r="B7" s="18"/>
      <c r="C7" s="28"/>
      <c r="D7" s="18"/>
      <c r="E7" s="30" t="s">
        <v>25</v>
      </c>
      <c r="F7" s="18">
        <f t="shared" si="1"/>
        <v>0</v>
      </c>
      <c r="G7" s="18">
        <f t="shared" si="2"/>
        <v>0</v>
      </c>
      <c r="H7" s="18">
        <f t="shared" si="3"/>
        <v>0</v>
      </c>
      <c r="I7" s="18">
        <f t="shared" si="4"/>
        <v>0</v>
      </c>
      <c r="J7" s="18">
        <f t="shared" si="5"/>
        <v>0</v>
      </c>
      <c r="K7" s="18">
        <f t="shared" si="6"/>
        <v>0</v>
      </c>
      <c r="L7" s="18">
        <f t="shared" si="7"/>
        <v>0</v>
      </c>
      <c r="M7" s="20" t="e">
        <f t="shared" si="8"/>
        <v>#DIV/0!</v>
      </c>
    </row>
    <row r="8" spans="1:13" ht="28.5">
      <c r="A8" s="17">
        <f t="shared" si="0"/>
        <v>0</v>
      </c>
      <c r="B8" s="18"/>
      <c r="C8" s="28"/>
      <c r="D8" s="18"/>
      <c r="E8" s="30" t="s">
        <v>28</v>
      </c>
      <c r="F8" s="18">
        <f t="shared" si="1"/>
        <v>0</v>
      </c>
      <c r="G8" s="18">
        <f t="shared" si="2"/>
        <v>0</v>
      </c>
      <c r="H8" s="18">
        <f t="shared" si="3"/>
        <v>0</v>
      </c>
      <c r="I8" s="18">
        <f t="shared" si="4"/>
        <v>0</v>
      </c>
      <c r="J8" s="18">
        <f t="shared" si="5"/>
        <v>0</v>
      </c>
      <c r="K8" s="18">
        <f t="shared" si="6"/>
        <v>0</v>
      </c>
      <c r="L8" s="18">
        <f t="shared" si="7"/>
        <v>0</v>
      </c>
      <c r="M8" s="20" t="e">
        <f t="shared" si="8"/>
        <v>#DIV/0!</v>
      </c>
    </row>
    <row r="9" spans="1:13" ht="28.5">
      <c r="A9" s="17">
        <f t="shared" si="0"/>
        <v>0</v>
      </c>
      <c r="B9" s="18"/>
      <c r="C9" s="28"/>
      <c r="D9" s="18"/>
      <c r="E9" s="30" t="s">
        <v>28</v>
      </c>
      <c r="F9" s="18">
        <f t="shared" si="1"/>
        <v>0</v>
      </c>
      <c r="G9" s="18">
        <f t="shared" si="2"/>
        <v>0</v>
      </c>
      <c r="H9" s="18">
        <f t="shared" si="3"/>
        <v>0</v>
      </c>
      <c r="I9" s="18">
        <f t="shared" si="4"/>
        <v>0</v>
      </c>
      <c r="J9" s="18">
        <f t="shared" si="5"/>
        <v>0</v>
      </c>
      <c r="K9" s="18">
        <f t="shared" si="6"/>
        <v>0</v>
      </c>
      <c r="L9" s="18">
        <f t="shared" si="7"/>
        <v>0</v>
      </c>
      <c r="M9" s="20" t="e">
        <f t="shared" si="8"/>
        <v>#DIV/0!</v>
      </c>
    </row>
    <row r="10" spans="1:13" ht="28.5">
      <c r="A10" s="17">
        <f t="shared" si="0"/>
        <v>0</v>
      </c>
      <c r="B10" s="18"/>
      <c r="C10" s="28"/>
      <c r="D10" s="18"/>
      <c r="E10" s="30" t="s">
        <v>28</v>
      </c>
      <c r="F10" s="18">
        <f t="shared" si="1"/>
        <v>0</v>
      </c>
      <c r="G10" s="18">
        <f t="shared" si="2"/>
        <v>0</v>
      </c>
      <c r="H10" s="18">
        <f t="shared" si="3"/>
        <v>0</v>
      </c>
      <c r="I10" s="18">
        <f t="shared" si="4"/>
        <v>0</v>
      </c>
      <c r="J10" s="18">
        <f t="shared" si="5"/>
        <v>0</v>
      </c>
      <c r="K10" s="18">
        <f t="shared" si="6"/>
        <v>0</v>
      </c>
      <c r="L10" s="18">
        <f t="shared" si="7"/>
        <v>0</v>
      </c>
      <c r="M10" s="20" t="e">
        <f t="shared" si="8"/>
        <v>#DIV/0!</v>
      </c>
    </row>
    <row r="11" spans="1:13" ht="28.5">
      <c r="A11" s="17">
        <f t="shared" si="0"/>
        <v>0</v>
      </c>
      <c r="B11" s="18"/>
      <c r="C11" s="28"/>
      <c r="D11" s="18"/>
      <c r="E11" s="30" t="s">
        <v>28</v>
      </c>
      <c r="F11" s="18">
        <f t="shared" si="1"/>
        <v>0</v>
      </c>
      <c r="G11" s="18">
        <f t="shared" si="2"/>
        <v>0</v>
      </c>
      <c r="H11" s="18">
        <f t="shared" si="3"/>
        <v>0</v>
      </c>
      <c r="I11" s="18">
        <f t="shared" si="4"/>
        <v>0</v>
      </c>
      <c r="J11" s="18">
        <f t="shared" si="5"/>
        <v>0</v>
      </c>
      <c r="K11" s="18">
        <f t="shared" si="6"/>
        <v>0</v>
      </c>
      <c r="L11" s="18">
        <f t="shared" si="7"/>
        <v>0</v>
      </c>
      <c r="M11" s="20" t="e">
        <f t="shared" si="8"/>
        <v>#DIV/0!</v>
      </c>
    </row>
    <row r="12" spans="1:13" ht="28.5">
      <c r="A12" s="17">
        <f t="shared" si="0"/>
        <v>0</v>
      </c>
      <c r="B12" s="18"/>
      <c r="C12" s="28"/>
      <c r="D12" s="18"/>
      <c r="E12" s="30" t="s">
        <v>28</v>
      </c>
      <c r="F12" s="18">
        <f t="shared" si="1"/>
        <v>0</v>
      </c>
      <c r="G12" s="18">
        <f t="shared" si="2"/>
        <v>0</v>
      </c>
      <c r="H12" s="18">
        <f t="shared" si="3"/>
        <v>0</v>
      </c>
      <c r="I12" s="18">
        <f t="shared" si="4"/>
        <v>0</v>
      </c>
      <c r="J12" s="18">
        <f t="shared" si="5"/>
        <v>0</v>
      </c>
      <c r="K12" s="18">
        <f t="shared" si="6"/>
        <v>0</v>
      </c>
      <c r="L12" s="18">
        <f t="shared" si="7"/>
        <v>0</v>
      </c>
      <c r="M12" s="20" t="e">
        <f t="shared" si="8"/>
        <v>#DIV/0!</v>
      </c>
    </row>
    <row r="13" spans="1:13" ht="28.5">
      <c r="A13" s="17">
        <f t="shared" si="0"/>
        <v>0</v>
      </c>
      <c r="B13" s="18"/>
      <c r="C13" s="28"/>
      <c r="D13" s="18"/>
      <c r="E13" s="30" t="s">
        <v>28</v>
      </c>
      <c r="F13" s="18">
        <f t="shared" si="1"/>
        <v>0</v>
      </c>
      <c r="G13" s="18">
        <f t="shared" si="2"/>
        <v>0</v>
      </c>
      <c r="H13" s="18">
        <f t="shared" si="3"/>
        <v>0</v>
      </c>
      <c r="I13" s="18">
        <f t="shared" si="4"/>
        <v>0</v>
      </c>
      <c r="J13" s="18">
        <f t="shared" si="5"/>
        <v>0</v>
      </c>
      <c r="K13" s="18">
        <f t="shared" si="6"/>
        <v>0</v>
      </c>
      <c r="L13" s="18">
        <f t="shared" si="7"/>
        <v>0</v>
      </c>
      <c r="M13" s="20" t="e">
        <f t="shared" si="8"/>
        <v>#DIV/0!</v>
      </c>
    </row>
    <row r="14" spans="1:13" ht="28.5">
      <c r="A14" s="17">
        <f t="shared" si="0"/>
        <v>0</v>
      </c>
      <c r="B14" s="18"/>
      <c r="C14" s="28"/>
      <c r="D14" s="18"/>
      <c r="E14" s="30" t="s">
        <v>28</v>
      </c>
      <c r="F14" s="18">
        <f t="shared" si="1"/>
        <v>0</v>
      </c>
      <c r="G14" s="18">
        <f t="shared" si="2"/>
        <v>0</v>
      </c>
      <c r="H14" s="18">
        <f t="shared" si="3"/>
        <v>0</v>
      </c>
      <c r="I14" s="18">
        <f t="shared" si="4"/>
        <v>0</v>
      </c>
      <c r="J14" s="18">
        <f t="shared" si="5"/>
        <v>0</v>
      </c>
      <c r="K14" s="18">
        <f t="shared" si="6"/>
        <v>0</v>
      </c>
      <c r="L14" s="18">
        <f t="shared" si="7"/>
        <v>0</v>
      </c>
      <c r="M14" s="20" t="e">
        <f t="shared" si="8"/>
        <v>#DIV/0!</v>
      </c>
    </row>
    <row r="15" spans="1:13" ht="28.5">
      <c r="A15" s="17">
        <f t="shared" si="0"/>
        <v>0</v>
      </c>
      <c r="B15" s="18"/>
      <c r="C15" s="28"/>
      <c r="D15" s="18"/>
      <c r="E15" s="30" t="s">
        <v>28</v>
      </c>
      <c r="F15" s="18">
        <f t="shared" si="1"/>
        <v>0</v>
      </c>
      <c r="G15" s="18">
        <f t="shared" si="2"/>
        <v>0</v>
      </c>
      <c r="H15" s="18">
        <f t="shared" si="3"/>
        <v>0</v>
      </c>
      <c r="I15" s="18">
        <f t="shared" si="4"/>
        <v>0</v>
      </c>
      <c r="J15" s="18">
        <f t="shared" si="5"/>
        <v>0</v>
      </c>
      <c r="K15" s="18">
        <f t="shared" si="6"/>
        <v>0</v>
      </c>
      <c r="L15" s="18">
        <f t="shared" si="7"/>
        <v>0</v>
      </c>
      <c r="M15" s="20" t="e">
        <f t="shared" si="8"/>
        <v>#DIV/0!</v>
      </c>
    </row>
    <row r="16" spans="1:13" ht="28.5">
      <c r="A16" s="17">
        <f t="shared" si="0"/>
        <v>0</v>
      </c>
      <c r="B16" s="18"/>
      <c r="C16" s="28"/>
      <c r="D16" s="18"/>
      <c r="E16" s="30" t="s">
        <v>28</v>
      </c>
      <c r="F16" s="18">
        <f t="shared" si="1"/>
        <v>0</v>
      </c>
      <c r="G16" s="18">
        <f t="shared" si="2"/>
        <v>0</v>
      </c>
      <c r="H16" s="18">
        <f t="shared" si="3"/>
        <v>0</v>
      </c>
      <c r="I16" s="18">
        <f t="shared" si="4"/>
        <v>0</v>
      </c>
      <c r="J16" s="18">
        <f t="shared" si="5"/>
        <v>0</v>
      </c>
      <c r="K16" s="18">
        <f t="shared" si="6"/>
        <v>0</v>
      </c>
      <c r="L16" s="18">
        <f t="shared" si="7"/>
        <v>0</v>
      </c>
      <c r="M16" s="20" t="e">
        <f t="shared" si="8"/>
        <v>#DIV/0!</v>
      </c>
    </row>
    <row r="17" spans="1:13" ht="28.5">
      <c r="A17" s="17">
        <f t="shared" si="0"/>
        <v>0</v>
      </c>
      <c r="B17" s="18"/>
      <c r="C17" s="28"/>
      <c r="D17" s="18"/>
      <c r="E17" s="30" t="s">
        <v>28</v>
      </c>
      <c r="F17" s="18">
        <f t="shared" si="1"/>
        <v>0</v>
      </c>
      <c r="G17" s="18">
        <f t="shared" si="2"/>
        <v>0</v>
      </c>
      <c r="H17" s="18">
        <f t="shared" si="3"/>
        <v>0</v>
      </c>
      <c r="I17" s="18">
        <f t="shared" si="4"/>
        <v>0</v>
      </c>
      <c r="J17" s="18">
        <f t="shared" si="5"/>
        <v>0</v>
      </c>
      <c r="K17" s="18">
        <f t="shared" si="6"/>
        <v>0</v>
      </c>
      <c r="L17" s="18">
        <f t="shared" si="7"/>
        <v>0</v>
      </c>
      <c r="M17" s="20" t="e">
        <f t="shared" si="8"/>
        <v>#DIV/0!</v>
      </c>
    </row>
    <row r="18" spans="1:13" ht="29.25" thickBot="1">
      <c r="A18" s="17">
        <f t="shared" si="0"/>
        <v>0</v>
      </c>
      <c r="B18" s="18"/>
      <c r="C18" s="36"/>
      <c r="D18" s="33"/>
      <c r="E18" s="30" t="s">
        <v>28</v>
      </c>
      <c r="F18" s="18">
        <f t="shared" si="1"/>
        <v>0</v>
      </c>
      <c r="G18" s="18">
        <f t="shared" si="2"/>
        <v>0</v>
      </c>
      <c r="H18" s="18">
        <f t="shared" si="3"/>
        <v>0</v>
      </c>
      <c r="I18" s="18">
        <f t="shared" si="4"/>
        <v>0</v>
      </c>
      <c r="J18" s="18">
        <f t="shared" si="5"/>
        <v>0</v>
      </c>
      <c r="K18" s="18">
        <f t="shared" si="6"/>
        <v>0</v>
      </c>
      <c r="L18" s="18">
        <f t="shared" si="7"/>
        <v>0</v>
      </c>
      <c r="M18" s="20" t="e">
        <f>ROUNDUP(SUM(F18:L18)/A18, 0)</f>
        <v>#DIV/0!</v>
      </c>
    </row>
    <row r="19" spans="1:13" ht="29.25" thickBot="1">
      <c r="A19" s="135" t="s">
        <v>43</v>
      </c>
      <c r="B19" s="136"/>
      <c r="C19" s="137"/>
      <c r="D19" s="52">
        <f>COUNTIF(F4:L18, "&lt;&gt;0")</f>
        <v>0</v>
      </c>
    </row>
    <row r="20" spans="1:13" ht="29.25" thickBot="1">
      <c r="A20" s="135" t="s">
        <v>44</v>
      </c>
      <c r="B20" s="136"/>
      <c r="C20" s="137"/>
      <c r="D20" s="53" t="e">
        <f>SUM(M4:M18)</f>
        <v>#DIV/0!</v>
      </c>
    </row>
  </sheetData>
  <mergeCells count="3">
    <mergeCell ref="A1:M2"/>
    <mergeCell ref="A19:C19"/>
    <mergeCell ref="A20:C20"/>
  </mergeCells>
  <conditionalFormatting sqref="F4:L18">
    <cfRule type="cellIs" dxfId="5" priority="5" operator="lessThan">
      <formula>1</formula>
    </cfRule>
  </conditionalFormatting>
  <conditionalFormatting sqref="A4:A18">
    <cfRule type="cellIs" dxfId="4" priority="1" operator="equal">
      <formula>A1048576</formula>
    </cfRule>
  </conditionalFormatting>
  <conditionalFormatting sqref="A4:A18">
    <cfRule type="cellIs" dxfId="3" priority="2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122C-0078-4AC6-BE27-7C6C80981B57}">
  <sheetPr codeName="Sheet6">
    <tabColor theme="1"/>
  </sheetPr>
  <dimension ref="A1:M20"/>
  <sheetViews>
    <sheetView workbookViewId="0">
      <selection activeCell="B4" sqref="B4"/>
    </sheetView>
  </sheetViews>
  <sheetFormatPr defaultColWidth="9.28515625" defaultRowHeight="15"/>
  <cols>
    <col min="1" max="1" width="35.5703125" bestFit="1" customWidth="1"/>
    <col min="2" max="2" width="23.85546875" bestFit="1" customWidth="1"/>
    <col min="3" max="3" width="73.5703125" bestFit="1" customWidth="1"/>
    <col min="4" max="4" width="32.140625" bestFit="1" customWidth="1"/>
    <col min="5" max="5" width="11.140625" customWidth="1"/>
    <col min="6" max="12" width="10.42578125" customWidth="1"/>
    <col min="13" max="13" width="23.5703125" bestFit="1" customWidth="1"/>
  </cols>
  <sheetData>
    <row r="1" spans="1:13">
      <c r="A1" s="132" t="s">
        <v>58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</row>
    <row r="2" spans="1:1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1:13" ht="28.5">
      <c r="A3" s="16" t="s">
        <v>47</v>
      </c>
      <c r="B3" s="16" t="s">
        <v>45</v>
      </c>
      <c r="C3" s="16" t="s">
        <v>33</v>
      </c>
      <c r="D3" s="16" t="s">
        <v>34</v>
      </c>
      <c r="E3" s="16" t="s">
        <v>27</v>
      </c>
      <c r="F3" s="16" t="s">
        <v>35</v>
      </c>
      <c r="G3" s="16" t="s">
        <v>36</v>
      </c>
      <c r="H3" s="16" t="s">
        <v>37</v>
      </c>
      <c r="I3" s="16" t="s">
        <v>38</v>
      </c>
      <c r="J3" s="16" t="s">
        <v>39</v>
      </c>
      <c r="K3" s="16" t="s">
        <v>40</v>
      </c>
      <c r="L3" s="16" t="s">
        <v>41</v>
      </c>
      <c r="M3" s="16" t="s">
        <v>42</v>
      </c>
    </row>
    <row r="4" spans="1:13" ht="28.5">
      <c r="A4" s="17">
        <f>IF(OR(B4="",E4=""),0,IF(E4="Collo",IF(B4=297057,64,IF(B4=297045,64,IF(B4=297072,108,IF(B4=297068,160,IF(B4=297076,40,IF(B4=297077,40,IF(B4=297092,200,IF(B4=297073,56,IF(B4=297021,200,0))))))))),IF(E4="Stuk",IF(B4=297057,384,IF(B4=297045,320,IF(B4=297072,864,IF(B4=297068,1600,IF(B4=297076,800,IF(B4=297077,800,IF(B4=297092,800,IF(B4=297073,448,IF(B4=297021,800,0))))))))),0)))</f>
        <v>0</v>
      </c>
      <c r="B4" s="18"/>
      <c r="C4" s="28"/>
      <c r="D4" s="58"/>
      <c r="E4" s="30" t="s">
        <v>25</v>
      </c>
      <c r="F4" s="18">
        <f>IF(D4&gt;=A4,(A4),(D4))</f>
        <v>0</v>
      </c>
      <c r="G4" s="18">
        <f>IF(D4&gt;=2*A4,(A4),(D4-F4))</f>
        <v>0</v>
      </c>
      <c r="H4" s="18">
        <f>IF(D4&gt;=3*A4,(A4),(D4-F4-G4))</f>
        <v>0</v>
      </c>
      <c r="I4" s="18">
        <f>IF(D4&gt;=4*A4,(A4),(D4-F4-G4-H4))</f>
        <v>0</v>
      </c>
      <c r="J4" s="18">
        <f>IF(D4&gt;=5*A4,(A4),(D4-F4-G4-H4-I4))</f>
        <v>0</v>
      </c>
      <c r="K4" s="18">
        <f>IF(D4&gt;=6*A4,(A4),(D4-F4-G4-H4-I4-J4))</f>
        <v>0</v>
      </c>
      <c r="L4" s="18">
        <f>D4-F4-G4-H4-I4-J4-K4</f>
        <v>0</v>
      </c>
      <c r="M4" s="20" t="e">
        <f>ROUNDUP(SUM(F4:L4)/A4, 0)</f>
        <v>#DIV/0!</v>
      </c>
    </row>
    <row r="5" spans="1:13" ht="28.5">
      <c r="A5" s="17">
        <f t="shared" ref="A5:A18" si="0">IF(OR(B5="",E5=""),0,IF(E5="Collo",IF(B5=297057,64,IF(B5=297045,64,IF(B5=297072,108,IF(B5=297068,160,IF(B5=297076,40,IF(B5=297077,40,IF(B5=297092,200,IF(B5=297073,56,IF(B5=297021,200,0))))))))),IF(E5="Stuk",IF(B5=297057,384,IF(B5=297045,320,IF(B5=297072,864,IF(B5=297068,1600,IF(B5=297076,800,IF(B5=297077,800,IF(B5=297092,800,IF(B5=297073,448,IF(B5=297021,800,0))))))))),0)))</f>
        <v>0</v>
      </c>
      <c r="B5" s="18"/>
      <c r="C5" s="28"/>
      <c r="D5" s="18"/>
      <c r="E5" s="30" t="s">
        <v>28</v>
      </c>
      <c r="F5" s="18">
        <f t="shared" ref="F5:F18" si="1">IF(D5&gt;=A5,(A5),(D5))</f>
        <v>0</v>
      </c>
      <c r="G5" s="18">
        <f t="shared" ref="G5:G18" si="2">IF(D5&gt;=2*A5,(A5),(D5-F5))</f>
        <v>0</v>
      </c>
      <c r="H5" s="18">
        <f t="shared" ref="H5:H18" si="3">IF(D5&gt;=3*A5,(A5),(D5-F5-G5))</f>
        <v>0</v>
      </c>
      <c r="I5" s="18">
        <f t="shared" ref="I5:I18" si="4">IF(D5&gt;=4*A5,(A5),(D5-F5-G5-H5))</f>
        <v>0</v>
      </c>
      <c r="J5" s="18">
        <f t="shared" ref="J5:J18" si="5">IF(D5&gt;=5*A5,(A5),(D5-F5-G5-H5-I5))</f>
        <v>0</v>
      </c>
      <c r="K5" s="18">
        <f t="shared" ref="K5:K18" si="6">IF(D5&gt;=6*A5,(A5),(D5-F5-G5-H5-I5-J5))</f>
        <v>0</v>
      </c>
      <c r="L5" s="18">
        <f t="shared" ref="L5:L18" si="7">D5-F5-G5-H5-I5-J5-K5</f>
        <v>0</v>
      </c>
      <c r="M5" s="20" t="e">
        <f t="shared" ref="M5:M17" si="8">ROUNDUP(SUM(F5:L5)/A5, 0)</f>
        <v>#DIV/0!</v>
      </c>
    </row>
    <row r="6" spans="1:13" ht="28.5">
      <c r="A6" s="17">
        <f t="shared" si="0"/>
        <v>0</v>
      </c>
      <c r="B6" s="18"/>
      <c r="C6" s="28"/>
      <c r="D6" s="18"/>
      <c r="E6" s="30" t="s">
        <v>28</v>
      </c>
      <c r="F6" s="18">
        <f t="shared" si="1"/>
        <v>0</v>
      </c>
      <c r="G6" s="18">
        <f t="shared" si="2"/>
        <v>0</v>
      </c>
      <c r="H6" s="18">
        <f t="shared" si="3"/>
        <v>0</v>
      </c>
      <c r="I6" s="18">
        <f t="shared" si="4"/>
        <v>0</v>
      </c>
      <c r="J6" s="18">
        <f t="shared" si="5"/>
        <v>0</v>
      </c>
      <c r="K6" s="18">
        <f t="shared" si="6"/>
        <v>0</v>
      </c>
      <c r="L6" s="18">
        <f t="shared" si="7"/>
        <v>0</v>
      </c>
      <c r="M6" s="20" t="e">
        <f t="shared" si="8"/>
        <v>#DIV/0!</v>
      </c>
    </row>
    <row r="7" spans="1:13" ht="28.5">
      <c r="A7" s="17">
        <f t="shared" si="0"/>
        <v>0</v>
      </c>
      <c r="B7" s="18"/>
      <c r="C7" s="28"/>
      <c r="D7" s="18"/>
      <c r="E7" s="30" t="s">
        <v>25</v>
      </c>
      <c r="F7" s="18">
        <f t="shared" si="1"/>
        <v>0</v>
      </c>
      <c r="G7" s="18">
        <f t="shared" si="2"/>
        <v>0</v>
      </c>
      <c r="H7" s="18">
        <f t="shared" si="3"/>
        <v>0</v>
      </c>
      <c r="I7" s="18">
        <f t="shared" si="4"/>
        <v>0</v>
      </c>
      <c r="J7" s="18">
        <f t="shared" si="5"/>
        <v>0</v>
      </c>
      <c r="K7" s="18">
        <f t="shared" si="6"/>
        <v>0</v>
      </c>
      <c r="L7" s="18">
        <f t="shared" si="7"/>
        <v>0</v>
      </c>
      <c r="M7" s="20" t="e">
        <f t="shared" si="8"/>
        <v>#DIV/0!</v>
      </c>
    </row>
    <row r="8" spans="1:13" ht="28.5">
      <c r="A8" s="17">
        <f t="shared" si="0"/>
        <v>0</v>
      </c>
      <c r="B8" s="18"/>
      <c r="C8" s="28"/>
      <c r="D8" s="18"/>
      <c r="E8" s="30" t="s">
        <v>28</v>
      </c>
      <c r="F8" s="18">
        <f t="shared" si="1"/>
        <v>0</v>
      </c>
      <c r="G8" s="18">
        <f t="shared" si="2"/>
        <v>0</v>
      </c>
      <c r="H8" s="18">
        <f t="shared" si="3"/>
        <v>0</v>
      </c>
      <c r="I8" s="18">
        <f t="shared" si="4"/>
        <v>0</v>
      </c>
      <c r="J8" s="18">
        <f t="shared" si="5"/>
        <v>0</v>
      </c>
      <c r="K8" s="18">
        <f t="shared" si="6"/>
        <v>0</v>
      </c>
      <c r="L8" s="18">
        <f t="shared" si="7"/>
        <v>0</v>
      </c>
      <c r="M8" s="20" t="e">
        <f t="shared" si="8"/>
        <v>#DIV/0!</v>
      </c>
    </row>
    <row r="9" spans="1:13" ht="28.5">
      <c r="A9" s="17">
        <f t="shared" si="0"/>
        <v>0</v>
      </c>
      <c r="B9" s="18"/>
      <c r="C9" s="28"/>
      <c r="D9" s="18"/>
      <c r="E9" s="30" t="s">
        <v>25</v>
      </c>
      <c r="F9" s="18">
        <f t="shared" si="1"/>
        <v>0</v>
      </c>
      <c r="G9" s="18">
        <f t="shared" si="2"/>
        <v>0</v>
      </c>
      <c r="H9" s="18">
        <f t="shared" si="3"/>
        <v>0</v>
      </c>
      <c r="I9" s="18">
        <f t="shared" si="4"/>
        <v>0</v>
      </c>
      <c r="J9" s="18">
        <f t="shared" si="5"/>
        <v>0</v>
      </c>
      <c r="K9" s="18">
        <f t="shared" si="6"/>
        <v>0</v>
      </c>
      <c r="L9" s="18">
        <f t="shared" si="7"/>
        <v>0</v>
      </c>
      <c r="M9" s="20" t="e">
        <f t="shared" si="8"/>
        <v>#DIV/0!</v>
      </c>
    </row>
    <row r="10" spans="1:13" ht="28.5">
      <c r="A10" s="17">
        <f t="shared" si="0"/>
        <v>0</v>
      </c>
      <c r="B10" s="18"/>
      <c r="C10" s="28"/>
      <c r="D10" s="18"/>
      <c r="E10" s="30" t="s">
        <v>28</v>
      </c>
      <c r="F10" s="18">
        <f t="shared" si="1"/>
        <v>0</v>
      </c>
      <c r="G10" s="18">
        <f t="shared" si="2"/>
        <v>0</v>
      </c>
      <c r="H10" s="18">
        <f t="shared" si="3"/>
        <v>0</v>
      </c>
      <c r="I10" s="18">
        <f t="shared" si="4"/>
        <v>0</v>
      </c>
      <c r="J10" s="18">
        <f t="shared" si="5"/>
        <v>0</v>
      </c>
      <c r="K10" s="18">
        <f t="shared" si="6"/>
        <v>0</v>
      </c>
      <c r="L10" s="18">
        <f t="shared" si="7"/>
        <v>0</v>
      </c>
      <c r="M10" s="20" t="e">
        <f t="shared" si="8"/>
        <v>#DIV/0!</v>
      </c>
    </row>
    <row r="11" spans="1:13" ht="28.5">
      <c r="A11" s="17">
        <f t="shared" si="0"/>
        <v>0</v>
      </c>
      <c r="B11" s="18"/>
      <c r="C11" s="28"/>
      <c r="D11" s="58"/>
      <c r="E11" s="30" t="s">
        <v>25</v>
      </c>
      <c r="F11" s="18">
        <f t="shared" si="1"/>
        <v>0</v>
      </c>
      <c r="G11" s="18">
        <f t="shared" si="2"/>
        <v>0</v>
      </c>
      <c r="H11" s="18">
        <f t="shared" si="3"/>
        <v>0</v>
      </c>
      <c r="I11" s="18">
        <f t="shared" si="4"/>
        <v>0</v>
      </c>
      <c r="J11" s="18">
        <f t="shared" si="5"/>
        <v>0</v>
      </c>
      <c r="K11" s="18">
        <f t="shared" si="6"/>
        <v>0</v>
      </c>
      <c r="L11" s="18">
        <f t="shared" si="7"/>
        <v>0</v>
      </c>
      <c r="M11" s="20" t="e">
        <f t="shared" si="8"/>
        <v>#DIV/0!</v>
      </c>
    </row>
    <row r="12" spans="1:13" ht="28.5">
      <c r="A12" s="17">
        <f t="shared" si="0"/>
        <v>0</v>
      </c>
      <c r="B12" s="18"/>
      <c r="C12" s="28"/>
      <c r="D12" s="18"/>
      <c r="E12" s="30" t="s">
        <v>28</v>
      </c>
      <c r="F12" s="18">
        <f t="shared" si="1"/>
        <v>0</v>
      </c>
      <c r="G12" s="18">
        <f t="shared" si="2"/>
        <v>0</v>
      </c>
      <c r="H12" s="18">
        <f t="shared" si="3"/>
        <v>0</v>
      </c>
      <c r="I12" s="18">
        <f t="shared" si="4"/>
        <v>0</v>
      </c>
      <c r="J12" s="18">
        <f t="shared" si="5"/>
        <v>0</v>
      </c>
      <c r="K12" s="18">
        <f t="shared" si="6"/>
        <v>0</v>
      </c>
      <c r="L12" s="18">
        <f t="shared" si="7"/>
        <v>0</v>
      </c>
      <c r="M12" s="20" t="e">
        <f t="shared" si="8"/>
        <v>#DIV/0!</v>
      </c>
    </row>
    <row r="13" spans="1:13" ht="28.5">
      <c r="A13" s="17">
        <f t="shared" si="0"/>
        <v>0</v>
      </c>
      <c r="B13" s="18"/>
      <c r="C13" s="28"/>
      <c r="D13" s="18"/>
      <c r="E13" s="30" t="s">
        <v>28</v>
      </c>
      <c r="F13" s="18">
        <f t="shared" si="1"/>
        <v>0</v>
      </c>
      <c r="G13" s="18">
        <f t="shared" si="2"/>
        <v>0</v>
      </c>
      <c r="H13" s="18">
        <f t="shared" si="3"/>
        <v>0</v>
      </c>
      <c r="I13" s="18">
        <f t="shared" si="4"/>
        <v>0</v>
      </c>
      <c r="J13" s="18">
        <f t="shared" si="5"/>
        <v>0</v>
      </c>
      <c r="K13" s="18">
        <f t="shared" si="6"/>
        <v>0</v>
      </c>
      <c r="L13" s="18">
        <f t="shared" si="7"/>
        <v>0</v>
      </c>
      <c r="M13" s="20" t="e">
        <f t="shared" si="8"/>
        <v>#DIV/0!</v>
      </c>
    </row>
    <row r="14" spans="1:13" ht="28.5">
      <c r="A14" s="17">
        <f t="shared" si="0"/>
        <v>0</v>
      </c>
      <c r="B14" s="18"/>
      <c r="C14" s="28"/>
      <c r="D14" s="18"/>
      <c r="E14" s="30" t="s">
        <v>28</v>
      </c>
      <c r="F14" s="18">
        <f t="shared" si="1"/>
        <v>0</v>
      </c>
      <c r="G14" s="18">
        <f t="shared" si="2"/>
        <v>0</v>
      </c>
      <c r="H14" s="18">
        <f t="shared" si="3"/>
        <v>0</v>
      </c>
      <c r="I14" s="18">
        <f t="shared" si="4"/>
        <v>0</v>
      </c>
      <c r="J14" s="18">
        <f t="shared" si="5"/>
        <v>0</v>
      </c>
      <c r="K14" s="18">
        <f t="shared" si="6"/>
        <v>0</v>
      </c>
      <c r="L14" s="18">
        <f t="shared" si="7"/>
        <v>0</v>
      </c>
      <c r="M14" s="20" t="e">
        <f t="shared" si="8"/>
        <v>#DIV/0!</v>
      </c>
    </row>
    <row r="15" spans="1:13" ht="28.5">
      <c r="A15" s="17">
        <f t="shared" si="0"/>
        <v>0</v>
      </c>
      <c r="B15" s="18"/>
      <c r="C15" s="28"/>
      <c r="D15" s="18"/>
      <c r="E15" s="30" t="s">
        <v>28</v>
      </c>
      <c r="F15" s="18">
        <f t="shared" si="1"/>
        <v>0</v>
      </c>
      <c r="G15" s="18">
        <f t="shared" si="2"/>
        <v>0</v>
      </c>
      <c r="H15" s="18">
        <f t="shared" si="3"/>
        <v>0</v>
      </c>
      <c r="I15" s="18">
        <f t="shared" si="4"/>
        <v>0</v>
      </c>
      <c r="J15" s="18">
        <f t="shared" si="5"/>
        <v>0</v>
      </c>
      <c r="K15" s="18">
        <f t="shared" si="6"/>
        <v>0</v>
      </c>
      <c r="L15" s="18">
        <f t="shared" si="7"/>
        <v>0</v>
      </c>
      <c r="M15" s="20" t="e">
        <f t="shared" si="8"/>
        <v>#DIV/0!</v>
      </c>
    </row>
    <row r="16" spans="1:13" ht="28.5">
      <c r="A16" s="17">
        <f t="shared" si="0"/>
        <v>0</v>
      </c>
      <c r="B16" s="18"/>
      <c r="C16" s="28"/>
      <c r="D16" s="18"/>
      <c r="E16" s="30" t="s">
        <v>28</v>
      </c>
      <c r="F16" s="18">
        <f t="shared" si="1"/>
        <v>0</v>
      </c>
      <c r="G16" s="18">
        <f t="shared" si="2"/>
        <v>0</v>
      </c>
      <c r="H16" s="18">
        <f t="shared" si="3"/>
        <v>0</v>
      </c>
      <c r="I16" s="18">
        <f t="shared" si="4"/>
        <v>0</v>
      </c>
      <c r="J16" s="18">
        <f t="shared" si="5"/>
        <v>0</v>
      </c>
      <c r="K16" s="18">
        <f t="shared" si="6"/>
        <v>0</v>
      </c>
      <c r="L16" s="18">
        <f t="shared" si="7"/>
        <v>0</v>
      </c>
      <c r="M16" s="20" t="e">
        <f t="shared" si="8"/>
        <v>#DIV/0!</v>
      </c>
    </row>
    <row r="17" spans="1:13" ht="28.5">
      <c r="A17" s="17">
        <f t="shared" si="0"/>
        <v>0</v>
      </c>
      <c r="B17" s="18"/>
      <c r="C17" s="28"/>
      <c r="D17" s="18"/>
      <c r="E17" s="30" t="s">
        <v>28</v>
      </c>
      <c r="F17" s="18">
        <f t="shared" si="1"/>
        <v>0</v>
      </c>
      <c r="G17" s="18">
        <f t="shared" si="2"/>
        <v>0</v>
      </c>
      <c r="H17" s="18">
        <f t="shared" si="3"/>
        <v>0</v>
      </c>
      <c r="I17" s="18">
        <f t="shared" si="4"/>
        <v>0</v>
      </c>
      <c r="J17" s="18">
        <f t="shared" si="5"/>
        <v>0</v>
      </c>
      <c r="K17" s="18">
        <f t="shared" si="6"/>
        <v>0</v>
      </c>
      <c r="L17" s="18">
        <f t="shared" si="7"/>
        <v>0</v>
      </c>
      <c r="M17" s="20" t="e">
        <f t="shared" si="8"/>
        <v>#DIV/0!</v>
      </c>
    </row>
    <row r="18" spans="1:13" ht="29.25" thickBot="1">
      <c r="A18" s="17">
        <f t="shared" si="0"/>
        <v>0</v>
      </c>
      <c r="B18" s="18"/>
      <c r="C18" s="36"/>
      <c r="D18" s="33"/>
      <c r="E18" s="30" t="s">
        <v>28</v>
      </c>
      <c r="F18" s="18">
        <f t="shared" si="1"/>
        <v>0</v>
      </c>
      <c r="G18" s="18">
        <f t="shared" si="2"/>
        <v>0</v>
      </c>
      <c r="H18" s="18">
        <f t="shared" si="3"/>
        <v>0</v>
      </c>
      <c r="I18" s="18">
        <f t="shared" si="4"/>
        <v>0</v>
      </c>
      <c r="J18" s="18">
        <f t="shared" si="5"/>
        <v>0</v>
      </c>
      <c r="K18" s="18">
        <f t="shared" si="6"/>
        <v>0</v>
      </c>
      <c r="L18" s="18">
        <f t="shared" si="7"/>
        <v>0</v>
      </c>
      <c r="M18" s="20" t="e">
        <f>ROUNDUP(SUM(F18:L18)/A18, 0)</f>
        <v>#DIV/0!</v>
      </c>
    </row>
    <row r="19" spans="1:13" ht="29.25" thickBot="1">
      <c r="A19" s="135" t="s">
        <v>43</v>
      </c>
      <c r="B19" s="136"/>
      <c r="C19" s="137"/>
      <c r="D19" s="34">
        <f>COUNTIF(F4:L18, "&lt;&gt;0")</f>
        <v>0</v>
      </c>
    </row>
    <row r="20" spans="1:13" ht="29.25" thickBot="1">
      <c r="A20" s="135" t="s">
        <v>44</v>
      </c>
      <c r="B20" s="136"/>
      <c r="C20" s="137"/>
      <c r="D20" s="35" t="e">
        <f>SUM(M4:M18)</f>
        <v>#DIV/0!</v>
      </c>
    </row>
  </sheetData>
  <mergeCells count="3">
    <mergeCell ref="A20:C20"/>
    <mergeCell ref="A1:M2"/>
    <mergeCell ref="A19:C19"/>
  </mergeCells>
  <conditionalFormatting sqref="A4:A18">
    <cfRule type="cellIs" dxfId="2" priority="2" operator="equal">
      <formula>A1048576</formula>
    </cfRule>
  </conditionalFormatting>
  <conditionalFormatting sqref="A4:A18">
    <cfRule type="cellIs" dxfId="1" priority="3" operator="equal">
      <formula>#REF!</formula>
    </cfRule>
  </conditionalFormatting>
  <conditionalFormatting sqref="F4:L18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15" ma:contentTypeDescription="Create a new document." ma:contentTypeScope="" ma:versionID="a52b7cf21d521a4a5b80940ce3729ca2">
  <xsd:schema xmlns:xsd="http://www.w3.org/2001/XMLSchema" xmlns:xs="http://www.w3.org/2001/XMLSchema" xmlns:p="http://schemas.microsoft.com/office/2006/metadata/properties" xmlns:ns2="5efbd90f-7da3-45e4-981c-30c822524f86" xmlns:ns3="52546dc8-e981-4c50-8626-bcea19a2ba81" targetNamespace="http://schemas.microsoft.com/office/2006/metadata/properties" ma:root="true" ma:fieldsID="210545a1b7ecacf248b152978468eb87" ns2:_="" ns3:_="">
    <xsd:import namespace="5efbd90f-7da3-45e4-981c-30c822524f86"/>
    <xsd:import namespace="52546dc8-e981-4c50-8626-bcea19a2ba8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4e671fe6-768e-41f0-8617-773468e4b02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546dc8-e981-4c50-8626-bcea19a2ba81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69950f85-9623-4969-9922-61ea1c9081d9}" ma:internalName="TaxCatchAll" ma:showField="CatchAllData" ma:web="52546dc8-e981-4c50-8626-bcea19a2ba8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  <lcf76f155ced4ddcb4097134ff3c332f xmlns="5efbd90f-7da3-45e4-981c-30c822524f86">
      <Terms xmlns="http://schemas.microsoft.com/office/infopath/2007/PartnerControls"/>
    </lcf76f155ced4ddcb4097134ff3c332f>
    <TaxCatchAll xmlns="52546dc8-e981-4c50-8626-bcea19a2ba81" xsi:nil="true"/>
  </documentManagement>
</p:properties>
</file>

<file path=customXml/itemProps1.xml><?xml version="1.0" encoding="utf-8"?>
<ds:datastoreItem xmlns:ds="http://schemas.openxmlformats.org/officeDocument/2006/customXml" ds:itemID="{374282D0-A7CF-42DF-9EB8-4BC5B026CEA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52546dc8-e981-4c50-8626-bcea19a2ba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3E997-590B-49FB-AB8A-C9B710419D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9157C0-A821-41D6-B0DA-77E3EE7C76A5}">
  <ds:schemaRefs>
    <ds:schemaRef ds:uri="http://schemas.microsoft.com/office/2006/metadata/properties"/>
    <ds:schemaRef ds:uri="http://schemas.microsoft.com/office/infopath/2007/PartnerControls"/>
    <ds:schemaRef ds:uri="5efbd90f-7da3-45e4-981c-30c822524f86"/>
    <ds:schemaRef ds:uri="52546dc8-e981-4c50-8626-bcea19a2ba8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Monday-Thursday</vt:lpstr>
      <vt:lpstr>Friday</vt:lpstr>
      <vt:lpstr>Saturday</vt:lpstr>
      <vt:lpstr>Heeren</vt:lpstr>
      <vt:lpstr>Carrefour FIF</vt:lpstr>
      <vt:lpstr>Carrefour KDC</vt:lpstr>
      <vt:lpstr>Colruyt</vt:lpstr>
      <vt:lpstr>Colruyt Monday</vt:lpstr>
      <vt:lpstr>Havi Duisburg</vt:lpstr>
      <vt:lpstr>Havi Duisburg Monday</vt:lpstr>
      <vt:lpstr>Havi Nederland</vt:lpstr>
      <vt:lpstr>Havi Nederland Monday</vt:lpstr>
      <vt:lpstr>Havi Belgie</vt:lpstr>
    </vt:vector>
  </TitlesOfParts>
  <Manager/>
  <Company>Hessing Supervers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Aliks Jakovlevs</dc:creator>
  <cp:keywords/>
  <dc:description/>
  <cp:lastModifiedBy>Gonçalo Latino Candido</cp:lastModifiedBy>
  <cp:revision/>
  <cp:lastPrinted>2026-04-26T19:00:28Z</cp:lastPrinted>
  <dcterms:created xsi:type="dcterms:W3CDTF">2016-03-15T07:41:19Z</dcterms:created>
  <dcterms:modified xsi:type="dcterms:W3CDTF">2026-05-22T08:58:38Z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  <property fmtid="{D5CDD505-2E9C-101B-9397-08002B2CF9AE}" pid="3" name="MediaServiceImageTags">
    <vt:lpwstr/>
  </property>
</Properties>
</file>