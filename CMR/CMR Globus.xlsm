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essingeu.sharepoint.com/sites/administrationvenlo/Shared Documents/All customers/Globus/"/>
    </mc:Choice>
  </mc:AlternateContent>
  <xr:revisionPtr revIDLastSave="1405" documentId="13_ncr:1_{963244AF-DFDA-45CD-AE10-44480DA7A9AB}" xr6:coauthVersionLast="47" xr6:coauthVersionMax="47" xr10:uidLastSave="{3E346AA1-2391-4B00-8F1F-5C7DD086CC70}"/>
  <bookViews>
    <workbookView xWindow="-120" yWindow="-120" windowWidth="29040" windowHeight="15720" xr2:uid="{00000000-000D-0000-FFFF-FFFF00000000}"/>
  </bookViews>
  <sheets>
    <sheet name="CMR" sheetId="1" r:id="rId1"/>
    <sheet name="Blad1" sheetId="2" r:id="rId2"/>
  </sheets>
  <externalReferences>
    <externalReference r:id="rId3"/>
  </externalReferences>
  <definedNames>
    <definedName name="data">[1]Data!$B$1:$L$65536</definedName>
    <definedName name="Landen">#REF!</definedName>
    <definedName name="_xlnm.Print_Area" localSheetId="0">CMR!$A:$AG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3" i="1" l="1"/>
  <c r="AU7" i="1"/>
  <c r="AU19" i="1"/>
  <c r="AU20" i="1" s="1"/>
  <c r="AU59" i="1"/>
  <c r="A56" i="1" s="1"/>
  <c r="AU58" i="1"/>
  <c r="AU21" i="1" l="1"/>
  <c r="T1" i="1" s="1"/>
  <c r="BC1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Expeditie Venlo</author>
  </authors>
  <commentList>
    <comment ref="C3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Expeditie Venlo: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<sst xmlns="http://schemas.openxmlformats.org/spreadsheetml/2006/main" count="43" uniqueCount="30">
  <si>
    <t>Hessing Greenport BV</t>
  </si>
  <si>
    <t>A</t>
  </si>
  <si>
    <t>alcomij</t>
  </si>
  <si>
    <t>5975 RW Sevenum</t>
  </si>
  <si>
    <t>Nederland</t>
  </si>
  <si>
    <t>lenssen</t>
  </si>
  <si>
    <t>holstein</t>
  </si>
  <si>
    <t xml:space="preserve">  </t>
  </si>
  <si>
    <t/>
  </si>
  <si>
    <t>waar</t>
  </si>
  <si>
    <t>LOSADRES</t>
  </si>
  <si>
    <t>Waar</t>
  </si>
  <si>
    <t>LAADADRES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</si>
  <si>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</si>
  <si>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onwaar</t>
  </si>
  <si>
    <t xml:space="preserve"> </t>
  </si>
  <si>
    <t xml:space="preserve">   </t>
  </si>
  <si>
    <t>Kenteken:_____________</t>
  </si>
  <si>
    <t>Oplegger/Aanhangwagen:____________</t>
  </si>
  <si>
    <t>78-RD-78</t>
  </si>
  <si>
    <t>Maarten de Vriesstraat 3</t>
  </si>
  <si>
    <t>Hessing Venlo</t>
  </si>
  <si>
    <t xml:space="preserve">Losref: Bij koelverse producten koelmotor instellen op 3 graden </t>
  </si>
  <si>
    <t>Venrayseweg 146H</t>
  </si>
  <si>
    <t>5928 RH Venlo</t>
  </si>
  <si>
    <t>Netherlands</t>
  </si>
  <si>
    <t xml:space="preserve">Fatrans </t>
  </si>
  <si>
    <t>Europallets 80*120 - GLOBUS</t>
  </si>
  <si>
    <t>pp</t>
  </si>
  <si>
    <t>VCSO001307879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</si>
</sst>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3]d\ mmmm\ yyyy;@"/>
  </numFmts>
  <fonts count="24" x14ac:knownFonts="1">
    <font>
      <sz val="12"/>
      <name val="Arial Narrow"/>
    </font>
    <font>
      <sz val="10"/>
      <name val="Arial"/>
      <family val="2"/>
    </font>
    <font>
      <sz val="8"/>
      <name val="Arial"/>
      <family val="2"/>
    </font>
    <font>
      <sz val="8"/>
      <name val="Tahoma"/>
      <family val="2"/>
    </font>
    <font>
      <sz val="20"/>
      <name val="Tahoma"/>
      <family val="2"/>
    </font>
    <font>
      <b/>
      <sz val="12"/>
      <name val="Tahoma"/>
      <family val="2"/>
    </font>
    <font>
      <b/>
      <sz val="11"/>
      <color indexed="10"/>
      <name val="Tahoma"/>
      <family val="2"/>
    </font>
    <font>
      <sz val="12"/>
      <name val="Arial Narrow"/>
      <family val="2"/>
    </font>
    <font>
      <b/>
      <sz val="9"/>
      <name val="Tahoma"/>
      <family val="2"/>
    </font>
    <font>
      <b/>
      <sz val="8"/>
      <name val="Tahoma"/>
      <family val="2"/>
    </font>
    <font>
      <b/>
      <sz val="11"/>
      <name val="Tahoma"/>
      <family val="2"/>
    </font>
    <font>
      <sz val="11"/>
      <name val="Arial Narrow"/>
      <family val="2"/>
    </font>
    <font>
      <sz val="9"/>
      <name val="Tahoma"/>
      <family val="2"/>
    </font>
    <font>
      <sz val="10"/>
      <name val="Tahoma"/>
      <family val="2"/>
    </font>
    <font>
      <sz val="12"/>
      <name val="Tahoma"/>
      <family val="2"/>
    </font>
    <font>
      <sz val="14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ahoma"/>
      <family val="2"/>
    </font>
    <font>
      <sz val="8"/>
      <color rgb="FFFF0000"/>
      <name val="Tahoma"/>
      <family val="2"/>
    </font>
    <font>
      <b/>
      <sz val="8"/>
      <color rgb="FFFF0000"/>
      <name val="Tahoma"/>
      <family val="2"/>
    </font>
    <font>
      <b/>
      <sz val="12"/>
      <color theme="0"/>
      <name val="Tahoma"/>
      <family val="2"/>
    </font>
    <font>
      <sz val="11"/>
      <name val="Tahoma"/>
      <family val="2"/>
    </font>
    <font>
      <b/>
      <sz val="14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7">
    <xf numFmtId="0" fontId="0" fillId="0" borderId="0" xfId="0"/>
    <xf numFmtId="0" fontId="3" fillId="0" borderId="0" xfId="1" applyFont="1" applyAlignment="1">
      <alignment horizontal="left"/>
    </xf>
    <xf numFmtId="0" fontId="3" fillId="2" borderId="0" xfId="1" applyFont="1" applyFill="1" applyAlignment="1">
      <alignment horizontal="left"/>
    </xf>
    <xf numFmtId="0" fontId="3" fillId="3" borderId="0" xfId="1" applyFont="1" applyFill="1" applyAlignment="1">
      <alignment horizontal="left"/>
    </xf>
    <xf numFmtId="0" fontId="3" fillId="0" borderId="0" xfId="1" applyFont="1"/>
    <xf numFmtId="0" fontId="5" fillId="0" borderId="0" xfId="1" applyFont="1" applyAlignment="1">
      <alignment vertical="center"/>
    </xf>
    <xf numFmtId="0" fontId="6" fillId="0" borderId="0" xfId="1" applyFont="1" applyAlignment="1">
      <alignment horizontal="left"/>
    </xf>
    <xf numFmtId="0" fontId="3" fillId="2" borderId="0" xfId="1" applyFont="1" applyFill="1"/>
    <xf numFmtId="0" fontId="3" fillId="0" borderId="0" xfId="1" applyFont="1" applyAlignment="1" applyProtection="1">
      <alignment horizontal="left"/>
      <protection locked="0"/>
    </xf>
    <xf numFmtId="0" fontId="3" fillId="3" borderId="0" xfId="1" applyFont="1" applyFill="1"/>
    <xf numFmtId="0" fontId="18" fillId="0" borderId="0" xfId="1" applyFont="1" applyAlignment="1">
      <alignment horizontal="left"/>
    </xf>
    <xf numFmtId="0" fontId="3" fillId="0" borderId="0" xfId="1" applyFont="1" applyProtection="1">
      <protection locked="0"/>
    </xf>
    <xf numFmtId="0" fontId="0" fillId="0" borderId="0" xfId="0" applyAlignment="1">
      <alignment horizontal="left"/>
    </xf>
    <xf numFmtId="0" fontId="14" fillId="0" borderId="0" xfId="1" applyFont="1" applyProtection="1">
      <protection locked="0"/>
    </xf>
    <xf numFmtId="0" fontId="13" fillId="0" borderId="0" xfId="1" applyFont="1" applyAlignment="1">
      <alignment horizontal="left"/>
    </xf>
    <xf numFmtId="14" fontId="3" fillId="0" borderId="0" xfId="1" applyNumberFormat="1" applyFont="1"/>
    <xf numFmtId="0" fontId="12" fillId="0" borderId="0" xfId="1" applyFont="1" applyAlignment="1">
      <alignment horizontal="left"/>
    </xf>
    <xf numFmtId="0" fontId="14" fillId="0" borderId="0" xfId="1" applyFont="1"/>
    <xf numFmtId="0" fontId="3" fillId="0" borderId="2" xfId="1" applyFont="1" applyBorder="1" applyProtection="1">
      <protection locked="0"/>
    </xf>
    <xf numFmtId="0" fontId="3" fillId="0" borderId="3" xfId="1" applyFont="1" applyBorder="1" applyProtection="1">
      <protection locked="0"/>
    </xf>
    <xf numFmtId="0" fontId="7" fillId="0" borderId="0" xfId="0" applyFont="1" applyAlignment="1">
      <alignment horizontal="left"/>
    </xf>
    <xf numFmtId="14" fontId="20" fillId="0" borderId="0" xfId="1" applyNumberFormat="1" applyFont="1" applyAlignment="1">
      <alignment horizontal="left"/>
    </xf>
    <xf numFmtId="0" fontId="22" fillId="0" borderId="3" xfId="1" applyFont="1" applyBorder="1" applyAlignment="1" applyProtection="1">
      <alignment horizontal="center"/>
      <protection locked="0"/>
    </xf>
    <xf numFmtId="0" fontId="22" fillId="0" borderId="1" xfId="1" applyFont="1" applyBorder="1" applyAlignment="1" applyProtection="1">
      <alignment horizontal="center"/>
      <protection locked="0"/>
    </xf>
    <xf numFmtId="0" fontId="14" fillId="0" borderId="1" xfId="1" applyFont="1" applyBorder="1" applyAlignment="1" applyProtection="1">
      <alignment horizontal="center"/>
      <protection locked="0"/>
    </xf>
    <xf numFmtId="164" fontId="3" fillId="0" borderId="0" xfId="1" applyNumberFormat="1" applyFont="1" applyAlignment="1">
      <alignment horizontal="center"/>
    </xf>
    <xf numFmtId="14" fontId="3" fillId="0" borderId="0" xfId="1" applyNumberFormat="1" applyFont="1" applyAlignment="1">
      <alignment horizontal="center"/>
    </xf>
    <xf numFmtId="0" fontId="3" fillId="0" borderId="0" xfId="1" applyFont="1" applyAlignment="1">
      <alignment horizontal="left"/>
    </xf>
    <xf numFmtId="0" fontId="8" fillId="0" borderId="0" xfId="1" applyFont="1" applyAlignment="1">
      <alignment horizontal="left" vertical="top"/>
    </xf>
    <xf numFmtId="0" fontId="3" fillId="0" borderId="0" xfId="1" applyFont="1" applyAlignment="1">
      <alignment horizontal="center"/>
    </xf>
    <xf numFmtId="0" fontId="23" fillId="0" borderId="0" xfId="1" applyFont="1" applyAlignment="1">
      <alignment horizontal="left" vertical="center"/>
    </xf>
    <xf numFmtId="0" fontId="21" fillId="0" borderId="0" xfId="1" applyFont="1" applyAlignment="1">
      <alignment horizontal="left" vertical="center"/>
    </xf>
    <xf numFmtId="0" fontId="4" fillId="0" borderId="0" xfId="1" applyFont="1" applyAlignment="1">
      <alignment horizontal="center"/>
    </xf>
    <xf numFmtId="0" fontId="3" fillId="0" borderId="0" xfId="1" applyFont="1" applyProtection="1">
      <protection locked="0"/>
    </xf>
    <xf numFmtId="0" fontId="10" fillId="0" borderId="0" xfId="1" applyFont="1" applyAlignment="1">
      <alignment horizontal="right" vertical="top"/>
    </xf>
    <xf numFmtId="0" fontId="11" fillId="0" borderId="0" xfId="0" applyFont="1" applyAlignment="1">
      <alignment horizontal="right" vertical="top"/>
    </xf>
    <xf numFmtId="0" fontId="9" fillId="0" borderId="0" xfId="1" applyFont="1" applyProtection="1">
      <protection locked="0"/>
    </xf>
    <xf numFmtId="0" fontId="0" fillId="0" borderId="0" xfId="0"/>
    <xf numFmtId="0" fontId="3" fillId="0" borderId="0" xfId="1" applyFont="1" applyAlignment="1" applyProtection="1">
      <alignment horizontal="center"/>
      <protection locked="0"/>
    </xf>
    <xf numFmtId="14" fontId="3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3" fillId="0" borderId="0" xfId="1" applyFont="1" applyAlignment="1" applyProtection="1">
      <alignment horizontal="left"/>
      <protection locked="0"/>
    </xf>
    <xf numFmtId="0" fontId="15" fillId="0" borderId="0" xfId="1" applyFont="1" applyAlignment="1">
      <alignment horizontal="left" vertical="center"/>
    </xf>
    <xf numFmtId="0" fontId="14" fillId="0" borderId="4" xfId="1" applyFont="1" applyBorder="1" applyAlignment="1" applyProtection="1">
      <alignment horizontal="left"/>
      <protection locked="0"/>
    </xf>
    <xf numFmtId="0" fontId="14" fillId="0" borderId="1" xfId="1" applyFont="1" applyBorder="1" applyAlignment="1" applyProtection="1">
      <alignment horizontal="left"/>
      <protection locked="0"/>
    </xf>
    <xf numFmtId="14" fontId="3" fillId="0" borderId="0" xfId="1" quotePrefix="1" applyNumberFormat="1" applyFont="1" applyAlignment="1">
      <alignment horizontal="left"/>
    </xf>
    <xf numFmtId="0" fontId="14" fillId="0" borderId="2" xfId="1" applyFont="1" applyBorder="1" applyAlignment="1" applyProtection="1">
      <alignment horizontal="left"/>
      <protection locked="0"/>
    </xf>
    <xf numFmtId="0" fontId="14" fillId="0" borderId="5" xfId="1" applyFont="1" applyBorder="1" applyAlignment="1" applyProtection="1">
      <alignment horizontal="left"/>
      <protection locked="0"/>
    </xf>
    <xf numFmtId="0" fontId="3" fillId="0" borderId="0" xfId="1" quotePrefix="1" applyFont="1" applyAlignment="1">
      <alignment horizontal="left"/>
    </xf>
    <xf numFmtId="14" fontId="20" fillId="0" borderId="0" xfId="1" applyNumberFormat="1" applyFont="1" applyAlignment="1">
      <alignment horizontal="left"/>
    </xf>
    <xf numFmtId="0" fontId="9" fillId="0" borderId="0" xfId="1" applyFont="1" applyAlignment="1" applyProtection="1">
      <alignment horizontal="right"/>
      <protection locked="0"/>
    </xf>
    <xf numFmtId="0" fontId="9" fillId="0" borderId="0" xfId="1" applyFont="1" applyAlignment="1">
      <alignment horizontal="left"/>
    </xf>
    <xf numFmtId="0" fontId="19" fillId="0" borderId="0" xfId="1" applyFont="1" applyAlignment="1">
      <alignment horizontal="left"/>
    </xf>
    <xf numFmtId="14" fontId="20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3" fillId="0" borderId="0" xfId="1" applyFont="1"/>
  </cellXfs>
  <cellStyles count="2">
    <cellStyle name="Normal" xfId="0" builtinId="0"/>
    <cellStyle name="Standaard_VRACHTBRIEVEN(1)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47625</xdr:colOff>
          <xdr:row>1</xdr:row>
          <xdr:rowOff>47625</xdr:rowOff>
        </xdr:from>
        <xdr:to>
          <xdr:col>40</xdr:col>
          <xdr:colOff>95250</xdr:colOff>
          <xdr:row>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Eric%20van%20den%20Berg\Alcomij\cmr\Vrachtbrieve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"/>
      <sheetName val="CMR"/>
      <sheetName val="AVC"/>
      <sheetName val="Plaatsnamen"/>
      <sheetName val="Landen"/>
      <sheetName val="Kenteken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B1" t="str">
            <v>Zoeknaam</v>
          </cell>
          <cell r="C1" t="str">
            <v>Contactpersoon</v>
          </cell>
          <cell r="D1" t="str">
            <v>Bedrijfsnaam</v>
          </cell>
          <cell r="E1" t="str">
            <v>Adres</v>
          </cell>
          <cell r="F1" t="str">
            <v>Huisnummer</v>
          </cell>
          <cell r="G1" t="str">
            <v>Postcode</v>
          </cell>
          <cell r="H1" t="str">
            <v>Woonplaats</v>
          </cell>
          <cell r="I1" t="str">
            <v>Land</v>
          </cell>
          <cell r="J1" t="str">
            <v>Telefoon</v>
          </cell>
          <cell r="K1" t="str">
            <v>Telefax</v>
          </cell>
          <cell r="L1" t="str">
            <v>Niwo nr.</v>
          </cell>
        </row>
        <row r="2">
          <cell r="B2" t="str">
            <v>&lt;&lt;geen&gt;&gt;</v>
          </cell>
        </row>
        <row r="3">
          <cell r="B3" t="str">
            <v>alcomij</v>
          </cell>
          <cell r="D3" t="str">
            <v>alcomij BV</v>
          </cell>
          <cell r="E3" t="str">
            <v>Hoflaan</v>
          </cell>
          <cell r="F3">
            <v>175</v>
          </cell>
          <cell r="G3" t="str">
            <v>2691 AS</v>
          </cell>
          <cell r="H3" t="str">
            <v>s-Gravenzande</v>
          </cell>
          <cell r="I3" t="str">
            <v>Nederland</v>
          </cell>
          <cell r="J3" t="str">
            <v>0174-445300</v>
          </cell>
          <cell r="K3" t="str">
            <v>0174-417332</v>
          </cell>
        </row>
        <row r="4">
          <cell r="B4" t="str">
            <v>antwerpse verzinkerij</v>
          </cell>
          <cell r="D4" t="str">
            <v>Antwerpse verzinkerij</v>
          </cell>
          <cell r="E4" t="str">
            <v>Toekomstlaan</v>
          </cell>
          <cell r="F4">
            <v>18</v>
          </cell>
          <cell r="G4" t="str">
            <v>B-2900</v>
          </cell>
          <cell r="H4" t="str">
            <v>Schoten</v>
          </cell>
          <cell r="I4" t="str">
            <v>Belgie</v>
          </cell>
        </row>
        <row r="5">
          <cell r="B5" t="str">
            <v>berger</v>
          </cell>
          <cell r="D5" t="str">
            <v>Ton van Berger</v>
          </cell>
          <cell r="H5" t="str">
            <v>Monster</v>
          </cell>
          <cell r="I5" t="str">
            <v>Nederland</v>
          </cell>
          <cell r="L5">
            <v>5075</v>
          </cell>
        </row>
        <row r="6">
          <cell r="B6" t="str">
            <v>convracht</v>
          </cell>
          <cell r="D6" t="str">
            <v>Convracht bv</v>
          </cell>
          <cell r="E6" t="str">
            <v xml:space="preserve">Sluisjesdijk </v>
          </cell>
          <cell r="F6">
            <v>98</v>
          </cell>
          <cell r="G6" t="str">
            <v>3087 AJ</v>
          </cell>
          <cell r="H6" t="str">
            <v>Rotterdam</v>
          </cell>
          <cell r="I6" t="str">
            <v>Nederland</v>
          </cell>
          <cell r="J6" t="str">
            <v>010-4280010</v>
          </cell>
        </row>
        <row r="7">
          <cell r="B7" t="str">
            <v>conzalez</v>
          </cell>
          <cell r="C7" t="str">
            <v>Jos verhagen</v>
          </cell>
          <cell r="D7" t="str">
            <v>Conzalez aanvullend transport bv</v>
          </cell>
          <cell r="E7" t="str">
            <v xml:space="preserve">Driemanssteeweg </v>
          </cell>
          <cell r="F7">
            <v>84</v>
          </cell>
          <cell r="G7" t="str">
            <v>3089 KG</v>
          </cell>
          <cell r="H7" t="str">
            <v>Rotterdam</v>
          </cell>
          <cell r="I7" t="str">
            <v>Nederland</v>
          </cell>
          <cell r="J7" t="str">
            <v>010-4955887</v>
          </cell>
        </row>
        <row r="8">
          <cell r="B8" t="str">
            <v>coopra</v>
          </cell>
          <cell r="C8" t="str">
            <v>Andre Reidveld</v>
          </cell>
          <cell r="D8" t="str">
            <v>Coopra buis bv</v>
          </cell>
          <cell r="E8" t="str">
            <v xml:space="preserve">Wolweverstraat </v>
          </cell>
          <cell r="F8">
            <v>31</v>
          </cell>
          <cell r="G8" t="str">
            <v>2984 CE</v>
          </cell>
          <cell r="H8" t="str">
            <v>Ridderkerk</v>
          </cell>
          <cell r="I8" t="str">
            <v>Nederland</v>
          </cell>
          <cell r="J8" t="str">
            <v>0180-480505</v>
          </cell>
          <cell r="K8" t="str">
            <v>0180-480868</v>
          </cell>
        </row>
        <row r="9">
          <cell r="B9" t="str">
            <v>diemen</v>
          </cell>
          <cell r="D9" t="str">
            <v>van Diemen</v>
          </cell>
          <cell r="E9" t="str">
            <v>Bedrijvenweg</v>
          </cell>
          <cell r="F9">
            <v>24</v>
          </cell>
          <cell r="G9" t="str">
            <v>1424 PX</v>
          </cell>
          <cell r="H9" t="str">
            <v>De Kwakel</v>
          </cell>
          <cell r="I9" t="str">
            <v>Nederland</v>
          </cell>
        </row>
        <row r="10">
          <cell r="B10" t="str">
            <v>ect delta</v>
          </cell>
          <cell r="D10" t="str">
            <v>ECT Delta Terminals</v>
          </cell>
          <cell r="E10" t="str">
            <v>Europaweg</v>
          </cell>
          <cell r="F10">
            <v>875</v>
          </cell>
          <cell r="G10" t="str">
            <v>3199 LD</v>
          </cell>
          <cell r="H10" t="str">
            <v>Rotterdam (Maasvlakte)</v>
          </cell>
          <cell r="I10" t="str">
            <v>Nederland</v>
          </cell>
          <cell r="J10" t="str">
            <v>0181-278278</v>
          </cell>
          <cell r="K10" t="str">
            <v>0181-278315</v>
          </cell>
        </row>
        <row r="11">
          <cell r="B11" t="str">
            <v>ect euromax</v>
          </cell>
          <cell r="D11" t="str">
            <v>ECT Euromax Terminal</v>
          </cell>
          <cell r="E11" t="str">
            <v xml:space="preserve">Europaweg </v>
          </cell>
          <cell r="F11">
            <v>951</v>
          </cell>
          <cell r="G11" t="str">
            <v>3199 LD</v>
          </cell>
          <cell r="H11" t="str">
            <v>Rotterdam (Maasvlakte)</v>
          </cell>
          <cell r="I11" t="str">
            <v>Nederland</v>
          </cell>
          <cell r="J11" t="str">
            <v>0181-377377</v>
          </cell>
          <cell r="K11" t="str">
            <v>0181-377300</v>
          </cell>
        </row>
        <row r="12">
          <cell r="B12" t="str">
            <v>ect home</v>
          </cell>
          <cell r="D12" t="str">
            <v>ECT Home Terminal</v>
          </cell>
          <cell r="E12" t="str">
            <v>Reeweg</v>
          </cell>
          <cell r="F12">
            <v>25</v>
          </cell>
          <cell r="G12" t="str">
            <v>3089 KM</v>
          </cell>
          <cell r="H12" t="str">
            <v>Rotterdam</v>
          </cell>
          <cell r="I12" t="str">
            <v>Nederland</v>
          </cell>
          <cell r="J12" t="str">
            <v>010-4916911</v>
          </cell>
          <cell r="K12" t="str">
            <v>010-4916434</v>
          </cell>
        </row>
        <row r="13">
          <cell r="B13" t="str">
            <v>fleura</v>
          </cell>
          <cell r="D13" t="str">
            <v>Fleura Aalsmeer</v>
          </cell>
          <cell r="E13" t="str">
            <v>Betula</v>
          </cell>
          <cell r="F13">
            <v>31</v>
          </cell>
          <cell r="G13" t="str">
            <v>1424 LH</v>
          </cell>
          <cell r="H13" t="str">
            <v>De Kwakel</v>
          </cell>
          <cell r="I13" t="str">
            <v>Nederland</v>
          </cell>
        </row>
        <row r="14">
          <cell r="B14" t="str">
            <v>flora bleiswijk</v>
          </cell>
          <cell r="D14" t="str">
            <v>Flora Holland Bleiswijk</v>
          </cell>
          <cell r="E14" t="str">
            <v>Klappolder</v>
          </cell>
          <cell r="F14">
            <v>130</v>
          </cell>
          <cell r="G14" t="str">
            <v>2665 ZM</v>
          </cell>
          <cell r="H14" t="str">
            <v>Bleiswijk</v>
          </cell>
          <cell r="I14" t="str">
            <v>Nederland</v>
          </cell>
        </row>
        <row r="15">
          <cell r="B15" t="str">
            <v>flora naaldwijk</v>
          </cell>
          <cell r="D15" t="str">
            <v>Flora Holland Naaldwijk</v>
          </cell>
          <cell r="E15" t="str">
            <v>Middel Broekweg</v>
          </cell>
          <cell r="F15">
            <v>29</v>
          </cell>
          <cell r="G15" t="str">
            <v>2670 AE</v>
          </cell>
          <cell r="H15" t="str">
            <v>Naaldwijk</v>
          </cell>
          <cell r="I15" t="str">
            <v>Nederland</v>
          </cell>
        </row>
        <row r="16">
          <cell r="B16" t="str">
            <v>flora rijnsburg</v>
          </cell>
          <cell r="D16" t="str">
            <v>Flora Holland Rijnsburg</v>
          </cell>
          <cell r="E16" t="str">
            <v>Laan van Verhof</v>
          </cell>
          <cell r="F16">
            <v>3</v>
          </cell>
          <cell r="G16" t="str">
            <v>2230 AA</v>
          </cell>
          <cell r="H16" t="str">
            <v>Rijnsburg</v>
          </cell>
          <cell r="I16" t="str">
            <v>Nederland</v>
          </cell>
        </row>
        <row r="17">
          <cell r="B17" t="str">
            <v>hans van bebber</v>
          </cell>
          <cell r="D17" t="str">
            <v>Hans van Bebber Heizungsbau</v>
          </cell>
          <cell r="E17" t="str">
            <v>An den Bleiche</v>
          </cell>
          <cell r="F17">
            <v>41</v>
          </cell>
          <cell r="G17">
            <v>47638</v>
          </cell>
          <cell r="H17" t="str">
            <v>Staelen</v>
          </cell>
          <cell r="I17" t="str">
            <v>Deutschland</v>
          </cell>
        </row>
        <row r="18">
          <cell r="B18" t="str">
            <v>heemskerk</v>
          </cell>
          <cell r="D18" t="str">
            <v>A Heemskerk</v>
          </cell>
          <cell r="E18" t="str">
            <v>Laan van Verhof</v>
          </cell>
          <cell r="F18">
            <v>65</v>
          </cell>
          <cell r="G18" t="str">
            <v>2230 AE</v>
          </cell>
          <cell r="H18" t="str">
            <v>Rijnsburg</v>
          </cell>
          <cell r="I18" t="str">
            <v>Nederland</v>
          </cell>
        </row>
        <row r="19">
          <cell r="B19" t="str">
            <v>holstein</v>
          </cell>
          <cell r="C19" t="str">
            <v>Jan van Holstein</v>
          </cell>
          <cell r="D19" t="str">
            <v>van Holstein Transport VOF</v>
          </cell>
          <cell r="E19" t="str">
            <v>van Buerenlaan</v>
          </cell>
          <cell r="F19">
            <v>19</v>
          </cell>
          <cell r="G19" t="str">
            <v>2295 MA</v>
          </cell>
          <cell r="H19" t="str">
            <v>Kwintsheul</v>
          </cell>
          <cell r="I19" t="str">
            <v>Nederland</v>
          </cell>
          <cell r="J19" t="str">
            <v>0653-222236</v>
          </cell>
          <cell r="K19" t="str">
            <v>0174-624332</v>
          </cell>
          <cell r="L19">
            <v>5175</v>
          </cell>
        </row>
        <row r="20">
          <cell r="B20" t="str">
            <v>kovemont</v>
          </cell>
          <cell r="D20" t="str">
            <v>Kovermont BM s.r.o.</v>
          </cell>
          <cell r="E20" t="str">
            <v>Zahradnicka</v>
          </cell>
          <cell r="F20">
            <v>1135</v>
          </cell>
          <cell r="G20" t="str">
            <v>958 03</v>
          </cell>
          <cell r="H20" t="str">
            <v>Partizanske</v>
          </cell>
          <cell r="I20" t="str">
            <v>Slovakia</v>
          </cell>
        </row>
        <row r="21">
          <cell r="B21" t="str">
            <v>lenssen</v>
          </cell>
          <cell r="D21" t="str">
            <v>Verzinkerij Lenssen</v>
          </cell>
          <cell r="E21" t="str">
            <v>Hendy Fordlaan</v>
          </cell>
          <cell r="F21">
            <v>29</v>
          </cell>
          <cell r="G21" t="str">
            <v>B3600</v>
          </cell>
          <cell r="H21" t="str">
            <v>Genk</v>
          </cell>
          <cell r="I21" t="str">
            <v>Belgie</v>
          </cell>
        </row>
        <row r="22">
          <cell r="B22" t="str">
            <v>linden</v>
          </cell>
          <cell r="D22" t="str">
            <v>Van der Linden</v>
          </cell>
          <cell r="E22" t="str">
            <v>Energieweg</v>
          </cell>
          <cell r="F22">
            <v>7</v>
          </cell>
          <cell r="G22" t="str">
            <v>5145 NW</v>
          </cell>
          <cell r="H22" t="str">
            <v>Waalwijk</v>
          </cell>
          <cell r="I22" t="str">
            <v>Nederland</v>
          </cell>
        </row>
        <row r="23">
          <cell r="B23" t="str">
            <v>logiqs</v>
          </cell>
          <cell r="D23" t="str">
            <v>Logiqs Apro BV</v>
          </cell>
          <cell r="E23" t="str">
            <v>Lierweg</v>
          </cell>
          <cell r="F23">
            <v>20</v>
          </cell>
          <cell r="G23" t="str">
            <v>2678 CW</v>
          </cell>
          <cell r="H23" t="str">
            <v>De Lier</v>
          </cell>
          <cell r="I23" t="str">
            <v>Nederland</v>
          </cell>
          <cell r="J23" t="str">
            <v>0174-514141</v>
          </cell>
          <cell r="K23" t="str">
            <v>0174-517877</v>
          </cell>
        </row>
        <row r="24">
          <cell r="B24" t="str">
            <v>ninove</v>
          </cell>
          <cell r="D24" t="str">
            <v>Nedcoat Ninove BV</v>
          </cell>
          <cell r="E24" t="str">
            <v>Pamelstraat-Oost</v>
          </cell>
          <cell r="F24">
            <v>500</v>
          </cell>
          <cell r="G24" t="str">
            <v>B-9400</v>
          </cell>
          <cell r="H24" t="str">
            <v>Ninove</v>
          </cell>
          <cell r="I24" t="str">
            <v>Belgie</v>
          </cell>
        </row>
        <row r="25">
          <cell r="B25" t="str">
            <v>nocton</v>
          </cell>
          <cell r="D25" t="str">
            <v>Nocton LTD</v>
          </cell>
          <cell r="E25" t="str">
            <v>Lincolnshire LN</v>
          </cell>
          <cell r="F25">
            <v>4</v>
          </cell>
          <cell r="G25" t="str">
            <v>2AB</v>
          </cell>
          <cell r="H25" t="str">
            <v>Lincolnshire</v>
          </cell>
          <cell r="I25" t="str">
            <v>United Kingdom</v>
          </cell>
        </row>
        <row r="26">
          <cell r="B26" t="str">
            <v>ploeger</v>
          </cell>
          <cell r="D26" t="str">
            <v>Ploeger Logistic Services</v>
          </cell>
          <cell r="E26" t="str">
            <v>Daltonstraat</v>
          </cell>
          <cell r="F26">
            <v>13</v>
          </cell>
          <cell r="G26" t="str">
            <v>3846 BX</v>
          </cell>
          <cell r="H26" t="str">
            <v>Hardenwijk</v>
          </cell>
          <cell r="I26" t="str">
            <v>Nederland</v>
          </cell>
        </row>
        <row r="27">
          <cell r="B27" t="str">
            <v>trade parc</v>
          </cell>
          <cell r="D27" t="str">
            <v>Trade Parc Westland</v>
          </cell>
          <cell r="E27" t="str">
            <v>Venus</v>
          </cell>
          <cell r="F27" t="str">
            <v>400-499</v>
          </cell>
          <cell r="G27" t="str">
            <v>2675 ZG</v>
          </cell>
          <cell r="H27" t="str">
            <v>Honselersdijk</v>
          </cell>
          <cell r="I27" t="str">
            <v>Nederland</v>
          </cell>
        </row>
        <row r="28">
          <cell r="B28" t="str">
            <v>westerstuw</v>
          </cell>
          <cell r="D28" t="str">
            <v>Westerstuw BV</v>
          </cell>
          <cell r="E28" t="str">
            <v>Waalhaven N.Z.</v>
          </cell>
          <cell r="F28">
            <v>48</v>
          </cell>
          <cell r="G28" t="str">
            <v>3087 BL</v>
          </cell>
          <cell r="H28" t="str">
            <v>Rotterdam</v>
          </cell>
          <cell r="I28" t="str">
            <v>Nederland</v>
          </cell>
          <cell r="J28" t="str">
            <v>010-4253100</v>
          </cell>
          <cell r="K28" t="str">
            <v>010-4281376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BO64"/>
  <sheetViews>
    <sheetView tabSelected="1" zoomScaleNormal="100" workbookViewId="0">
      <selection activeCell="L29" sqref="L29:U29"/>
    </sheetView>
  </sheetViews>
  <sheetFormatPr defaultColWidth="0" defaultRowHeight="0" customHeight="1" zeroHeight="1" x14ac:dyDescent="0.15"/>
  <cols>
    <col min="1" max="1" width="2.7109375" style="1" customWidth="1"/>
    <col min="2" max="2" width="7" style="1" customWidth="1"/>
    <col min="3" max="16" width="2.7109375" style="1" customWidth="1"/>
    <col min="17" max="17" width="5" style="1" customWidth="1"/>
    <col min="18" max="29" width="2.7109375" style="1" customWidth="1"/>
    <col min="30" max="30" width="2" style="1" customWidth="1"/>
    <col min="31" max="32" width="2.7109375" style="1" customWidth="1"/>
    <col min="33" max="33" width="4" style="1" customWidth="1"/>
    <col min="34" max="34" width="2.7109375" style="2" customWidth="1"/>
    <col min="35" max="45" width="2.7109375" style="3" customWidth="1"/>
    <col min="46" max="55" width="2.7109375" style="1" hidden="1" customWidth="1"/>
    <col min="56" max="56" width="2.7109375" style="2" customWidth="1"/>
    <col min="57" max="16384" width="2.7109375" style="1" hidden="1"/>
  </cols>
  <sheetData>
    <row r="1" spans="1:54" ht="22.5" customHeight="1" x14ac:dyDescent="0.35">
      <c r="A1" s="10">
        <v>1</v>
      </c>
      <c r="T1" s="32" t="str">
        <f>AU21</f>
        <v/>
      </c>
      <c r="U1" s="32"/>
      <c r="V1" s="32"/>
      <c r="W1" s="32"/>
      <c r="X1" s="32"/>
      <c r="Y1" s="32"/>
      <c r="AE1" s="28"/>
      <c r="AF1" s="28"/>
      <c r="AG1" s="28"/>
      <c r="AV1" s="1">
        <v>1</v>
      </c>
    </row>
    <row r="2" spans="1:54" ht="6" customHeight="1" x14ac:dyDescent="0.1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</row>
    <row r="3" spans="1:54" ht="9.9499999999999993" customHeight="1" x14ac:dyDescent="0.1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V3" s="25">
        <f ca="1">TODAY()</f>
        <v>46130</v>
      </c>
      <c r="AW3" s="25"/>
      <c r="AX3" s="25"/>
      <c r="AY3" s="25"/>
      <c r="AZ3" s="25"/>
      <c r="BA3" s="25"/>
      <c r="BB3" s="25"/>
    </row>
    <row r="4" spans="1:54" ht="12" customHeight="1" x14ac:dyDescent="0.15">
      <c r="A4" s="4" t="s">
        <v>0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Q4" s="29"/>
      <c r="R4" s="29"/>
      <c r="S4" s="29"/>
      <c r="T4" s="29"/>
      <c r="U4" s="29"/>
      <c r="V4" s="29"/>
      <c r="W4" s="29"/>
      <c r="X4" s="29"/>
      <c r="Y4" s="29"/>
      <c r="Z4" s="29"/>
      <c r="AA4" s="31">
        <v>17786</v>
      </c>
      <c r="AB4" s="31"/>
      <c r="AC4" s="31"/>
      <c r="AD4" s="31"/>
      <c r="AE4" s="31"/>
      <c r="AF4" s="31"/>
      <c r="AG4" s="5"/>
    </row>
    <row r="5" spans="1:54" ht="12" customHeight="1" x14ac:dyDescent="0.2">
      <c r="A5" s="1" t="s">
        <v>20</v>
      </c>
      <c r="Q5" s="29"/>
      <c r="R5" s="29"/>
      <c r="S5" s="29"/>
      <c r="T5" s="29"/>
      <c r="U5" s="29"/>
      <c r="V5" s="29"/>
      <c r="W5" s="29"/>
      <c r="X5" s="29"/>
      <c r="Y5" s="29"/>
      <c r="Z5" s="29"/>
      <c r="AA5" s="31"/>
      <c r="AB5" s="31"/>
      <c r="AC5" s="31"/>
      <c r="AD5" s="31"/>
      <c r="AE5" s="31"/>
      <c r="AF5" s="31"/>
      <c r="AG5" s="5"/>
      <c r="AT5" s="6" t="s">
        <v>1</v>
      </c>
      <c r="AU5" s="38" t="s">
        <v>2</v>
      </c>
      <c r="AV5" s="38"/>
      <c r="AW5" s="38"/>
    </row>
    <row r="6" spans="1:54" ht="12" customHeight="1" x14ac:dyDescent="0.15">
      <c r="A6" s="1" t="s">
        <v>3</v>
      </c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</row>
    <row r="7" spans="1:54" ht="12" customHeight="1" x14ac:dyDescent="0.15">
      <c r="A7" s="27" t="s">
        <v>4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U7" s="1" t="str">
        <f>RIGHT(AA4,4)</f>
        <v>7786</v>
      </c>
    </row>
    <row r="8" spans="1:54" ht="12" customHeight="1" x14ac:dyDescent="0.1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</row>
    <row r="9" spans="1:54" ht="12" customHeight="1" x14ac:dyDescent="0.1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</row>
    <row r="10" spans="1:54" ht="15" customHeight="1" x14ac:dyDescent="0.15"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U10" s="38" t="s">
        <v>5</v>
      </c>
      <c r="AV10" s="38"/>
      <c r="AW10" s="38"/>
    </row>
    <row r="11" spans="1:54" ht="12" customHeight="1" x14ac:dyDescent="0.15">
      <c r="A11" s="27" t="s">
        <v>26</v>
      </c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</row>
    <row r="12" spans="1:54" ht="12" customHeight="1" x14ac:dyDescent="0.15">
      <c r="A12" s="1" t="s">
        <v>23</v>
      </c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</row>
    <row r="13" spans="1:54" ht="12" customHeight="1" x14ac:dyDescent="0.15">
      <c r="A13" s="1" t="s">
        <v>24</v>
      </c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U13" s="38" t="s">
        <v>6</v>
      </c>
      <c r="AV13" s="38"/>
      <c r="AW13" s="38"/>
    </row>
    <row r="14" spans="1:54" ht="12" customHeight="1" x14ac:dyDescent="0.15">
      <c r="A14" s="1" t="s">
        <v>25</v>
      </c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</row>
    <row r="15" spans="1:54" ht="15" customHeight="1" x14ac:dyDescent="0.15">
      <c r="A15" s="27" t="s">
        <v>7</v>
      </c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</row>
    <row r="16" spans="1:54" ht="12" customHeight="1" x14ac:dyDescent="0.15">
      <c r="J16" s="27"/>
      <c r="K16" s="27"/>
      <c r="L16" s="27"/>
      <c r="M16" s="27"/>
      <c r="N16" s="27"/>
      <c r="O16" s="27"/>
      <c r="P16" s="27"/>
      <c r="R16" s="27" t="s">
        <v>8</v>
      </c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U16" s="8" t="s">
        <v>9</v>
      </c>
      <c r="AV16" s="8"/>
    </row>
    <row r="17" spans="1:56" ht="12" customHeight="1" x14ac:dyDescent="0.15">
      <c r="A17" s="27" t="s">
        <v>26</v>
      </c>
      <c r="B17" s="27"/>
      <c r="C17" s="27"/>
      <c r="D17" s="27"/>
      <c r="E17" s="27"/>
      <c r="F17" s="27"/>
      <c r="G17" s="27"/>
      <c r="H17" s="27"/>
      <c r="I17" s="27"/>
      <c r="J17" s="34" t="s">
        <v>10</v>
      </c>
      <c r="K17" s="37"/>
      <c r="L17" s="37"/>
      <c r="M17" s="37"/>
      <c r="N17" s="37"/>
      <c r="O17" s="37"/>
      <c r="P17" s="3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U17" s="8" t="s">
        <v>11</v>
      </c>
      <c r="AV17" s="8"/>
    </row>
    <row r="18" spans="1:56" ht="12" customHeight="1" x14ac:dyDescent="0.15">
      <c r="A18" s="1" t="s">
        <v>23</v>
      </c>
      <c r="J18" s="37"/>
      <c r="K18" s="37"/>
      <c r="L18" s="37"/>
      <c r="M18" s="37"/>
      <c r="N18" s="37"/>
      <c r="O18" s="37"/>
      <c r="P18" s="3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</row>
    <row r="19" spans="1:56" ht="12" customHeight="1" x14ac:dyDescent="0.15">
      <c r="A19" s="1" t="s">
        <v>24</v>
      </c>
      <c r="J19" s="37"/>
      <c r="K19" s="37"/>
      <c r="L19" s="37"/>
      <c r="M19" s="37"/>
      <c r="N19" s="37"/>
      <c r="O19" s="37"/>
      <c r="P19" s="3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U19" s="38" t="str">
        <f>IF(AU17="onwaar","xx","xxxx")</f>
        <v>xxxx</v>
      </c>
      <c r="AV19" s="38"/>
      <c r="AW19" s="38"/>
      <c r="AX19" s="38"/>
      <c r="AY19" s="38"/>
      <c r="AZ19" s="38"/>
      <c r="BA19" s="38"/>
      <c r="BC19" s="1" t="str">
        <f>IF(T1="XX","AVC","CMR")</f>
        <v>CMR</v>
      </c>
    </row>
    <row r="20" spans="1:56" ht="12" customHeight="1" x14ac:dyDescent="0.2">
      <c r="J20" s="39"/>
      <c r="K20" s="27"/>
      <c r="L20" s="27"/>
      <c r="M20" s="27"/>
      <c r="N20" s="27"/>
      <c r="O20" s="27"/>
      <c r="P20" s="27"/>
      <c r="Q20" s="27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U20" s="38" t="str">
        <f>IF(AU19="xxxx","xxxx","")</f>
        <v>xxxx</v>
      </c>
      <c r="AV20" s="38"/>
      <c r="AW20" s="38"/>
      <c r="AX20" s="38"/>
      <c r="AY20" s="38"/>
      <c r="AZ20" s="38"/>
      <c r="BA20" s="38"/>
    </row>
    <row r="21" spans="1:56" ht="12" customHeight="1" x14ac:dyDescent="0.2">
      <c r="A21" s="46" t="s">
        <v>21</v>
      </c>
      <c r="B21" s="27"/>
      <c r="C21" s="27"/>
      <c r="D21" s="27"/>
      <c r="E21" s="27"/>
      <c r="F21" s="27"/>
      <c r="G21" s="27"/>
      <c r="H21" s="27"/>
      <c r="I21" s="27"/>
      <c r="J21" s="41"/>
      <c r="K21" s="41"/>
      <c r="L21" s="41"/>
      <c r="M21" s="41"/>
      <c r="N21" s="41"/>
      <c r="O21" s="41"/>
      <c r="P21" s="41"/>
      <c r="Q21" s="41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U21" s="38" t="str">
        <f>IF(AU19="xx","xx","")</f>
        <v/>
      </c>
      <c r="AV21" s="38"/>
      <c r="AW21" s="38"/>
      <c r="AX21" s="38"/>
      <c r="AY21" s="38"/>
      <c r="AZ21" s="38"/>
      <c r="BA21" s="38"/>
    </row>
    <row r="22" spans="1:56" ht="12" customHeight="1" x14ac:dyDescent="0.2">
      <c r="A22" s="1" t="s">
        <v>20</v>
      </c>
      <c r="J22" s="34" t="s">
        <v>12</v>
      </c>
      <c r="K22" s="34"/>
      <c r="L22" s="34"/>
      <c r="M22" s="34"/>
      <c r="N22" s="34"/>
      <c r="O22" s="34"/>
      <c r="P22" s="3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</row>
    <row r="23" spans="1:56" ht="12.75" x14ac:dyDescent="0.2">
      <c r="A23" s="4" t="s">
        <v>4</v>
      </c>
      <c r="B23" s="4"/>
      <c r="C23" s="4"/>
      <c r="D23" s="4"/>
      <c r="E23" s="4"/>
      <c r="F23" s="21"/>
      <c r="G23" s="21"/>
      <c r="H23" s="21"/>
      <c r="I23" s="21"/>
      <c r="J23" s="35"/>
      <c r="K23" s="35"/>
      <c r="L23" s="35"/>
      <c r="M23" s="35"/>
      <c r="N23" s="35"/>
      <c r="O23" s="35"/>
      <c r="P23" s="35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</row>
    <row r="24" spans="1:56" ht="12" customHeight="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</row>
    <row r="25" spans="1:56" ht="12" customHeight="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</row>
    <row r="26" spans="1:56" ht="12" customHeight="1" x14ac:dyDescent="0.15">
      <c r="A26" s="30" t="s">
        <v>29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</row>
    <row r="27" spans="1:56" ht="12" customHeight="1" x14ac:dyDescent="0.1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U27" s="26"/>
      <c r="AV27" s="26"/>
      <c r="AW27" s="26"/>
      <c r="AX27" s="26"/>
    </row>
    <row r="28" spans="1:56" ht="9.75" customHeight="1" x14ac:dyDescent="0.1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56" s="4" customFormat="1" ht="12" customHeight="1" x14ac:dyDescent="0.15">
      <c r="A29" s="33"/>
      <c r="B29" s="33"/>
      <c r="C29" s="33"/>
      <c r="D29" s="33"/>
      <c r="E29" s="33"/>
      <c r="F29" s="36"/>
      <c r="G29" s="36"/>
      <c r="H29" s="36"/>
      <c r="I29" s="51"/>
      <c r="J29" s="51"/>
      <c r="K29" s="51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42"/>
      <c r="W29" s="42"/>
      <c r="X29" s="42"/>
      <c r="Y29" s="42"/>
      <c r="Z29" s="33"/>
      <c r="AA29" s="33"/>
      <c r="AB29" s="33"/>
      <c r="AC29" s="33"/>
      <c r="AD29" s="33"/>
      <c r="AE29" s="33"/>
      <c r="AF29" s="33"/>
      <c r="AG29" s="33"/>
      <c r="AH29" s="7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BD29" s="7"/>
    </row>
    <row r="30" spans="1:56" s="4" customFormat="1" ht="10.5" x14ac:dyDescent="0.15">
      <c r="Z30" s="33"/>
      <c r="AA30" s="33"/>
      <c r="AB30" s="33"/>
      <c r="AC30" s="33"/>
      <c r="AD30" s="33"/>
      <c r="AE30" s="33"/>
      <c r="AF30" s="33"/>
      <c r="AG30" s="33"/>
      <c r="AH30" s="7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BD30" s="7"/>
    </row>
    <row r="31" spans="1:56" s="4" customFormat="1" ht="10.5" x14ac:dyDescent="0.15">
      <c r="Z31" s="33"/>
      <c r="AA31" s="33"/>
      <c r="AB31" s="33"/>
      <c r="AC31" s="33"/>
      <c r="AD31" s="33"/>
      <c r="AE31" s="33"/>
      <c r="AF31" s="33"/>
      <c r="AG31" s="33"/>
      <c r="AH31" s="7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BD31" s="7"/>
    </row>
    <row r="32" spans="1:56" s="4" customFormat="1" ht="10.5" x14ac:dyDescent="0.15">
      <c r="Z32" s="11"/>
      <c r="AA32" s="11"/>
      <c r="AB32" s="11"/>
      <c r="AC32" s="11"/>
      <c r="AD32" s="11"/>
      <c r="AE32" s="11"/>
      <c r="AF32" s="11"/>
      <c r="AG32" s="11"/>
      <c r="AH32" s="7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BD32" s="7"/>
    </row>
    <row r="33" spans="1:56" s="4" customFormat="1" ht="15" x14ac:dyDescent="0.2">
      <c r="A33" s="18"/>
      <c r="B33" s="24"/>
      <c r="C33" s="44" t="s">
        <v>27</v>
      </c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11"/>
      <c r="AA33" s="11"/>
      <c r="AB33" s="11"/>
      <c r="AC33" s="11"/>
      <c r="AD33" s="11"/>
      <c r="AE33" s="11"/>
      <c r="AF33" s="11"/>
      <c r="AG33" s="11"/>
      <c r="AH33" s="7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BD33" s="7"/>
    </row>
    <row r="34" spans="1:56" s="4" customFormat="1" ht="15" x14ac:dyDescent="0.2">
      <c r="A34" s="19"/>
      <c r="B34" s="22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11"/>
      <c r="AA34" s="11"/>
      <c r="AB34" s="11"/>
      <c r="AC34" s="11"/>
      <c r="AD34" s="11"/>
      <c r="AE34" s="11"/>
      <c r="AF34" s="11"/>
      <c r="AG34" s="11"/>
      <c r="AH34" s="7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BD34" s="7"/>
    </row>
    <row r="35" spans="1:56" s="4" customFormat="1" ht="15" x14ac:dyDescent="0.2">
      <c r="A35" s="18"/>
      <c r="B35" s="23"/>
      <c r="C35" s="47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4"/>
      <c r="Z35" s="33"/>
      <c r="AA35" s="33"/>
      <c r="AB35" s="33"/>
      <c r="AC35" s="33"/>
      <c r="AD35" s="11"/>
      <c r="AE35" s="11"/>
      <c r="AF35" s="11"/>
      <c r="AG35" s="11"/>
      <c r="AH35" s="7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BD35" s="7"/>
    </row>
    <row r="36" spans="1:56" s="4" customFormat="1" ht="15" x14ac:dyDescent="0.2">
      <c r="A36" s="18"/>
      <c r="B36" s="24"/>
      <c r="C36" s="47" t="s">
        <v>28</v>
      </c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4"/>
      <c r="Z36" s="33"/>
      <c r="AA36" s="33"/>
      <c r="AB36" s="33"/>
      <c r="AC36" s="33"/>
      <c r="AD36" s="11"/>
      <c r="AE36" s="11"/>
      <c r="AF36" s="11"/>
      <c r="AG36" s="11"/>
      <c r="AH36" s="7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BD36" s="7"/>
    </row>
    <row r="37" spans="1:56" s="4" customFormat="1" ht="15" x14ac:dyDescent="0.2">
      <c r="A37" s="11"/>
      <c r="B37" s="11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1"/>
      <c r="AA37" s="11"/>
      <c r="AB37" s="11"/>
      <c r="AC37" s="11"/>
      <c r="AD37" s="11"/>
      <c r="AE37" s="11"/>
      <c r="AF37" s="11"/>
      <c r="AG37" s="11"/>
      <c r="AH37" s="7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BD37" s="7"/>
    </row>
    <row r="38" spans="1:56" s="4" customFormat="1" ht="12" customHeight="1" x14ac:dyDescent="0.2">
      <c r="A38" s="11"/>
      <c r="B38" s="11"/>
      <c r="C38" s="11"/>
      <c r="D38" s="11"/>
      <c r="E38" s="11"/>
      <c r="F38" s="13"/>
      <c r="G38" s="13"/>
      <c r="H38" s="13"/>
      <c r="I38" s="13"/>
      <c r="J38" s="13"/>
      <c r="K38" s="13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3"/>
      <c r="W38" s="13"/>
      <c r="X38" s="13"/>
      <c r="Y38" s="13"/>
      <c r="Z38" s="11"/>
      <c r="AA38" s="11"/>
      <c r="AB38" s="11"/>
      <c r="AC38" s="11"/>
      <c r="AD38" s="11"/>
      <c r="AE38" s="11"/>
      <c r="AF38" s="11"/>
      <c r="AG38" s="11"/>
      <c r="AH38" s="7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BD38" s="7"/>
    </row>
    <row r="39" spans="1:56" s="4" customFormat="1" ht="12" customHeight="1" x14ac:dyDescent="0.2">
      <c r="A39" s="11"/>
      <c r="B39" s="11"/>
      <c r="C39" s="11"/>
      <c r="D39" s="11"/>
      <c r="E39" s="11"/>
      <c r="F39" s="13"/>
      <c r="G39" s="13"/>
      <c r="H39" s="13"/>
      <c r="I39" s="13"/>
      <c r="J39" s="13"/>
      <c r="K39" s="13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3"/>
      <c r="W39" s="13"/>
      <c r="X39" s="13"/>
      <c r="Y39" s="13"/>
      <c r="Z39" s="11"/>
      <c r="AA39" s="11"/>
      <c r="AB39" s="11"/>
      <c r="AC39" s="11"/>
      <c r="AD39" s="11"/>
      <c r="AE39" s="11"/>
      <c r="AF39" s="11"/>
      <c r="AG39" s="11"/>
      <c r="AH39" s="7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BD39" s="7"/>
    </row>
    <row r="40" spans="1:56" ht="12" customHeight="1" x14ac:dyDescent="0.1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</row>
    <row r="41" spans="1:56" ht="12" customHeight="1" x14ac:dyDescent="0.1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</row>
    <row r="42" spans="1:56" ht="12" customHeight="1" x14ac:dyDescent="0.1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</row>
    <row r="43" spans="1:56" ht="15" customHeight="1" x14ac:dyDescent="0.1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</row>
    <row r="44" spans="1:56" ht="15" customHeight="1" x14ac:dyDescent="0.1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</row>
    <row r="45" spans="1:56" ht="15" customHeight="1" x14ac:dyDescent="0.1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</row>
    <row r="46" spans="1:56" ht="12" customHeight="1" x14ac:dyDescent="0.1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</row>
    <row r="47" spans="1:56" ht="12" customHeight="1" x14ac:dyDescent="0.15">
      <c r="A47" s="27" t="s">
        <v>22</v>
      </c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</row>
    <row r="48" spans="1:56" ht="12" customHeight="1" x14ac:dyDescent="0.1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27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</row>
    <row r="49" spans="1:67" ht="12" customHeight="1" x14ac:dyDescent="0.1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</row>
    <row r="50" spans="1:67" ht="12" customHeight="1" x14ac:dyDescent="0.1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</row>
    <row r="51" spans="1:67" ht="12" customHeight="1" x14ac:dyDescent="0.1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</row>
    <row r="52" spans="1:67" ht="12" customHeight="1" x14ac:dyDescent="0.1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</row>
    <row r="53" spans="1:67" ht="12" customHeight="1" x14ac:dyDescent="0.15">
      <c r="A53" s="4"/>
      <c r="B53" s="4"/>
      <c r="C53" s="4"/>
      <c r="D53" s="4"/>
      <c r="E53" s="29" t="s">
        <v>7</v>
      </c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" t="s">
        <v>13</v>
      </c>
    </row>
    <row r="54" spans="1:67" ht="7.5" customHeight="1" x14ac:dyDescent="0.15">
      <c r="A54" s="4"/>
      <c r="B54" s="4"/>
      <c r="C54" s="4"/>
      <c r="D54" s="4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</row>
    <row r="55" spans="1:67" ht="10.5" customHeight="1" x14ac:dyDescent="0.15">
      <c r="A55" s="4"/>
      <c r="C55" s="4"/>
      <c r="D55" s="4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U55" s="1" t="s">
        <v>9</v>
      </c>
    </row>
    <row r="56" spans="1:67" ht="15" customHeight="1" x14ac:dyDescent="0.15">
      <c r="A56" s="4" t="str">
        <f>AU59</f>
        <v/>
      </c>
      <c r="C56" s="4"/>
      <c r="D56" s="4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U56" s="1" t="s">
        <v>14</v>
      </c>
    </row>
    <row r="57" spans="1:67" ht="18.75" customHeight="1" x14ac:dyDescent="0.15">
      <c r="A57" s="27" t="s">
        <v>15</v>
      </c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</row>
    <row r="58" spans="1:67" ht="15" customHeight="1" x14ac:dyDescent="0.15">
      <c r="A58" s="49"/>
      <c r="B58" s="27"/>
      <c r="C58" s="27"/>
      <c r="D58" s="27"/>
      <c r="E58" s="27"/>
      <c r="F58" s="27"/>
      <c r="G58" s="27"/>
      <c r="H58" s="27"/>
      <c r="I58" s="27"/>
      <c r="J58" s="50"/>
      <c r="K58" s="50"/>
      <c r="L58" s="50"/>
      <c r="M58" s="50"/>
      <c r="N58" s="50"/>
      <c r="O58" s="50"/>
      <c r="P58" s="50"/>
      <c r="Q58" s="50"/>
      <c r="R58" s="27" t="s">
        <v>7</v>
      </c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U58" s="38" t="str">
        <f>IF(AU56="onwaar","X","")</f>
        <v>X</v>
      </c>
      <c r="AV58" s="38"/>
      <c r="AW58" s="38"/>
      <c r="AX58" s="38"/>
      <c r="AY58" s="38"/>
      <c r="AZ58" s="38"/>
      <c r="BA58" s="38"/>
    </row>
    <row r="59" spans="1:67" ht="12" customHeight="1" x14ac:dyDescent="0.15">
      <c r="A59" s="27" t="s">
        <v>16</v>
      </c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U59" s="38" t="str">
        <f>IF(AU56="waar","X","")</f>
        <v/>
      </c>
      <c r="AV59" s="38"/>
      <c r="AW59" s="38"/>
      <c r="AX59" s="38"/>
      <c r="AY59" s="38"/>
      <c r="AZ59" s="38"/>
      <c r="BA59" s="38"/>
    </row>
    <row r="60" spans="1:67" ht="9.9499999999999993" customHeight="1" x14ac:dyDescent="0.1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U60" s="8"/>
    </row>
    <row r="61" spans="1:67" ht="12" customHeight="1" x14ac:dyDescent="0.25">
      <c r="A61" s="4"/>
      <c r="C61" s="4"/>
      <c r="D61" s="4"/>
      <c r="E61" s="4"/>
      <c r="F61" s="4"/>
      <c r="G61" s="4"/>
      <c r="H61" s="4"/>
      <c r="I61" s="4"/>
      <c r="J61" s="4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15"/>
      <c r="X61"/>
      <c r="Y61"/>
      <c r="Z61"/>
      <c r="AA61"/>
      <c r="AB61"/>
      <c r="AC61" s="54"/>
      <c r="AD61" s="55"/>
      <c r="AE61" s="55"/>
      <c r="AF61" s="55"/>
      <c r="AG61" s="55"/>
      <c r="AU61" s="8"/>
    </row>
    <row r="62" spans="1:67" ht="12" customHeight="1" x14ac:dyDescent="0.25">
      <c r="A62" s="27" t="s">
        <v>0</v>
      </c>
      <c r="B62" s="27"/>
      <c r="C62" s="27"/>
      <c r="D62" s="27"/>
      <c r="E62" s="27"/>
      <c r="F62" s="27"/>
      <c r="G62" s="27"/>
      <c r="H62" s="27"/>
      <c r="I62" s="27"/>
      <c r="J62" s="27"/>
      <c r="L62" s="4"/>
      <c r="M62" s="56"/>
      <c r="N62" s="56"/>
      <c r="O62" s="56"/>
      <c r="P62" s="56"/>
      <c r="Q62" s="56"/>
      <c r="R62" s="56"/>
      <c r="S62" s="56"/>
      <c r="T62" s="56"/>
      <c r="U62" s="56"/>
      <c r="V62" s="56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U62" s="29"/>
      <c r="AV62" s="29"/>
      <c r="AW62" s="29"/>
      <c r="AX62" s="29"/>
      <c r="AZ62" s="27" t="s">
        <v>17</v>
      </c>
      <c r="BA62" s="27"/>
      <c r="BB62" s="27"/>
      <c r="BC62" s="27"/>
    </row>
    <row r="63" spans="1:67" ht="12" customHeight="1" x14ac:dyDescent="0.25">
      <c r="A63" s="27" t="s">
        <v>20</v>
      </c>
      <c r="B63" s="27"/>
      <c r="C63" s="27"/>
      <c r="D63" s="27"/>
      <c r="E63" s="27"/>
      <c r="F63" s="27"/>
      <c r="G63" s="27"/>
      <c r="H63" s="27"/>
      <c r="I63" s="27"/>
      <c r="J63" s="27"/>
      <c r="L63" s="4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1" t="s">
        <v>23</v>
      </c>
      <c r="X63" s="12"/>
      <c r="Y63" s="20"/>
      <c r="Z63" s="12"/>
      <c r="AA63" s="12"/>
      <c r="AB63" s="12"/>
      <c r="AC63" s="12"/>
      <c r="AD63" s="12"/>
      <c r="AE63" s="12"/>
      <c r="AF63" s="12"/>
      <c r="AG63" s="12"/>
      <c r="AU63" s="38"/>
      <c r="AV63" s="38"/>
      <c r="AW63" s="38"/>
      <c r="AX63" s="38"/>
      <c r="AZ63" s="27" t="s">
        <v>18</v>
      </c>
      <c r="BA63" s="27"/>
      <c r="BB63" s="27"/>
      <c r="BC63" s="27"/>
      <c r="BO63" s="1" t="s">
        <v>19</v>
      </c>
    </row>
    <row r="64" spans="1:67" ht="12" customHeight="1" x14ac:dyDescent="0.25">
      <c r="A64" s="52" t="s">
        <v>3</v>
      </c>
      <c r="B64" s="53"/>
      <c r="C64" s="53"/>
      <c r="D64" s="53"/>
      <c r="E64" s="53"/>
      <c r="F64" s="53"/>
      <c r="G64" s="53"/>
      <c r="H64" s="53"/>
      <c r="I64" s="53"/>
      <c r="J64" s="53"/>
      <c r="L64" s="4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1" t="s">
        <v>24</v>
      </c>
      <c r="X64" s="12"/>
      <c r="Y64" s="20"/>
      <c r="Z64" s="12"/>
      <c r="AA64" s="12"/>
      <c r="AB64" s="12"/>
      <c r="AC64" s="12"/>
      <c r="AD64" s="12"/>
      <c r="AE64" s="12"/>
      <c r="AF64" s="12"/>
      <c r="AG64" s="12"/>
    </row>
  </sheetData>
  <sheetProtection selectLockedCells="1" selectUnlockedCells="1"/>
  <mergeCells count="91">
    <mergeCell ref="A64:J64"/>
    <mergeCell ref="AC61:AG61"/>
    <mergeCell ref="M61:V61"/>
    <mergeCell ref="A59:AG60"/>
    <mergeCell ref="M64:V64"/>
    <mergeCell ref="A63:J63"/>
    <mergeCell ref="M63:V63"/>
    <mergeCell ref="M62:V62"/>
    <mergeCell ref="A62:J62"/>
    <mergeCell ref="A58:I58"/>
    <mergeCell ref="J58:Q58"/>
    <mergeCell ref="A52:P52"/>
    <mergeCell ref="R58:AG58"/>
    <mergeCell ref="I29:K29"/>
    <mergeCell ref="A57:AA57"/>
    <mergeCell ref="A47:P47"/>
    <mergeCell ref="Z30:AC30"/>
    <mergeCell ref="C35:Y35"/>
    <mergeCell ref="Z31:AC31"/>
    <mergeCell ref="AB57:AG57"/>
    <mergeCell ref="E53:AG56"/>
    <mergeCell ref="AD29:AG29"/>
    <mergeCell ref="A29:E29"/>
    <mergeCell ref="A51:P51"/>
    <mergeCell ref="Z35:AC35"/>
    <mergeCell ref="A21:I21"/>
    <mergeCell ref="AU21:BA21"/>
    <mergeCell ref="C34:Y34"/>
    <mergeCell ref="Q44:Q48"/>
    <mergeCell ref="AD31:AG31"/>
    <mergeCell ref="A28:AG28"/>
    <mergeCell ref="A45:P45"/>
    <mergeCell ref="L29:U29"/>
    <mergeCell ref="A46:P46"/>
    <mergeCell ref="Z36:AC36"/>
    <mergeCell ref="C36:Y36"/>
    <mergeCell ref="J20:Q20"/>
    <mergeCell ref="AZ63:BC63"/>
    <mergeCell ref="AU58:BA58"/>
    <mergeCell ref="AU59:BA59"/>
    <mergeCell ref="A50:P50"/>
    <mergeCell ref="R21:AG21"/>
    <mergeCell ref="J21:Q21"/>
    <mergeCell ref="AD30:AG30"/>
    <mergeCell ref="V29:Y29"/>
    <mergeCell ref="A48:P49"/>
    <mergeCell ref="AU20:BA20"/>
    <mergeCell ref="Q49:AG52"/>
    <mergeCell ref="R44:AG44"/>
    <mergeCell ref="R20:AG20"/>
    <mergeCell ref="C33:Y33"/>
    <mergeCell ref="A24:P24"/>
    <mergeCell ref="AU5:AW5"/>
    <mergeCell ref="AU10:AW10"/>
    <mergeCell ref="AZ62:BC62"/>
    <mergeCell ref="AU62:AX62"/>
    <mergeCell ref="AU63:AX63"/>
    <mergeCell ref="AU13:AW13"/>
    <mergeCell ref="AU19:BA19"/>
    <mergeCell ref="T1:U1"/>
    <mergeCell ref="Z29:AC29"/>
    <mergeCell ref="J22:P23"/>
    <mergeCell ref="A44:P44"/>
    <mergeCell ref="V1:Y1"/>
    <mergeCell ref="R10:AG10"/>
    <mergeCell ref="R11:AG11"/>
    <mergeCell ref="F29:H29"/>
    <mergeCell ref="A7:P7"/>
    <mergeCell ref="J17:P19"/>
    <mergeCell ref="A2:AG3"/>
    <mergeCell ref="Q6:AG9"/>
    <mergeCell ref="J16:P16"/>
    <mergeCell ref="R16:AG16"/>
    <mergeCell ref="R12:AG12"/>
    <mergeCell ref="A9:P9"/>
    <mergeCell ref="AV3:BB3"/>
    <mergeCell ref="AU27:AX27"/>
    <mergeCell ref="A11:P11"/>
    <mergeCell ref="R18:AG18"/>
    <mergeCell ref="AE1:AG1"/>
    <mergeCell ref="R17:AG17"/>
    <mergeCell ref="A15:AG15"/>
    <mergeCell ref="Q14:AG14"/>
    <mergeCell ref="R19:AG19"/>
    <mergeCell ref="A17:I17"/>
    <mergeCell ref="R13:AG13"/>
    <mergeCell ref="Q4:Z5"/>
    <mergeCell ref="A25:P25"/>
    <mergeCell ref="A26:AG27"/>
    <mergeCell ref="A8:P8"/>
    <mergeCell ref="AA4:AF5"/>
  </mergeCells>
  <phoneticPr fontId="2" type="noConversion"/>
  <pageMargins left="0.86614173228346458" right="0.27559055118110237" top="7.874015748031496E-2" bottom="0.23622047244094491" header="0" footer="0"/>
  <pageSetup paperSize="9" scale="95" orientation="portrait" copies="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35</xdr:col>
                <xdr:colOff>47625</xdr:colOff>
                <xdr:row>1</xdr:row>
                <xdr:rowOff>47625</xdr:rowOff>
              </from>
              <to>
                <xdr:col>40</xdr:col>
                <xdr:colOff>57150</xdr:colOff>
                <xdr:row>4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"/>
  <sheetViews>
    <sheetView workbookViewId="0"/>
  </sheetViews>
  <sheetFormatPr defaultRowHeight="15.75" x14ac:dyDescent="0.25"/>
  <sheetData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58DB80311A9B41972280FBD9E4BB17" ma:contentTypeVersion="8" ma:contentTypeDescription="Create a new document." ma:contentTypeScope="" ma:versionID="d98310f8c5acdc75271627c22d62cbd7">
  <xsd:schema xmlns:xsd="http://www.w3.org/2001/XMLSchema" xmlns:xs="http://www.w3.org/2001/XMLSchema" xmlns:p="http://schemas.microsoft.com/office/2006/metadata/properties" xmlns:ns2="5efbd90f-7da3-45e4-981c-30c822524f86" targetNamespace="http://schemas.microsoft.com/office/2006/metadata/properties" ma:root="true" ma:fieldsID="10d52b7dfbf87d356ca68ac5243c4064" ns2:_="">
    <xsd:import namespace="5efbd90f-7da3-45e4-981c-30c822524f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Client" minOccurs="0"/>
                <xsd:element ref="ns2:Process" minOccurs="0"/>
                <xsd:element ref="ns2:Document_x0020_Type" minOccurs="0"/>
                <xsd:element ref="ns2:System" minOccurs="0"/>
                <xsd:element ref="ns2:File_x0020_lin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fbd90f-7da3-45e4-981c-30c822524f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Client" ma:index="11" nillable="true" ma:displayName="Client" ma:description="Which client is for?&#10;" ma:format="Dropdown" ma:internalName="Client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Rewe"/>
                        <xsd:enumeration value="Havi NL"/>
                        <xsd:enumeration value="Havi BE"/>
                        <xsd:enumeration value="Havi DE"/>
                        <xsd:enumeration value="Carrefour FIF"/>
                        <xsd:enumeration value="Carrefour KDC"/>
                        <xsd:enumeration value="Netto SG"/>
                        <xsd:enumeration value="Netto MD"/>
                        <xsd:enumeration value="Lidl"/>
                        <xsd:enumeration value="Penny"/>
                        <xsd:enumeration value="Edeka"/>
                        <xsd:enumeration value="Colruyt"/>
                        <xsd:enumeration value="Heeren"/>
                        <xsd:enumeration value="Hello Fresh"/>
                        <xsd:enumeration value="Jumbo"/>
                        <xsd:enumeration value="Plus"/>
                        <xsd:enumeration value="Vomar"/>
                        <xsd:enumeration value="Spar"/>
                        <xsd:enumeration value="Versunie"/>
                        <xsd:enumeration value="Globus"/>
                        <xsd:enumeration value="Van Vugt"/>
                        <xsd:enumeration value="Bilka SG"/>
                        <xsd:enumeration value="EFC Raalte"/>
                        <xsd:enumeration value="EFC Bleiswijk"/>
                        <xsd:enumeration value="EFC Den Bosch"/>
                        <xsd:enumeration value="Van Dijk"/>
                        <xsd:enumeration value="Marhaba"/>
                        <xsd:enumeration value="Snebo"/>
                        <xsd:enumeration value="T. van der Plas"/>
                        <xsd:enumeration value="Van Rijsingen"/>
                        <xsd:enumeration value="Bio Brass"/>
                        <xsd:enumeration value="Signature Foods"/>
                        <xsd:enumeration value="Kramer"/>
                        <xsd:enumeration value="Interhaven"/>
                        <xsd:enumeration value="Tacken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Process" ma:index="12" nillable="true" ma:displayName="Process" ma:description="What process is related to?" ma:format="Dropdown" ma:internalName="Process">
      <xsd:simpleType>
        <xsd:union memberTypes="dms:Text">
          <xsd:simpleType>
            <xsd:restriction base="dms:Choice">
              <xsd:enumeration value="Outbound"/>
              <xsd:enumeration value="Inbound"/>
              <xsd:enumeration value="Derving"/>
              <xsd:enumeration value="Sales order"/>
              <xsd:enumeration value="Purchase order"/>
              <xsd:enumeration value="Mancos"/>
              <xsd:enumeration value="Stock"/>
              <xsd:enumeration value="Picking"/>
              <xsd:enumeration value="EMB"/>
              <xsd:enumeration value="Packaging"/>
              <xsd:enumeration value="Training"/>
            </xsd:restriction>
          </xsd:simpleType>
        </xsd:union>
      </xsd:simpleType>
    </xsd:element>
    <xsd:element name="Document_x0020_Type" ma:index="13" nillable="true" ma:displayName="Document Type" ma:description="What type of document is?" ma:format="Dropdown" ma:internalName="Document_x0020_Type">
      <xsd:simpleType>
        <xsd:union memberTypes="dms:Text">
          <xsd:simpleType>
            <xsd:restriction base="dms:Choice">
              <xsd:enumeration value="Instruction"/>
              <xsd:enumeration value="Template"/>
              <xsd:enumeration value="Flowchart"/>
              <xsd:enumeration value="CMR"/>
              <xsd:enumeration value="Pakbon"/>
              <xsd:enumeration value="BAS"/>
              <xsd:enumeration value="Raangerlijst"/>
              <xsd:enumeration value="Tellijst"/>
              <xsd:enumeration value="Communication Matrix"/>
            </xsd:restriction>
          </xsd:simpleType>
        </xsd:union>
      </xsd:simpleType>
    </xsd:element>
    <xsd:element name="System" ma:index="14" nillable="true" ma:displayName="System" ma:description="Which system we are using it" ma:format="Dropdown" ma:internalName="System">
      <xsd:simpleType>
        <xsd:union memberTypes="dms:Text">
          <xsd:simpleType>
            <xsd:restriction base="dms:Choice">
              <xsd:enumeration value="D365"/>
              <xsd:enumeration value="Excel"/>
              <xsd:enumeration value="Scanner"/>
              <xsd:enumeration value="Medea"/>
              <xsd:enumeration value="Medius"/>
              <xsd:enumeration value="Teams"/>
              <xsd:enumeration value="Optimal"/>
            </xsd:restriction>
          </xsd:simpleType>
        </xsd:union>
      </xsd:simpleType>
    </xsd:element>
    <xsd:element name="File_x0020_link" ma:index="15" nillable="true" ma:displayName="File link" ma:description="Link to related file" ma:format="Hyperlink" ma:internalName="File_x0020_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cess xmlns="5efbd90f-7da3-45e4-981c-30c822524f86" xsi:nil="true"/>
    <System xmlns="5efbd90f-7da3-45e4-981c-30c822524f86" xsi:nil="true"/>
    <Client xmlns="5efbd90f-7da3-45e4-981c-30c822524f86" xsi:nil="true"/>
    <Document_x0020_Type xmlns="5efbd90f-7da3-45e4-981c-30c822524f86" xsi:nil="true"/>
    <File_x0020_link xmlns="5efbd90f-7da3-45e4-981c-30c822524f86">
      <Url xsi:nil="true"/>
      <Description xsi:nil="true"/>
    </File_x0020_link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D2EC979-396E-4A46-800B-F7D99DF0D4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fbd90f-7da3-45e4-981c-30c822524f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D5CEC59-3BA6-4AC0-8CC4-18774723FF0E}">
  <ds:schemaRefs>
    <ds:schemaRef ds:uri="http://schemas.microsoft.com/office/2006/metadata/properties"/>
    <ds:schemaRef ds:uri="http://schemas.microsoft.com/office/infopath/2007/PartnerControls"/>
    <ds:schemaRef ds:uri="5efbd90f-7da3-45e4-981c-30c822524f86"/>
  </ds:schemaRefs>
</ds:datastoreItem>
</file>

<file path=customXml/itemProps3.xml><?xml version="1.0" encoding="utf-8"?>
<ds:datastoreItem xmlns:ds="http://schemas.openxmlformats.org/officeDocument/2006/customXml" ds:itemID="{288D369A-4175-44E9-A864-357BC7AB16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CMR</vt:lpstr>
      <vt:lpstr>Blad1</vt:lpstr>
      <vt:lpstr>CMR!Print_Area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Bergjes</dc:creator>
  <cp:keywords/>
  <dc:description/>
  <cp:lastModifiedBy>Gonçalo Latino Candido</cp:lastModifiedBy>
  <cp:revision/>
  <cp:lastPrinted>2026-04-17T17:24:58Z</cp:lastPrinted>
  <dcterms:created xsi:type="dcterms:W3CDTF">2009-08-14T16:35:50Z</dcterms:created>
  <dcterms:modified xsi:type="dcterms:W3CDTF">2026-04-18T12:14:53Z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0x0101009B58DB80311A9B41972280FBD9E4BB17</vt:lpwstr>
  </property>
</Properties>
</file>