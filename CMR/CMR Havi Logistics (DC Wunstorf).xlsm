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Havi/CMR/"/>
    </mc:Choice>
  </mc:AlternateContent>
  <xr:revisionPtr revIDLastSave="669" documentId="8_{2ADBF131-0C47-4AC6-8FBD-2F5ECE47795B}" xr6:coauthVersionLast="47" xr6:coauthVersionMax="47" xr10:uidLastSave="{F6A9C7D7-3E4E-44FD-AD88-10636029FA85}"/>
  <bookViews>
    <workbookView xWindow="-120" yWindow="-120" windowWidth="29040" windowHeight="15720" tabRatio="827" activeTab="1" xr2:uid="{00000000-000D-0000-FFFF-FFFF00000000}"/>
  </bookViews>
  <sheets>
    <sheet name="Invoerveld CMR" sheetId="2" r:id="rId1"/>
    <sheet name="CMR" sheetId="1" r:id="rId2"/>
    <sheet name="GEGEVENS FOOD" sheetId="10" r:id="rId3"/>
    <sheet name="CMR - print Blanco" sheetId="9" r:id="rId4"/>
    <sheet name="Ontvanger" sheetId="7" r:id="rId5"/>
    <sheet name="Afzender" sheetId="3" r:id="rId6"/>
    <sheet name="Vervoerder" sheetId="5" r:id="rId7"/>
    <sheet name="Others" sheetId="6" r:id="rId8"/>
  </sheets>
  <definedNames>
    <definedName name="Afzender">Afzender!$A$2:$A$3</definedName>
    <definedName name="Delivery_terms">Others!$G$2:$G$3</definedName>
    <definedName name="Goederenomschrijving">Others!$E$2:$E$9</definedName>
    <definedName name="Notification">Others!$A$2:$A$100</definedName>
    <definedName name="Ontvanger" localSheetId="6">Vervoerder!$A$2:$A$102</definedName>
    <definedName name="ontvanger">Ontvanger!$A$2:$A$3</definedName>
    <definedName name="ontvanger2">Ontvanger!$A$2:$A$42</definedName>
    <definedName name="PAYABLE">Others!$C$2:$C$3</definedName>
    <definedName name="_xlnm.Print_Area" localSheetId="1">CMR!$A$1:$AF$75</definedName>
    <definedName name="_xlnm.Print_Area" localSheetId="3">'CMR - print Blanco'!$A$1:$AQ$97</definedName>
    <definedName name="Query_van_FOODMAASBREE" localSheetId="2" hidden="1">'GEGEVENS FOOD'!$A$4:$O$332</definedName>
    <definedName name="verpakking">Others!$I$2:$I$5</definedName>
    <definedName name="Vervoerder">Vervoerder!$A$2:$A$12</definedName>
    <definedName name="Z_0FD69B58_EF51_4C18_B4D6_31C971A37616_.wvu.PrintArea" localSheetId="1" hidden="1">CMR!$A$1:$AF$75</definedName>
    <definedName name="Z_0FD69B58_EF51_4C18_B4D6_31C971A37616_.wvu.PrintArea" localSheetId="3" hidden="1">'CMR - print Blanco'!$A$1:$AN$93</definedName>
    <definedName name="Z_5AD85DBA_9152_408A_8DDF_ED51A0D1643C_.wvu.PrintArea" localSheetId="1" hidden="1">CMR!$A$1:$AF$75</definedName>
    <definedName name="Z_5AD85DBA_9152_408A_8DDF_ED51A0D1643C_.wvu.PrintArea" localSheetId="3" hidden="1">'CMR - print Blanco'!$A$1:$AN$93</definedName>
    <definedName name="Z_5EA326BD_F0E0_4501_86FD_55E0C4AA7966_.wvu.PrintArea" localSheetId="1" hidden="1">CMR!$A$1:$AF$75</definedName>
    <definedName name="Z_5EA326BD_F0E0_4501_86FD_55E0C4AA7966_.wvu.PrintArea" localSheetId="3" hidden="1">'CMR - print Blanco'!$A$1:$AN$93</definedName>
    <definedName name="Z_9F043586_0BF8_4ECE_8BAA_2CCCC21889D8_.wvu.PrintArea" localSheetId="1" hidden="1">CMR!$C$1:$AF$75</definedName>
    <definedName name="Z_9F043586_0BF8_4ECE_8BAA_2CCCC21889D8_.wvu.PrintArea" localSheetId="3" hidden="1">'CMR - print Blanco'!$C$1:$AN$93</definedName>
    <definedName name="Z_A48852C1_940B_4F33_BDC4_7FBF2863703E_.wvu.PrintArea" localSheetId="1" hidden="1">CMR!$C$1:$AF$75</definedName>
    <definedName name="Z_A48852C1_940B_4F33_BDC4_7FBF2863703E_.wvu.PrintArea" localSheetId="3" hidden="1">'CMR - print Blanco'!$C$1:$AN$93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8" i="1" l="1"/>
  <c r="N46" i="1" l="1"/>
  <c r="N47" i="1"/>
  <c r="N49" i="1"/>
  <c r="N45" i="1"/>
  <c r="N44" i="1"/>
  <c r="N43" i="1" l="1"/>
  <c r="N50" i="1" s="1"/>
  <c r="F30" i="1"/>
  <c r="C1" i="1"/>
  <c r="G68" i="1"/>
  <c r="C70" i="1"/>
  <c r="P5" i="10" l="1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Q5" i="10"/>
  <c r="B5" i="10" s="1"/>
  <c r="Q6" i="10"/>
  <c r="B6" i="10" s="1"/>
  <c r="Q8" i="10"/>
  <c r="Q10" i="10"/>
  <c r="B10" i="10" s="1"/>
  <c r="Q14" i="10"/>
  <c r="B14" i="10" s="1"/>
  <c r="Q16" i="10"/>
  <c r="Q18" i="10"/>
  <c r="B18" i="10" s="1"/>
  <c r="Q20" i="10"/>
  <c r="B20" i="10" s="1"/>
  <c r="Q25" i="10"/>
  <c r="B25" i="10" s="1"/>
  <c r="Q31" i="10"/>
  <c r="B31" i="10" s="1"/>
  <c r="Q32" i="10"/>
  <c r="B32" i="10" s="1"/>
  <c r="Q33" i="10"/>
  <c r="B33" i="10" s="1"/>
  <c r="Q34" i="10"/>
  <c r="B34" i="10" s="1"/>
  <c r="Q35" i="10"/>
  <c r="B35" i="10" s="1"/>
  <c r="Q37" i="10"/>
  <c r="B37" i="10" s="1"/>
  <c r="Q38" i="10"/>
  <c r="B38" i="10" s="1"/>
  <c r="Q40" i="10"/>
  <c r="B40" i="10" s="1"/>
  <c r="Q43" i="10"/>
  <c r="B43" i="10" s="1"/>
  <c r="Q45" i="10"/>
  <c r="B45" i="10" s="1"/>
  <c r="Q48" i="10"/>
  <c r="B48" i="10" s="1"/>
  <c r="Q49" i="10"/>
  <c r="B49" i="10" s="1"/>
  <c r="Q50" i="10"/>
  <c r="B50" i="10" s="1"/>
  <c r="Q52" i="10"/>
  <c r="B52" i="10" s="1"/>
  <c r="Q53" i="10"/>
  <c r="B53" i="10" s="1"/>
  <c r="Q54" i="10"/>
  <c r="B54" i="10" s="1"/>
  <c r="Q55" i="10"/>
  <c r="B55" i="10" s="1"/>
  <c r="Q56" i="10"/>
  <c r="B56" i="10" s="1"/>
  <c r="Q57" i="10"/>
  <c r="B57" i="10" s="1"/>
  <c r="Q58" i="10"/>
  <c r="B58" i="10" s="1"/>
  <c r="Q59" i="10"/>
  <c r="B59" i="10" s="1"/>
  <c r="Q60" i="10"/>
  <c r="B60" i="10" s="1"/>
  <c r="Q61" i="10"/>
  <c r="B61" i="10" s="1"/>
  <c r="Q62" i="10"/>
  <c r="B62" i="10" s="1"/>
  <c r="Q63" i="10"/>
  <c r="B63" i="10" s="1"/>
  <c r="Q64" i="10"/>
  <c r="B64" i="10" s="1"/>
  <c r="Q65" i="10"/>
  <c r="B65" i="10" s="1"/>
  <c r="Q66" i="10"/>
  <c r="B66" i="10" s="1"/>
  <c r="Q67" i="10"/>
  <c r="B67" i="10" s="1"/>
  <c r="Q68" i="10"/>
  <c r="B68" i="10" s="1"/>
  <c r="Q69" i="10"/>
  <c r="B69" i="10" s="1"/>
  <c r="Q72" i="10"/>
  <c r="B72" i="10" s="1"/>
  <c r="Q74" i="10"/>
  <c r="B74" i="10" s="1"/>
  <c r="Q76" i="10"/>
  <c r="B76" i="10" s="1"/>
  <c r="Q78" i="10"/>
  <c r="B78" i="10" s="1"/>
  <c r="Q81" i="10"/>
  <c r="B81" i="10" s="1"/>
  <c r="Q85" i="10"/>
  <c r="B85" i="10" s="1"/>
  <c r="Q87" i="10"/>
  <c r="B87" i="10" s="1"/>
  <c r="Q89" i="10"/>
  <c r="B89" i="10" s="1"/>
  <c r="Q91" i="10"/>
  <c r="B91" i="10" s="1"/>
  <c r="Q94" i="10"/>
  <c r="B94" i="10" s="1"/>
  <c r="Q96" i="10"/>
  <c r="B96" i="10" s="1"/>
  <c r="Q100" i="10"/>
  <c r="B100" i="10" s="1"/>
  <c r="Q103" i="10"/>
  <c r="B103" i="10" s="1"/>
  <c r="Q109" i="10"/>
  <c r="B109" i="10" s="1"/>
  <c r="Q115" i="10"/>
  <c r="B115" i="10" s="1"/>
  <c r="Q120" i="10"/>
  <c r="B120" i="10" s="1"/>
  <c r="Q122" i="10"/>
  <c r="B122" i="10" s="1"/>
  <c r="Q126" i="10"/>
  <c r="B126" i="10" s="1"/>
  <c r="Q129" i="10"/>
  <c r="B129" i="10" s="1"/>
  <c r="Q134" i="10"/>
  <c r="B134" i="10" s="1"/>
  <c r="Q140" i="10"/>
  <c r="B140" i="10" s="1"/>
  <c r="Q142" i="10"/>
  <c r="B142" i="10" s="1"/>
  <c r="Q143" i="10"/>
  <c r="B143" i="10" s="1"/>
  <c r="Q145" i="10"/>
  <c r="B145" i="10" s="1"/>
  <c r="Q151" i="10"/>
  <c r="B151" i="10" s="1"/>
  <c r="Q153" i="10"/>
  <c r="B153" i="10" s="1"/>
  <c r="Q160" i="10"/>
  <c r="B160" i="10" s="1"/>
  <c r="Q165" i="10"/>
  <c r="B165" i="10" s="1"/>
  <c r="Q167" i="10"/>
  <c r="B167" i="10" s="1"/>
  <c r="Q172" i="10"/>
  <c r="B172" i="10" s="1"/>
  <c r="Q177" i="10"/>
  <c r="B177" i="10" s="1"/>
  <c r="Q181" i="10"/>
  <c r="B181" i="10" s="1"/>
  <c r="Q182" i="10"/>
  <c r="B182" i="10" s="1"/>
  <c r="Q183" i="10"/>
  <c r="B183" i="10" s="1"/>
  <c r="Q184" i="10"/>
  <c r="B184" i="10" s="1"/>
  <c r="Q185" i="10"/>
  <c r="B185" i="10" s="1"/>
  <c r="Q186" i="10"/>
  <c r="B186" i="10" s="1"/>
  <c r="Q187" i="10"/>
  <c r="B187" i="10" s="1"/>
  <c r="Q188" i="10"/>
  <c r="B188" i="10" s="1"/>
  <c r="Q189" i="10"/>
  <c r="B189" i="10" s="1"/>
  <c r="Q190" i="10"/>
  <c r="B190" i="10" s="1"/>
  <c r="Q191" i="10"/>
  <c r="B191" i="10" s="1"/>
  <c r="Q192" i="10"/>
  <c r="B192" i="10" s="1"/>
  <c r="Q193" i="10"/>
  <c r="B193" i="10" s="1"/>
  <c r="Q194" i="10"/>
  <c r="B194" i="10" s="1"/>
  <c r="Q195" i="10"/>
  <c r="B195" i="10" s="1"/>
  <c r="Q197" i="10"/>
  <c r="B197" i="10" s="1"/>
  <c r="Q198" i="10"/>
  <c r="B198" i="10" s="1"/>
  <c r="Q199" i="10"/>
  <c r="B199" i="10" s="1"/>
  <c r="Q200" i="10"/>
  <c r="B200" i="10" s="1"/>
  <c r="Q201" i="10"/>
  <c r="B201" i="10" s="1"/>
  <c r="Q202" i="10"/>
  <c r="B202" i="10" s="1"/>
  <c r="Q203" i="10"/>
  <c r="B203" i="10" s="1"/>
  <c r="Q205" i="10"/>
  <c r="B205" i="10" s="1"/>
  <c r="Q207" i="10"/>
  <c r="B207" i="10" s="1"/>
  <c r="Q208" i="10"/>
  <c r="B208" i="10" s="1"/>
  <c r="Q209" i="10"/>
  <c r="B209" i="10" s="1"/>
  <c r="Q210" i="10"/>
  <c r="B210" i="10" s="1"/>
  <c r="Q211" i="10"/>
  <c r="B211" i="10" s="1"/>
  <c r="Q212" i="10"/>
  <c r="B212" i="10" s="1"/>
  <c r="Q213" i="10"/>
  <c r="B213" i="10" s="1"/>
  <c r="Q214" i="10"/>
  <c r="B214" i="10" s="1"/>
  <c r="Q216" i="10"/>
  <c r="B216" i="10" s="1"/>
  <c r="Q218" i="10"/>
  <c r="B218" i="10" s="1"/>
  <c r="Q221" i="10"/>
  <c r="B221" i="10" s="1"/>
  <c r="Q225" i="10"/>
  <c r="B225" i="10" s="1"/>
  <c r="Q228" i="10"/>
  <c r="B228" i="10" s="1"/>
  <c r="Q230" i="10"/>
  <c r="B230" i="10" s="1"/>
  <c r="Q231" i="10"/>
  <c r="B231" i="10" s="1"/>
  <c r="Q233" i="10"/>
  <c r="B233" i="10" s="1"/>
  <c r="Q235" i="10"/>
  <c r="B235" i="10" s="1"/>
  <c r="Q237" i="10"/>
  <c r="B237" i="10" s="1"/>
  <c r="Q242" i="10"/>
  <c r="B242" i="10" s="1"/>
  <c r="Q246" i="10"/>
  <c r="B246" i="10" s="1"/>
  <c r="Q249" i="10"/>
  <c r="B249" i="10" s="1"/>
  <c r="Q252" i="10"/>
  <c r="B252" i="10" s="1"/>
  <c r="Q254" i="10"/>
  <c r="B254" i="10" s="1"/>
  <c r="Q257" i="10"/>
  <c r="B257" i="10" s="1"/>
  <c r="Q261" i="10"/>
  <c r="B261" i="10" s="1"/>
  <c r="Q264" i="10"/>
  <c r="B264" i="10" s="1"/>
  <c r="Q268" i="10"/>
  <c r="B268" i="10" s="1"/>
  <c r="Q271" i="10"/>
  <c r="B271" i="10" s="1"/>
  <c r="Q272" i="10"/>
  <c r="B272" i="10" s="1"/>
  <c r="Q274" i="10"/>
  <c r="B274" i="10" s="1"/>
  <c r="Q277" i="10"/>
  <c r="B277" i="10" s="1"/>
  <c r="Q281" i="10"/>
  <c r="B281" i="10" s="1"/>
  <c r="Q283" i="10"/>
  <c r="B283" i="10" s="1"/>
  <c r="Q285" i="10"/>
  <c r="B285" i="10" s="1"/>
  <c r="Q286" i="10"/>
  <c r="B286" i="10" s="1"/>
  <c r="Q288" i="10"/>
  <c r="B288" i="10" s="1"/>
  <c r="Q289" i="10"/>
  <c r="B289" i="10" s="1"/>
  <c r="Q292" i="10"/>
  <c r="B292" i="10" s="1"/>
  <c r="Q295" i="10"/>
  <c r="B295" i="10" s="1"/>
  <c r="Q298" i="10"/>
  <c r="B298" i="10" s="1"/>
  <c r="Q301" i="10"/>
  <c r="B301" i="10" s="1"/>
  <c r="Q304" i="10"/>
  <c r="B304" i="10" s="1"/>
  <c r="Q308" i="10"/>
  <c r="B308" i="10" s="1"/>
  <c r="Q309" i="10"/>
  <c r="B309" i="10" s="1"/>
  <c r="Q310" i="10"/>
  <c r="B310" i="10" s="1"/>
  <c r="Q311" i="10"/>
  <c r="B311" i="10" s="1"/>
  <c r="Q313" i="10"/>
  <c r="B313" i="10" s="1"/>
  <c r="Q315" i="10"/>
  <c r="B315" i="10" s="1"/>
  <c r="Q317" i="10"/>
  <c r="B317" i="10" s="1"/>
  <c r="Q321" i="10"/>
  <c r="B321" i="10" s="1"/>
  <c r="Q324" i="10"/>
  <c r="B324" i="10" s="1"/>
  <c r="Q326" i="10"/>
  <c r="B326" i="10" s="1"/>
  <c r="Q329" i="10"/>
  <c r="B329" i="10" s="1"/>
  <c r="Q97" i="10" l="1"/>
  <c r="B97" i="10" s="1"/>
  <c r="Q258" i="10"/>
  <c r="B258" i="10" s="1"/>
  <c r="Q229" i="10"/>
  <c r="B229" i="10" s="1"/>
  <c r="Q173" i="10"/>
  <c r="B173" i="10" s="1"/>
  <c r="Q90" i="10"/>
  <c r="B90" i="10" s="1"/>
  <c r="Q330" i="10"/>
  <c r="B330" i="10" s="1"/>
  <c r="Q305" i="10"/>
  <c r="B305" i="10" s="1"/>
  <c r="Q282" i="10"/>
  <c r="B282" i="10" s="1"/>
  <c r="Q217" i="10"/>
  <c r="B217" i="10" s="1"/>
  <c r="Q269" i="10"/>
  <c r="B269" i="10" s="1"/>
  <c r="Q110" i="10"/>
  <c r="B110" i="10" s="1"/>
  <c r="Q82" i="10"/>
  <c r="B82" i="10" s="1"/>
  <c r="Q206" i="10"/>
  <c r="B206" i="10" s="1"/>
  <c r="Q178" i="10"/>
  <c r="B178" i="10" s="1"/>
  <c r="Q302" i="10"/>
  <c r="B302" i="10" s="1"/>
  <c r="Q11" i="10"/>
  <c r="B11" i="10" s="1"/>
  <c r="Q273" i="10"/>
  <c r="B273" i="10" s="1"/>
  <c r="Q234" i="10"/>
  <c r="B234" i="10" s="1"/>
  <c r="Q101" i="10"/>
  <c r="B101" i="10" s="1"/>
  <c r="Q325" i="10"/>
  <c r="B325" i="10" s="1"/>
  <c r="Q222" i="10"/>
  <c r="B222" i="10" s="1"/>
  <c r="Q130" i="10"/>
  <c r="B130" i="10" s="1"/>
  <c r="Q77" i="10"/>
  <c r="B77" i="10" s="1"/>
  <c r="Q26" i="10"/>
  <c r="B26" i="10" s="1"/>
  <c r="Q322" i="10"/>
  <c r="B322" i="10" s="1"/>
  <c r="Q293" i="10"/>
  <c r="Q265" i="10"/>
  <c r="Q253" i="10"/>
  <c r="B253" i="10" s="1"/>
  <c r="Q238" i="10"/>
  <c r="B238" i="10" s="1"/>
  <c r="Q161" i="10"/>
  <c r="Q318" i="10"/>
  <c r="B318" i="10" s="1"/>
  <c r="Q250" i="10"/>
  <c r="B250" i="10" s="1"/>
  <c r="Q154" i="10"/>
  <c r="B154" i="10" s="1"/>
  <c r="Q121" i="10"/>
  <c r="B121" i="10" s="1"/>
  <c r="Q70" i="10"/>
  <c r="B70" i="10" s="1"/>
  <c r="Q7" i="10"/>
  <c r="B7" i="10" s="1"/>
  <c r="Q314" i="10"/>
  <c r="B314" i="10" s="1"/>
  <c r="Q290" i="10"/>
  <c r="B290" i="10" s="1"/>
  <c r="Q278" i="10"/>
  <c r="B278" i="10" s="1"/>
  <c r="Q262" i="10"/>
  <c r="B262" i="10" s="1"/>
  <c r="Q226" i="10"/>
  <c r="B226" i="10" s="1"/>
  <c r="Q166" i="10"/>
  <c r="B166" i="10" s="1"/>
  <c r="Q146" i="10"/>
  <c r="B146" i="10" s="1"/>
  <c r="Q141" i="10"/>
  <c r="B141" i="10" s="1"/>
  <c r="Q86" i="10"/>
  <c r="B86" i="10" s="1"/>
  <c r="Q73" i="10"/>
  <c r="B73" i="10" s="1"/>
  <c r="Q46" i="10"/>
  <c r="B46" i="10" s="1"/>
  <c r="Q41" i="10"/>
  <c r="Q21" i="10"/>
  <c r="Q15" i="10"/>
  <c r="B15" i="10" s="1"/>
  <c r="Q327" i="10"/>
  <c r="Q299" i="10"/>
  <c r="Q287" i="10"/>
  <c r="B287" i="10" s="1"/>
  <c r="Q275" i="10"/>
  <c r="Q255" i="10"/>
  <c r="Q247" i="10"/>
  <c r="Q243" i="10"/>
  <c r="Q219" i="10"/>
  <c r="Q215" i="10"/>
  <c r="B215" i="10" s="1"/>
  <c r="Q135" i="10"/>
  <c r="Q127" i="10"/>
  <c r="Q123" i="10"/>
  <c r="Q95" i="10"/>
  <c r="B95" i="10" s="1"/>
  <c r="Q79" i="10"/>
  <c r="Q75" i="10"/>
  <c r="B75" i="10" s="1"/>
  <c r="Q51" i="10"/>
  <c r="B51" i="10" s="1"/>
  <c r="Q39" i="10"/>
  <c r="B39" i="10" s="1"/>
  <c r="Q19" i="10"/>
  <c r="B19" i="10" s="1"/>
  <c r="Q9" i="10"/>
  <c r="B9" i="10" s="1"/>
  <c r="B8" i="10"/>
  <c r="Q17" i="10"/>
  <c r="B17" i="10" s="1"/>
  <c r="B16" i="10"/>
  <c r="Q316" i="10"/>
  <c r="B316" i="10" s="1"/>
  <c r="Q312" i="10"/>
  <c r="B312" i="10" s="1"/>
  <c r="Q296" i="10"/>
  <c r="Q284" i="10"/>
  <c r="B284" i="10" s="1"/>
  <c r="Q236" i="10"/>
  <c r="B236" i="10" s="1"/>
  <c r="Q232" i="10"/>
  <c r="B232" i="10" s="1"/>
  <c r="Q204" i="10"/>
  <c r="B204" i="10" s="1"/>
  <c r="Q196" i="10"/>
  <c r="B196" i="10" s="1"/>
  <c r="Q168" i="10"/>
  <c r="Q152" i="10"/>
  <c r="B152" i="10" s="1"/>
  <c r="Q144" i="10"/>
  <c r="B144" i="10" s="1"/>
  <c r="Q116" i="10"/>
  <c r="Q104" i="10"/>
  <c r="Q92" i="10"/>
  <c r="Q88" i="10"/>
  <c r="B88" i="10" s="1"/>
  <c r="Q44" i="10"/>
  <c r="B44" i="10" s="1"/>
  <c r="Q36" i="10"/>
  <c r="B36" i="10" s="1"/>
  <c r="Q259" i="10" l="1"/>
  <c r="B259" i="10" s="1"/>
  <c r="Q98" i="10"/>
  <c r="B98" i="10" s="1"/>
  <c r="Q306" i="10"/>
  <c r="B306" i="10" s="1"/>
  <c r="Q331" i="10"/>
  <c r="B331" i="10" s="1"/>
  <c r="Q111" i="10"/>
  <c r="B111" i="10" s="1"/>
  <c r="Q319" i="10"/>
  <c r="B319" i="10" s="1"/>
  <c r="Q83" i="10"/>
  <c r="B83" i="10" s="1"/>
  <c r="Q270" i="10"/>
  <c r="B270" i="10" s="1"/>
  <c r="Q223" i="10"/>
  <c r="B223" i="10" s="1"/>
  <c r="Q174" i="10"/>
  <c r="B174" i="10" s="1"/>
  <c r="Q227" i="10"/>
  <c r="B227" i="10" s="1"/>
  <c r="Q179" i="10"/>
  <c r="B179" i="10" s="1"/>
  <c r="Q47" i="10"/>
  <c r="B47" i="10" s="1"/>
  <c r="Q71" i="10"/>
  <c r="B71" i="10" s="1"/>
  <c r="Q12" i="10"/>
  <c r="Q303" i="10"/>
  <c r="B303" i="10" s="1"/>
  <c r="Q323" i="10"/>
  <c r="B323" i="10" s="1"/>
  <c r="Q239" i="10"/>
  <c r="Q240" i="10" s="1"/>
  <c r="Q102" i="10"/>
  <c r="B102" i="10" s="1"/>
  <c r="Q251" i="10"/>
  <c r="B251" i="10" s="1"/>
  <c r="Q131" i="10"/>
  <c r="Q132" i="10" s="1"/>
  <c r="Q279" i="10"/>
  <c r="B279" i="10" s="1"/>
  <c r="B265" i="10"/>
  <c r="Q266" i="10"/>
  <c r="B293" i="10"/>
  <c r="Q294" i="10"/>
  <c r="B294" i="10" s="1"/>
  <c r="Q27" i="10"/>
  <c r="Q28" i="10" s="1"/>
  <c r="Q147" i="10"/>
  <c r="Q148" i="10" s="1"/>
  <c r="Q155" i="10"/>
  <c r="B155" i="10" s="1"/>
  <c r="B161" i="10"/>
  <c r="Q162" i="10"/>
  <c r="Q291" i="10"/>
  <c r="B291" i="10" s="1"/>
  <c r="B21" i="10"/>
  <c r="Q22" i="10"/>
  <c r="B41" i="10"/>
  <c r="Q42" i="10"/>
  <c r="B42" i="10" s="1"/>
  <c r="Q263" i="10"/>
  <c r="B263" i="10" s="1"/>
  <c r="B116" i="10"/>
  <c r="Q117" i="10"/>
  <c r="B104" i="10"/>
  <c r="Q105" i="10"/>
  <c r="B168" i="10"/>
  <c r="Q169" i="10"/>
  <c r="B123" i="10"/>
  <c r="Q124" i="10"/>
  <c r="B127" i="10"/>
  <c r="Q128" i="10"/>
  <c r="B128" i="10" s="1"/>
  <c r="B255" i="10"/>
  <c r="Q256" i="10"/>
  <c r="B256" i="10" s="1"/>
  <c r="B275" i="10"/>
  <c r="Q276" i="10"/>
  <c r="B276" i="10" s="1"/>
  <c r="B299" i="10"/>
  <c r="Q300" i="10"/>
  <c r="B300" i="10" s="1"/>
  <c r="B296" i="10"/>
  <c r="Q297" i="10"/>
  <c r="B297" i="10" s="1"/>
  <c r="B219" i="10"/>
  <c r="Q220" i="10"/>
  <c r="B220" i="10" s="1"/>
  <c r="B243" i="10"/>
  <c r="Q244" i="10"/>
  <c r="B327" i="10"/>
  <c r="Q328" i="10"/>
  <c r="B328" i="10" s="1"/>
  <c r="B92" i="10"/>
  <c r="Q93" i="10"/>
  <c r="B93" i="10" s="1"/>
  <c r="B79" i="10"/>
  <c r="Q80" i="10"/>
  <c r="B80" i="10" s="1"/>
  <c r="B135" i="10"/>
  <c r="Q136" i="10"/>
  <c r="B247" i="10"/>
  <c r="Q248" i="10"/>
  <c r="B248" i="10" s="1"/>
  <c r="F2" i="2"/>
  <c r="Q112" i="10" l="1"/>
  <c r="B112" i="10" s="1"/>
  <c r="Q332" i="10"/>
  <c r="B332" i="10" s="1"/>
  <c r="Q307" i="10"/>
  <c r="B307" i="10" s="1"/>
  <c r="Q180" i="10"/>
  <c r="B180" i="10" s="1"/>
  <c r="Q99" i="10"/>
  <c r="B99" i="10" s="1"/>
  <c r="Q280" i="10"/>
  <c r="B280" i="10" s="1"/>
  <c r="Q260" i="10"/>
  <c r="B260" i="10" s="1"/>
  <c r="Q320" i="10"/>
  <c r="B320" i="10" s="1"/>
  <c r="Q175" i="10"/>
  <c r="Q176" i="10" s="1"/>
  <c r="B176" i="10" s="1"/>
  <c r="Q84" i="10"/>
  <c r="B84" i="10" s="1"/>
  <c r="B239" i="10"/>
  <c r="B147" i="10"/>
  <c r="Q224" i="10"/>
  <c r="B224" i="10" s="1"/>
  <c r="B131" i="10"/>
  <c r="B12" i="10"/>
  <c r="Q13" i="10"/>
  <c r="B13" i="10" s="1"/>
  <c r="Q156" i="10"/>
  <c r="Q157" i="10" s="1"/>
  <c r="B27" i="10"/>
  <c r="B162" i="10"/>
  <c r="Q163" i="10"/>
  <c r="B266" i="10"/>
  <c r="Q267" i="10"/>
  <c r="B267" i="10" s="1"/>
  <c r="B22" i="10"/>
  <c r="Q23" i="10"/>
  <c r="B136" i="10"/>
  <c r="Q137" i="10"/>
  <c r="B132" i="10"/>
  <c r="Q133" i="10"/>
  <c r="B133" i="10" s="1"/>
  <c r="B28" i="10"/>
  <c r="Q29" i="10"/>
  <c r="B124" i="10"/>
  <c r="Q125" i="10"/>
  <c r="B125" i="10" s="1"/>
  <c r="B105" i="10"/>
  <c r="Q106" i="10"/>
  <c r="B244" i="10"/>
  <c r="Q245" i="10"/>
  <c r="B245" i="10" s="1"/>
  <c r="B240" i="10"/>
  <c r="Q241" i="10"/>
  <c r="B241" i="10" s="1"/>
  <c r="B148" i="10"/>
  <c r="Q149" i="10"/>
  <c r="B169" i="10"/>
  <c r="Q170" i="10"/>
  <c r="B117" i="10"/>
  <c r="Q118" i="10"/>
  <c r="W21" i="1"/>
  <c r="AF26" i="1"/>
  <c r="AF28" i="1"/>
  <c r="AA31" i="1"/>
  <c r="AA34" i="1"/>
  <c r="C39" i="1"/>
  <c r="J55" i="1"/>
  <c r="D4" i="9"/>
  <c r="D27" i="9"/>
  <c r="AI27" i="9"/>
  <c r="AD30" i="9"/>
  <c r="D32" i="9"/>
  <c r="AD32" i="9"/>
  <c r="D37" i="9"/>
  <c r="D38" i="9"/>
  <c r="D39" i="9"/>
  <c r="D40" i="9"/>
  <c r="AP40" i="9"/>
  <c r="D43" i="9"/>
  <c r="D44" i="9"/>
  <c r="D45" i="9"/>
  <c r="D46" i="9"/>
  <c r="D47" i="9"/>
  <c r="D48" i="9"/>
  <c r="D49" i="9"/>
  <c r="D50" i="9"/>
  <c r="M58" i="9"/>
  <c r="M60" i="9"/>
  <c r="N81" i="9"/>
  <c r="D87" i="9"/>
  <c r="T93" i="9"/>
  <c r="Q113" i="10" l="1"/>
  <c r="B113" i="10" s="1"/>
  <c r="B156" i="10"/>
  <c r="B175" i="10"/>
  <c r="B163" i="10"/>
  <c r="Q164" i="10"/>
  <c r="B164" i="10" s="1"/>
  <c r="B23" i="10"/>
  <c r="Q24" i="10"/>
  <c r="B24" i="10" s="1"/>
  <c r="B118" i="10"/>
  <c r="Q119" i="10"/>
  <c r="B119" i="10" s="1"/>
  <c r="B149" i="10"/>
  <c r="Q150" i="10"/>
  <c r="B150" i="10" s="1"/>
  <c r="B106" i="10"/>
  <c r="Q107" i="10"/>
  <c r="B29" i="10"/>
  <c r="Q30" i="10"/>
  <c r="B30" i="10" s="1"/>
  <c r="B170" i="10"/>
  <c r="Q171" i="10"/>
  <c r="B171" i="10" s="1"/>
  <c r="B157" i="10"/>
  <c r="Q158" i="10"/>
  <c r="B137" i="10"/>
  <c r="Q138" i="10"/>
  <c r="Q114" i="10" l="1"/>
  <c r="B114" i="10" s="1"/>
  <c r="B138" i="10"/>
  <c r="Q139" i="10"/>
  <c r="B139" i="10" s="1"/>
  <c r="B158" i="10"/>
  <c r="Q159" i="10"/>
  <c r="B159" i="10" s="1"/>
  <c r="B107" i="10"/>
  <c r="Q108" i="10"/>
  <c r="B10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van FOODMAASBREE" type="1" refreshedVersion="4" background="1" saveData="1">
    <dbPr connection="DSN=FOODMAASBREE;" command="SELECT PEMB61.BONN61, PEMB61.DEBN61, PDEB01.NAAS01, PDEB01.ADRS01, PDEB01.PSTK01, PDEB01.WNPL01, PDEB01.TRAN01, PALG03_1.OMSC03, PEMB61.EMBA61, PALG03.OMSC03, Sum(PEMB61.AEMB61), PEMB61.EXTN61, PEMB61.KOHR61, PEMB61.REDT61_x000d__x000a_FROM IASP1.FOODHELM.PALG03 PALG03, IASP1.FOODHELM.PALG03 PALG03_1, IASP1.FOODHELM.PDEB01 PDEB01, IASP1.FOODHELM.PEMB61 PEMB61_x000d__x000a_WHERE PDEB01.DEBN01 = PEMB61.DEBN61 AND PALG03.NUMM03 = PEMB61.EMBA61 AND PALG03_1.NUMM03 = PDEB01.TRAN01 AND ((PALG03.KEUS03=16))_x000d__x000a_GROUP BY PEMB61.BONN61, PEMB61.DEBN61, PDEB01.NAAS01, PDEB01.ADRS01, PDEB01.PSTK01, PDEB01.WNPL01, PDEB01.TRAN01, PALG03_1.OMSC03, PEMB61.EMBA61, PALG03.OMSC03, PEMB61.EXTN61, PEMB61.KOHR61, PEMB61.REDT61, PALG03_1.KEUS03_x000d__x000a_HAVING (PEMB61.REDT61&gt;=date(now())) AND (PALG03_1.KEUS03=12)_x000d__x000a_ORDER BY PEMB61.BONN61"/>
  </connection>
</connections>
</file>

<file path=xl/sharedStrings.xml><?xml version="1.0" encoding="utf-8"?>
<sst xmlns="http://schemas.openxmlformats.org/spreadsheetml/2006/main" count="2564" uniqueCount="474">
  <si>
    <t xml:space="preserve">Heinz Funken GmbH &amp;Co KG                </t>
  </si>
  <si>
    <t xml:space="preserve">Industriering  Ost 91                   </t>
  </si>
  <si>
    <t xml:space="preserve">KEMPEN                   </t>
  </si>
  <si>
    <t xml:space="preserve">Java Bvba                               </t>
  </si>
  <si>
    <t xml:space="preserve">Wingepark 10                            </t>
  </si>
  <si>
    <t xml:space="preserve">ROTSELAAR                </t>
  </si>
  <si>
    <t xml:space="preserve">B-3110      </t>
  </si>
  <si>
    <t xml:space="preserve">KRAFTVERKEHR NAGEL GmbH Co KG           </t>
  </si>
  <si>
    <t xml:space="preserve">ERNST ABBE STRASSE 22                   </t>
  </si>
  <si>
    <t xml:space="preserve">ESCHWEILER               </t>
  </si>
  <si>
    <t xml:space="preserve">D-52249     </t>
  </si>
  <si>
    <t>Elisabethaan 143</t>
  </si>
  <si>
    <t>Ninove</t>
  </si>
  <si>
    <t xml:space="preserve">LUXEMBOURG               </t>
  </si>
  <si>
    <t>LSG SKY CHEFS NV</t>
  </si>
  <si>
    <t>Aeroport de Luxembourg</t>
  </si>
  <si>
    <t xml:space="preserve">NIJVERHEIDSSTRAAT 50                    </t>
  </si>
  <si>
    <t xml:space="preserve">OEVEL                    </t>
  </si>
  <si>
    <t xml:space="preserve">SPIERS NV                               </t>
  </si>
  <si>
    <t>STEF-TFE Benelux</t>
  </si>
  <si>
    <t>Avenue Zenobe Gramme 23</t>
  </si>
  <si>
    <t>Saintes</t>
  </si>
  <si>
    <t>Trendy Food Belgium</t>
  </si>
  <si>
    <t xml:space="preserve">SCHURHOVENSTRAAT 1014                   </t>
  </si>
  <si>
    <t xml:space="preserve">SINT TRUIDEN             </t>
  </si>
  <si>
    <t xml:space="preserve">Rijksweg 1                              </t>
  </si>
  <si>
    <t xml:space="preserve">Puurs                    </t>
  </si>
  <si>
    <t xml:space="preserve">VAN GROOTLOON                           </t>
  </si>
  <si>
    <t>Deli XL Flanders For Thuin</t>
  </si>
  <si>
    <t>GATE GOURMET BELGIUM</t>
  </si>
  <si>
    <t>Zaventem</t>
  </si>
  <si>
    <t>Brussel National Airport Gebouw 53</t>
  </si>
  <si>
    <t>Auto Grill</t>
  </si>
  <si>
    <t>Trendy Food Luxembourg</t>
  </si>
  <si>
    <t>Luxair Catering</t>
  </si>
  <si>
    <t>Food Invest NV</t>
  </si>
  <si>
    <t xml:space="preserve">La Lorraine </t>
  </si>
  <si>
    <t>AFZENDER</t>
  </si>
  <si>
    <t>DELIVERY TERMS:</t>
  </si>
  <si>
    <t>NAAM</t>
  </si>
  <si>
    <t>PLAATS</t>
  </si>
  <si>
    <t>VERVOERDER</t>
  </si>
  <si>
    <t>FREIGHT PAYABLE AT DESTINATION</t>
  </si>
  <si>
    <t>Afzender:</t>
  </si>
  <si>
    <r>
      <t>1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</si>
  <si>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r>
      <t>2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</si>
  <si>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Truck / trailer Nr:</t>
  </si>
  <si>
    <t>Nationaliteit truck:</t>
  </si>
  <si>
    <t>Time of arrival:</t>
  </si>
  <si>
    <t>Documenten:</t>
  </si>
  <si>
    <t>Shipment details</t>
  </si>
  <si>
    <t>Zendingsnummer:</t>
  </si>
  <si>
    <t>Aantal colli:</t>
  </si>
  <si>
    <t>Wijze van verpakking:</t>
  </si>
  <si>
    <t>Bruto gewicht:</t>
  </si>
  <si>
    <t>Goederenregel 1</t>
  </si>
  <si>
    <t>Goederenregel 2</t>
  </si>
  <si>
    <t>Goederenregel 3</t>
  </si>
  <si>
    <t>Goederenregel 4</t>
  </si>
  <si>
    <t>Goederenregel 5</t>
  </si>
  <si>
    <t>Time of depature:</t>
  </si>
  <si>
    <t>VAT Nr:</t>
  </si>
  <si>
    <t>Invoice Nr:</t>
  </si>
  <si>
    <t>Loodje(s) Nr(s):</t>
  </si>
  <si>
    <t>Volume:</t>
  </si>
  <si>
    <t>Goods</t>
  </si>
  <si>
    <t>NOTIFY:</t>
  </si>
  <si>
    <t>FREIGHT PAYABLE AT DEPARTURE</t>
  </si>
  <si>
    <t>Goederen omschrijving:</t>
  </si>
  <si>
    <t>Delivery Terms 1:</t>
  </si>
  <si>
    <t>Delivery Terms 2:</t>
  </si>
  <si>
    <t>FREIGHT PAYABLE:</t>
  </si>
  <si>
    <t>GOEDERENOMSCHRIJVING:</t>
  </si>
  <si>
    <t>FRANCO</t>
  </si>
  <si>
    <t>NON FRANCO</t>
  </si>
  <si>
    <t>VERPAKKING</t>
  </si>
  <si>
    <t>Aantal packages:</t>
  </si>
  <si>
    <t>Document2:</t>
  </si>
  <si>
    <t>Document1:</t>
  </si>
  <si>
    <t>Delivery note</t>
  </si>
  <si>
    <t>Customer name</t>
  </si>
  <si>
    <t>Vers Express</t>
  </si>
  <si>
    <t>Vers Express
Eindhoven
the Netherlands</t>
  </si>
  <si>
    <t>HTB</t>
  </si>
  <si>
    <t>HTB
the Netherlands</t>
  </si>
  <si>
    <t>FRESH CUT FRUIT</t>
  </si>
  <si>
    <t>PALLETS &amp; CRATES</t>
  </si>
  <si>
    <t>Department:</t>
  </si>
  <si>
    <t>Zendingsnr.:</t>
  </si>
  <si>
    <t>Maasbree</t>
  </si>
  <si>
    <t>Cust#</t>
  </si>
  <si>
    <t>Alpha Name</t>
  </si>
  <si>
    <t>Address Line 1</t>
  </si>
  <si>
    <t>City</t>
  </si>
  <si>
    <t>Zip Code</t>
  </si>
  <si>
    <t xml:space="preserve">Blue Pepper                             </t>
  </si>
  <si>
    <t xml:space="preserve">CACTUS CAFRUTA S.A. LU                  </t>
  </si>
  <si>
    <t>EURO-PALLET</t>
  </si>
  <si>
    <t>POOL-PALLET</t>
  </si>
  <si>
    <t>Mooy Logistics
the Netherlands</t>
  </si>
  <si>
    <t xml:space="preserve">CARREFOUR NIVELLES                      </t>
  </si>
  <si>
    <t xml:space="preserve">CARREFOUR SINT KATELIJNE WAVER          </t>
  </si>
  <si>
    <t xml:space="preserve">DREVENDAAL 3                            </t>
  </si>
  <si>
    <t xml:space="preserve">SINT KATELIJNE WAVER     </t>
  </si>
  <si>
    <t xml:space="preserve">B-2860      </t>
  </si>
  <si>
    <t xml:space="preserve">Conway Temse                            </t>
  </si>
  <si>
    <t xml:space="preserve">Zwaluwbeek 6                            </t>
  </si>
  <si>
    <t xml:space="preserve">BEVEREN-WAAS MELSELE     </t>
  </si>
  <si>
    <t xml:space="preserve">B-9120      </t>
  </si>
  <si>
    <t xml:space="preserve">DELIXL HELMOND                          </t>
  </si>
  <si>
    <t xml:space="preserve">KORENDIJK 16                            </t>
  </si>
  <si>
    <t xml:space="preserve">HELMOND                  </t>
  </si>
  <si>
    <t xml:space="preserve">5704 RD     </t>
  </si>
  <si>
    <t xml:space="preserve">DeliXl RVC Amsterdam                    </t>
  </si>
  <si>
    <t xml:space="preserve">Jan van Galenstraat 4                   </t>
  </si>
  <si>
    <t xml:space="preserve">AMSTERDAM                </t>
  </si>
  <si>
    <t xml:space="preserve">1051 KM     </t>
  </si>
  <si>
    <t xml:space="preserve">DeliXL RVC Meppel                       </t>
  </si>
  <si>
    <t xml:space="preserve">DELIXL SCHIEDAM                         </t>
  </si>
  <si>
    <t>Datum ophaling</t>
  </si>
  <si>
    <t>Mooy</t>
  </si>
  <si>
    <t>Dachser</t>
  </si>
  <si>
    <t>Dachser
Germany</t>
  </si>
  <si>
    <t>PLASTIC PALLET</t>
  </si>
  <si>
    <t>EPS-LOW</t>
  </si>
  <si>
    <t>EPS-MEDIUM</t>
  </si>
  <si>
    <t>EPS-HIGH</t>
  </si>
  <si>
    <t>GREEN-LOW</t>
  </si>
  <si>
    <t>GREEN-HIGH</t>
  </si>
  <si>
    <t xml:space="preserve">Leuvensesteenweg 326B                   </t>
  </si>
  <si>
    <t>Sint-Stevens-Woluwe</t>
  </si>
  <si>
    <t xml:space="preserve">SINT STEVENS WOLUWE      </t>
  </si>
  <si>
    <t xml:space="preserve">B-1932      </t>
  </si>
  <si>
    <t xml:space="preserve">Route d Arlon 36                        </t>
  </si>
  <si>
    <t xml:space="preserve">Bertrange                </t>
  </si>
  <si>
    <t xml:space="preserve">L-8005      </t>
  </si>
  <si>
    <t xml:space="preserve">RUE DE L INDUSTRIE 21                   </t>
  </si>
  <si>
    <t xml:space="preserve">NIVELLES                 </t>
  </si>
  <si>
    <t xml:space="preserve">B-1400      </t>
  </si>
  <si>
    <t xml:space="preserve">Rijnkaai 37                             </t>
  </si>
  <si>
    <t xml:space="preserve">Laagstraat 63                           </t>
  </si>
  <si>
    <t xml:space="preserve">TEMSE                    </t>
  </si>
  <si>
    <t xml:space="preserve">B-9140      </t>
  </si>
  <si>
    <t>Avenue Deli XL 1</t>
  </si>
  <si>
    <t>THUIN</t>
  </si>
  <si>
    <t xml:space="preserve">Industrieweg 14                         </t>
  </si>
  <si>
    <t xml:space="preserve">ROGAT                    </t>
  </si>
  <si>
    <t xml:space="preserve">7949 AK     </t>
  </si>
  <si>
    <t xml:space="preserve">S GRAVENLANDSEWEG 391                   </t>
  </si>
  <si>
    <t xml:space="preserve">SCHIEDAM                 </t>
  </si>
  <si>
    <t xml:space="preserve">3125 BJ     </t>
  </si>
  <si>
    <t xml:space="preserve">Droessaert N V                          </t>
  </si>
  <si>
    <t>Venhof 4</t>
  </si>
  <si>
    <t>Wijnegem</t>
  </si>
  <si>
    <t xml:space="preserve">Rijksweg 6 </t>
  </si>
  <si>
    <t>BORNEM</t>
  </si>
  <si>
    <t>Belgium</t>
  </si>
  <si>
    <t xml:space="preserve">FRESH CONVENIENCE                       </t>
  </si>
  <si>
    <t xml:space="preserve">Antwerp                  </t>
  </si>
  <si>
    <t>Heidestraat 32</t>
  </si>
  <si>
    <t>REMITRANS</t>
  </si>
  <si>
    <t>Pamelstraat oost 412A</t>
  </si>
  <si>
    <t>NINOVE</t>
  </si>
  <si>
    <t>Chiquita Puurs</t>
  </si>
  <si>
    <t xml:space="preserve">Rijksweg 1                       </t>
  </si>
  <si>
    <t xml:space="preserve">Puurs              </t>
  </si>
  <si>
    <t xml:space="preserve">Deli XL Flanders Kruibeke                </t>
  </si>
  <si>
    <t xml:space="preserve">Ben Fresh En Of De Pelsmaeker      </t>
  </si>
  <si>
    <t>Pride/Tbwa</t>
  </si>
  <si>
    <t>Kroonlaan 165</t>
  </si>
  <si>
    <t>Brussel</t>
  </si>
  <si>
    <t xml:space="preserve">Allround Transport </t>
  </si>
  <si>
    <t>Allround Transport BV              the Netherlands</t>
  </si>
  <si>
    <t>Havi Mcdonalds SK</t>
  </si>
  <si>
    <t>Havi Mcdonalds SRO</t>
  </si>
  <si>
    <t>Vasickova 125</t>
  </si>
  <si>
    <t>Kladno</t>
  </si>
  <si>
    <t>Abels</t>
  </si>
  <si>
    <t>justus von liebig strt 2</t>
  </si>
  <si>
    <t>Bonn</t>
  </si>
  <si>
    <t>Hessing Supervers Maasbree</t>
  </si>
  <si>
    <t>BONN61</t>
  </si>
  <si>
    <t>DEBN61</t>
  </si>
  <si>
    <t>NAAS01</t>
  </si>
  <si>
    <t>ADRS01</t>
  </si>
  <si>
    <t>PSTK01</t>
  </si>
  <si>
    <t>WNPL01</t>
  </si>
  <si>
    <t>TRAN01</t>
  </si>
  <si>
    <t>OMSC03</t>
  </si>
  <si>
    <t>EMBA61</t>
  </si>
  <si>
    <t>00011</t>
  </si>
  <si>
    <t>EXTN61</t>
  </si>
  <si>
    <t>KOHR61</t>
  </si>
  <si>
    <t>REDT61</t>
  </si>
  <si>
    <t>Hessing Logistiek</t>
  </si>
  <si>
    <t>OMSC032</t>
  </si>
  <si>
    <t>Regel</t>
  </si>
  <si>
    <t>Regel2</t>
  </si>
  <si>
    <t># Regels</t>
  </si>
  <si>
    <t>FOOD ORDERNUMMER</t>
  </si>
  <si>
    <t>LD Chep pallet 120x80 + SSCC</t>
  </si>
  <si>
    <t>Hessing Helmond
Korendijk 9
5704 RD Helmond
The Netherlands</t>
  </si>
  <si>
    <t>5704 RD Helmond</t>
  </si>
  <si>
    <t>HAVI LOGISTICS GMBH</t>
  </si>
  <si>
    <t>Hochstrasse 179</t>
  </si>
  <si>
    <t>47228</t>
  </si>
  <si>
    <t>Duisburg Germany</t>
  </si>
  <si>
    <t>Hendrikx Transport Service</t>
  </si>
  <si>
    <t>LD Europallet + SSCC</t>
  </si>
  <si>
    <t>HESSING ZWAAGDIJK BV</t>
  </si>
  <si>
    <t>Nieuwmarkt 8</t>
  </si>
  <si>
    <t>1681 NP</t>
  </si>
  <si>
    <t>WERVERSHOOF</t>
  </si>
  <si>
    <t>HAVI BELGIUM</t>
  </si>
  <si>
    <t>Lammerdries-Oost 32</t>
  </si>
  <si>
    <t>2250</t>
  </si>
  <si>
    <t>Olen - Belgie</t>
  </si>
  <si>
    <t>10604 KF EPS Zwart 60x40x10</t>
  </si>
  <si>
    <t>LD LPR Pallet 120*100</t>
  </si>
  <si>
    <t>10404 KF EPS Zwart 40x30x10</t>
  </si>
  <si>
    <t xml:space="preserve"> </t>
  </si>
  <si>
    <t/>
  </si>
  <si>
    <t>TACKEN GMBH</t>
  </si>
  <si>
    <t>Vogelsrather Weg 1-5</t>
  </si>
  <si>
    <t>D-41366</t>
  </si>
  <si>
    <t>Schwalmtal Germany</t>
  </si>
  <si>
    <t>Niet in gebruik</t>
  </si>
  <si>
    <t>CBL11 60/40/11 zwart</t>
  </si>
  <si>
    <t>LD Europallets 120x80</t>
  </si>
  <si>
    <t>1148 Doos bruin 60x40x17cm</t>
  </si>
  <si>
    <t>CBL 7 60/40/7 zwart</t>
  </si>
  <si>
    <t>CBL 8 30/40/7 zwart</t>
  </si>
  <si>
    <t>SMESHING BV</t>
  </si>
  <si>
    <t>De Wissel 78</t>
  </si>
  <si>
    <t>9076 PT</t>
  </si>
  <si>
    <t>ST ANNA PAROCHIE</t>
  </si>
  <si>
    <t>RUTHER FRESH FOOD</t>
  </si>
  <si>
    <t>Zur Feuerwache 3</t>
  </si>
  <si>
    <t>41812</t>
  </si>
  <si>
    <t>Erkelenz (Germany)</t>
  </si>
  <si>
    <t>EPS 11 laag (60/40/11)</t>
  </si>
  <si>
    <t>13604 KF EPS Zwart 60x40x12</t>
  </si>
  <si>
    <t>Wegwerp pallet (met SSCC)</t>
  </si>
  <si>
    <t>8328 Doos REWE 288*195*42mm</t>
  </si>
  <si>
    <t>18604 KF EPS Zwart 60x40x18</t>
  </si>
  <si>
    <t>5418 Doos 28x19x9cm USA Fefco</t>
  </si>
  <si>
    <t>4377 Doos AVD LS Pijl 35x23x14</t>
  </si>
  <si>
    <t>4378 Doos AVD BC Pijl 29x25x11</t>
  </si>
  <si>
    <t>8255 Doos Side Sal.McD36x24x8</t>
  </si>
  <si>
    <t>HAVI LOGISTICS BV</t>
  </si>
  <si>
    <t>Amersfoort</t>
  </si>
  <si>
    <t>Box Hessing EUR 150,00</t>
  </si>
  <si>
    <t>LD Hessing Supervers pallet</t>
  </si>
  <si>
    <t>KF EPS 24 hoog (60/40/23)</t>
  </si>
  <si>
    <t>CBL23 60/40/23 zwart</t>
  </si>
  <si>
    <t>GU18-11298</t>
  </si>
  <si>
    <t>EPS 17 middel (60/40/15)</t>
  </si>
  <si>
    <t>LD Poolpallet 120x100</t>
  </si>
  <si>
    <t>VAN GORP GREENFOOD</t>
  </si>
  <si>
    <t>Kerkberg 9</t>
  </si>
  <si>
    <t>5951 DD</t>
  </si>
  <si>
    <t>Belfeld (NL)</t>
  </si>
  <si>
    <t>KF EPS 46 klein (30/40/15)</t>
  </si>
  <si>
    <t>LD Chep pallet 120X80</t>
  </si>
  <si>
    <t>KF CC Eurocrate VRC220</t>
  </si>
  <si>
    <t>KF CC Eurocrate VRC167</t>
  </si>
  <si>
    <t>KF EPS Groen 24603 60x40x24</t>
  </si>
  <si>
    <t>CBL15 40x30x15 zwart</t>
  </si>
  <si>
    <t>KF Supervers Groen</t>
  </si>
  <si>
    <t>FL Eurocom KF Blauw</t>
  </si>
  <si>
    <t>10437778/01</t>
  </si>
  <si>
    <t>10437768/01</t>
  </si>
  <si>
    <t>10437775/01</t>
  </si>
  <si>
    <t>10437777/01</t>
  </si>
  <si>
    <t>10437772/01</t>
  </si>
  <si>
    <t>10437770/01</t>
  </si>
  <si>
    <t>10437774/01</t>
  </si>
  <si>
    <t>517943</t>
  </si>
  <si>
    <t>Tempex box</t>
  </si>
  <si>
    <t>LD H1 plastic eur 120x80cm</t>
  </si>
  <si>
    <t>517944</t>
  </si>
  <si>
    <t>Doos</t>
  </si>
  <si>
    <t>QIZINI ALPHEN BV EDI</t>
  </si>
  <si>
    <t>Van Foreestlaan 3</t>
  </si>
  <si>
    <t>2404 HC</t>
  </si>
  <si>
    <t>Alphen aan den Rijn</t>
  </si>
  <si>
    <t>BK Transport</t>
  </si>
  <si>
    <t>27310209</t>
  </si>
  <si>
    <t>Brussel National Airport</t>
  </si>
  <si>
    <t>1930</t>
  </si>
  <si>
    <t>ZAVENTEM Belgium</t>
  </si>
  <si>
    <t>4900214452</t>
  </si>
  <si>
    <t>DELIVA NV</t>
  </si>
  <si>
    <t>SLINGERWEG 4</t>
  </si>
  <si>
    <t>3600</t>
  </si>
  <si>
    <t>GENK</t>
  </si>
  <si>
    <t>181200062</t>
  </si>
  <si>
    <t>181200071</t>
  </si>
  <si>
    <t>181200073</t>
  </si>
  <si>
    <t>181200066</t>
  </si>
  <si>
    <t>181200077</t>
  </si>
  <si>
    <t>181200078</t>
  </si>
  <si>
    <t>181200061</t>
  </si>
  <si>
    <t>181200060</t>
  </si>
  <si>
    <t>181200067</t>
  </si>
  <si>
    <t>181200074</t>
  </si>
  <si>
    <t>181200075</t>
  </si>
  <si>
    <t>181200069</t>
  </si>
  <si>
    <t>181200063</t>
  </si>
  <si>
    <t>181200076</t>
  </si>
  <si>
    <t>181200072</t>
  </si>
  <si>
    <t>181200065</t>
  </si>
  <si>
    <t>181200068</t>
  </si>
  <si>
    <t>181200064</t>
  </si>
  <si>
    <t>181200070</t>
  </si>
  <si>
    <t>45066227244506622699</t>
  </si>
  <si>
    <t>LD Plastic Pallet Zwart</t>
  </si>
  <si>
    <t>10438338/01</t>
  </si>
  <si>
    <t>4279 DoosAutlockMcD DE24x17x10</t>
  </si>
  <si>
    <t>10438332/01</t>
  </si>
  <si>
    <t>10438336/01</t>
  </si>
  <si>
    <t>517966</t>
  </si>
  <si>
    <t>1144 Doos bruin 40x30x17cm</t>
  </si>
  <si>
    <t>99133989/01</t>
  </si>
  <si>
    <t>99133989/02</t>
  </si>
  <si>
    <t>SUPERLOG SA</t>
  </si>
  <si>
    <t>Rue de Colombier 9</t>
  </si>
  <si>
    <t>6041</t>
  </si>
  <si>
    <t>GOSSELIES Belgium</t>
  </si>
  <si>
    <t>Coolnordic Transport</t>
  </si>
  <si>
    <t>KF EPS 410</t>
  </si>
  <si>
    <t>18905545</t>
  </si>
  <si>
    <t>99325222/1</t>
  </si>
  <si>
    <t>99325221/1</t>
  </si>
  <si>
    <t>518000</t>
  </si>
  <si>
    <t>518006</t>
  </si>
  <si>
    <t>1143 Doos bruin 40x30x9cm</t>
  </si>
  <si>
    <t>518015</t>
  </si>
  <si>
    <t>518037</t>
  </si>
  <si>
    <t>518038</t>
  </si>
  <si>
    <t>053365</t>
  </si>
  <si>
    <t>FL Deli XL Groen laag</t>
  </si>
  <si>
    <t>FL Deli XL Groen hoog</t>
  </si>
  <si>
    <t>518039</t>
  </si>
  <si>
    <t>15404 KF EPS Zwart 40x30x15</t>
  </si>
  <si>
    <t>518040</t>
  </si>
  <si>
    <t>518041</t>
  </si>
  <si>
    <t>518045</t>
  </si>
  <si>
    <t>518046</t>
  </si>
  <si>
    <t>518047</t>
  </si>
  <si>
    <t>BIDFOOD S.A.</t>
  </si>
  <si>
    <t>AVENUE DELI XL 1</t>
  </si>
  <si>
    <t>6530</t>
  </si>
  <si>
    <t>THUIN Belgium</t>
  </si>
  <si>
    <t>63745677</t>
  </si>
  <si>
    <t>BIDFOOD FLANDERS N.V.</t>
  </si>
  <si>
    <t>KASTELIJNSSTRAAT 17</t>
  </si>
  <si>
    <t>9150</t>
  </si>
  <si>
    <t>KRUIBEKE Belgium</t>
  </si>
  <si>
    <t>63752067</t>
  </si>
  <si>
    <t>63753298</t>
  </si>
  <si>
    <t>63759868</t>
  </si>
  <si>
    <t>63762122</t>
  </si>
  <si>
    <t>63774284</t>
  </si>
  <si>
    <t>63774991</t>
  </si>
  <si>
    <t>63775046</t>
  </si>
  <si>
    <t>63775101</t>
  </si>
  <si>
    <t>EPS 23 hoog (60/40/23)</t>
  </si>
  <si>
    <t>63775403</t>
  </si>
  <si>
    <t>63776486</t>
  </si>
  <si>
    <t>63776579</t>
  </si>
  <si>
    <t>63776805</t>
  </si>
  <si>
    <t>63777074</t>
  </si>
  <si>
    <t>63777158</t>
  </si>
  <si>
    <t>63777159</t>
  </si>
  <si>
    <t>63777188</t>
  </si>
  <si>
    <t>63777899</t>
  </si>
  <si>
    <t>63778041</t>
  </si>
  <si>
    <t>63778176</t>
  </si>
  <si>
    <t>63778267</t>
  </si>
  <si>
    <t>63778442</t>
  </si>
  <si>
    <t>63778551</t>
  </si>
  <si>
    <t>63778662</t>
  </si>
  <si>
    <t>63778810</t>
  </si>
  <si>
    <t>63778903</t>
  </si>
  <si>
    <t>63779207</t>
  </si>
  <si>
    <t>63779318</t>
  </si>
  <si>
    <t>63779517</t>
  </si>
  <si>
    <t>63779573</t>
  </si>
  <si>
    <t>CARREFOUR FIF</t>
  </si>
  <si>
    <t>Fortsesteenweg 27</t>
  </si>
  <si>
    <t>2860</t>
  </si>
  <si>
    <t>SINT KATELIJNE WAVER Belgium</t>
  </si>
  <si>
    <t>4524119811</t>
  </si>
  <si>
    <t>KLM CATERING SERVICES EDI</t>
  </si>
  <si>
    <t>CATERINGWEG 1</t>
  </si>
  <si>
    <t>1118 AM</t>
  </si>
  <si>
    <t>SCHIPHOL</t>
  </si>
  <si>
    <t>Ruther</t>
  </si>
  <si>
    <t>322974</t>
  </si>
  <si>
    <t>GATE GOURMET AMSTERDAM EDI(NOO</t>
  </si>
  <si>
    <t>Cateringweg 3</t>
  </si>
  <si>
    <t>SCHIPHOL-NOORD</t>
  </si>
  <si>
    <t>4503618926</t>
  </si>
  <si>
    <t>45066249564506624939</t>
  </si>
  <si>
    <t>COLRUYT MAGAZIJN DASSENVELD F4</t>
  </si>
  <si>
    <t>Zinkstraat 4</t>
  </si>
  <si>
    <t>1500</t>
  </si>
  <si>
    <t>B-Halle  Belgie</t>
  </si>
  <si>
    <t>POF3222615</t>
  </si>
  <si>
    <t>GATE GOURMET AMSTERDAM EDI(WES</t>
  </si>
  <si>
    <t>SCHIPHOLWEG 875</t>
  </si>
  <si>
    <t>2143 CC</t>
  </si>
  <si>
    <t>BOESINGHELIEDE</t>
  </si>
  <si>
    <t>4503618990</t>
  </si>
  <si>
    <t>18905589</t>
  </si>
  <si>
    <t>BST18-16168</t>
  </si>
  <si>
    <t>CARREFOUR NVL</t>
  </si>
  <si>
    <t>RUE DE L INDUSTRIE 21</t>
  </si>
  <si>
    <t>1400</t>
  </si>
  <si>
    <t>NIVELLES Belgium</t>
  </si>
  <si>
    <t>4801879287</t>
  </si>
  <si>
    <t>4503619032</t>
  </si>
  <si>
    <t>4503619045</t>
  </si>
  <si>
    <t>CARREFOUR KDC</t>
  </si>
  <si>
    <t>DREVENDAAL 3</t>
  </si>
  <si>
    <t>4801879462</t>
  </si>
  <si>
    <t>BST18-16170</t>
  </si>
  <si>
    <t>518126</t>
  </si>
  <si>
    <t>518128</t>
  </si>
  <si>
    <t>63780234</t>
  </si>
  <si>
    <t>63780244</t>
  </si>
  <si>
    <t>63780727</t>
  </si>
  <si>
    <t>63781206</t>
  </si>
  <si>
    <t>518164</t>
  </si>
  <si>
    <t>BST18-16173</t>
  </si>
  <si>
    <t>GREENYARD FRESH DIRECT BELGIUM</t>
  </si>
  <si>
    <t>FORTSESTEENWEG 27</t>
  </si>
  <si>
    <t>SINT-KATELIJNE-WAVER Belgium</t>
  </si>
  <si>
    <t>163684</t>
  </si>
  <si>
    <t xml:space="preserve">    </t>
  </si>
  <si>
    <t>Hessing Greenport Venlo
Maarten de Vriesstraat 3
5975 RW Sevenum
The Netherlands</t>
  </si>
  <si>
    <t>5975 RW Sevenum</t>
  </si>
  <si>
    <t>Venlo</t>
  </si>
  <si>
    <t>Germany</t>
  </si>
  <si>
    <t>Venlo, Netherlands</t>
  </si>
  <si>
    <t>Sales Shipment Document</t>
  </si>
  <si>
    <t>HAVI Duisburg Hochstraße 179</t>
  </si>
  <si>
    <t>47228 Duisburg</t>
  </si>
  <si>
    <t>Truck plate nr:</t>
  </si>
  <si>
    <t>Trailer plate nr:</t>
  </si>
  <si>
    <t>Havi Duisburg Hochstraße 179,</t>
  </si>
  <si>
    <t>NAME DRIVER:</t>
  </si>
  <si>
    <t>REF 1:</t>
  </si>
  <si>
    <t>REF 2:</t>
  </si>
  <si>
    <t>Stuk</t>
  </si>
  <si>
    <t>Europallet 120*80</t>
  </si>
  <si>
    <r>
      <t>TEMPERATURE: 1 tot 4</t>
    </r>
    <r>
      <rPr>
        <b/>
        <sz val="14"/>
        <rFont val="Calibri"/>
        <family val="2"/>
      </rPr>
      <t>°C</t>
    </r>
  </si>
  <si>
    <t>Order number:</t>
  </si>
  <si>
    <t>Havi Logistics (DC Wunstorf)</t>
  </si>
  <si>
    <t>Am Luther Forst 2</t>
  </si>
  <si>
    <t>31515 Wunstorf</t>
  </si>
  <si>
    <t>31515 Wunstorf, Germany</t>
  </si>
  <si>
    <t>McD Gurken (ganz) 12 Stück</t>
  </si>
  <si>
    <t>KG</t>
  </si>
  <si>
    <t>McD Mischsalat 8*700g</t>
  </si>
  <si>
    <t>McD Eissalat 6mm 10*1000g</t>
  </si>
  <si>
    <t>McD Tomaten ganz 1*6kg</t>
  </si>
  <si>
    <t>McD Krat Groen Hoog</t>
  </si>
  <si>
    <t>Collo</t>
  </si>
  <si>
    <t>Doos 64.230 Wit/Bruin bakje</t>
  </si>
  <si>
    <t>VCSO001314694</t>
  </si>
  <si>
    <t>11044488 01</t>
  </si>
  <si>
    <t>HF-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</si>
</sst>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"/>
    <numFmt numFmtId="165" formatCode="[$-41]dddd\ d\ mmmm\ yyyy"/>
    <numFmt numFmtId="166" formatCode="[$-413]dd\-mmm\-yy;@"/>
    <numFmt numFmtId="167" formatCode="[$-413]d\ mmmm\ yyyy;@"/>
    <numFmt numFmtId="168" formatCode="0.000"/>
  </numFmts>
  <fonts count="27" x14ac:knownFonts="1">
    <font>
      <sz val="10"/>
      <name val="Arial"/>
    </font>
    <font>
      <sz val="8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indexed="9"/>
      <name val="Arial"/>
      <family val="2"/>
    </font>
    <font>
      <sz val="10"/>
      <color indexed="51"/>
      <name val="Arial"/>
      <family val="2"/>
    </font>
    <font>
      <b/>
      <vertAlign val="superscript"/>
      <sz val="10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color indexed="9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7"/>
      <name val="Small Fonts"/>
      <family val="2"/>
    </font>
    <font>
      <sz val="8"/>
      <name val="Tahoma"/>
      <family val="2"/>
    </font>
    <font>
      <sz val="14"/>
      <name val="Tahoma"/>
      <family val="2"/>
    </font>
    <font>
      <b/>
      <sz val="14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</borders>
  <cellStyleXfs count="2">
    <xf numFmtId="0" fontId="0" fillId="0" borderId="0"/>
    <xf numFmtId="0" fontId="8" fillId="0" borderId="0"/>
  </cellStyleXfs>
  <cellXfs count="180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right" vertical="top"/>
    </xf>
    <xf numFmtId="0" fontId="5" fillId="0" borderId="0" xfId="0" applyFont="1"/>
    <xf numFmtId="1" fontId="7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3" borderId="1" xfId="0" applyFont="1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0" fillId="4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3" borderId="0" xfId="0" applyFill="1"/>
    <xf numFmtId="0" fontId="5" fillId="4" borderId="1" xfId="0" applyFont="1" applyFill="1" applyBorder="1" applyAlignment="1">
      <alignment horizontal="left" vertical="center"/>
    </xf>
    <xf numFmtId="0" fontId="5" fillId="3" borderId="0" xfId="0" applyFont="1" applyFill="1"/>
    <xf numFmtId="0" fontId="5" fillId="3" borderId="2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vertical="top" wrapText="1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0" fontId="11" fillId="0" borderId="0" xfId="0" applyFont="1"/>
    <xf numFmtId="0" fontId="18" fillId="0" borderId="0" xfId="0" applyFont="1" applyAlignment="1">
      <alignment vertical="top" wrapText="1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0" fillId="6" borderId="0" xfId="0" applyFill="1"/>
    <xf numFmtId="0" fontId="6" fillId="0" borderId="0" xfId="0" applyFont="1" applyAlignment="1">
      <alignment vertical="center" wrapText="1"/>
    </xf>
    <xf numFmtId="0" fontId="2" fillId="6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/>
    <xf numFmtId="165" fontId="18" fillId="0" borderId="0" xfId="0" applyNumberFormat="1" applyFont="1" applyAlignment="1">
      <alignment vertical="center"/>
    </xf>
    <xf numFmtId="0" fontId="7" fillId="0" borderId="0" xfId="0" applyFont="1" applyAlignment="1">
      <alignment vertical="top" wrapText="1"/>
    </xf>
    <xf numFmtId="3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23" fillId="7" borderId="1" xfId="0" applyFont="1" applyFill="1" applyBorder="1" applyAlignment="1">
      <alignment horizontal="center" vertical="top" wrapText="1"/>
    </xf>
    <xf numFmtId="1" fontId="23" fillId="8" borderId="1" xfId="0" applyNumberFormat="1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left" vertical="top" wrapText="1"/>
    </xf>
    <xf numFmtId="1" fontId="23" fillId="7" borderId="1" xfId="0" applyNumberFormat="1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8" fillId="0" borderId="0" xfId="0" applyNumberFormat="1" applyFont="1" applyAlignment="1">
      <alignment vertical="top" wrapText="1"/>
    </xf>
    <xf numFmtId="0" fontId="1" fillId="0" borderId="1" xfId="0" applyFont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wrapText="1"/>
    </xf>
    <xf numFmtId="0" fontId="22" fillId="0" borderId="0" xfId="0" applyFont="1" applyAlignment="1">
      <alignment horizontal="left" wrapText="1"/>
    </xf>
    <xf numFmtId="0" fontId="18" fillId="0" borderId="0" xfId="0" applyFont="1" applyAlignment="1">
      <alignment wrapText="1"/>
    </xf>
    <xf numFmtId="0" fontId="4" fillId="0" borderId="0" xfId="0" applyFont="1"/>
    <xf numFmtId="0" fontId="18" fillId="0" borderId="0" xfId="0" applyFont="1" applyAlignment="1">
      <alignment horizontal="left"/>
    </xf>
    <xf numFmtId="1" fontId="2" fillId="0" borderId="0" xfId="0" applyNumberFormat="1" applyFont="1"/>
    <xf numFmtId="0" fontId="7" fillId="0" borderId="0" xfId="0" applyFont="1"/>
    <xf numFmtId="0" fontId="2" fillId="0" borderId="0" xfId="0" applyFont="1" applyAlignment="1">
      <alignment horizontal="center"/>
    </xf>
    <xf numFmtId="165" fontId="18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5" fontId="18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/>
    <xf numFmtId="165" fontId="11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1" fontId="7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1" fontId="8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17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22" fillId="0" borderId="0" xfId="0" applyFont="1" applyAlignment="1">
      <alignment horizontal="left"/>
    </xf>
    <xf numFmtId="0" fontId="5" fillId="0" borderId="1" xfId="0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4" fontId="14" fillId="0" borderId="0" xfId="0" applyNumberFormat="1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/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 applyProtection="1">
      <alignment horizontal="center" vertical="center" wrapText="1"/>
      <protection locked="0"/>
    </xf>
    <xf numFmtId="3" fontId="0" fillId="0" borderId="4" xfId="0" applyNumberFormat="1" applyBorder="1" applyAlignment="1" applyProtection="1">
      <alignment horizontal="center" vertical="center"/>
      <protection locked="0"/>
    </xf>
    <xf numFmtId="0" fontId="24" fillId="0" borderId="0" xfId="1" applyFont="1"/>
    <xf numFmtId="20" fontId="6" fillId="0" borderId="0" xfId="0" applyNumberFormat="1" applyFont="1" applyAlignment="1">
      <alignment horizontal="center"/>
    </xf>
    <xf numFmtId="0" fontId="25" fillId="0" borderId="0" xfId="1" applyFont="1" applyAlignment="1">
      <alignment horizontal="left"/>
    </xf>
    <xf numFmtId="0" fontId="18" fillId="0" borderId="0" xfId="0" applyFont="1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22" fillId="0" borderId="0" xfId="0" applyFont="1"/>
    <xf numFmtId="14" fontId="22" fillId="0" borderId="0" xfId="0" applyNumberFormat="1" applyFont="1" applyAlignment="1">
      <alignment horizontal="left"/>
    </xf>
    <xf numFmtId="0" fontId="18" fillId="0" borderId="0" xfId="0" applyFont="1" applyAlignment="1">
      <alignment vertical="top"/>
    </xf>
    <xf numFmtId="0" fontId="18" fillId="0" borderId="0" xfId="0" applyFont="1" applyAlignment="1">
      <alignment horizontal="left" vertical="top"/>
    </xf>
    <xf numFmtId="167" fontId="11" fillId="0" borderId="0" xfId="0" applyNumberFormat="1" applyFont="1" applyAlignment="1">
      <alignment vertical="top"/>
    </xf>
    <xf numFmtId="0" fontId="3" fillId="0" borderId="0" xfId="0" applyFont="1" applyAlignment="1">
      <alignment horizontal="left" vertical="top"/>
    </xf>
    <xf numFmtId="1" fontId="22" fillId="0" borderId="0" xfId="0" applyNumberFormat="1" applyFont="1"/>
    <xf numFmtId="0" fontId="21" fillId="0" borderId="0" xfId="0" applyFont="1" applyAlignment="1">
      <alignment wrapText="1"/>
    </xf>
    <xf numFmtId="0" fontId="19" fillId="0" borderId="0" xfId="0" applyFont="1"/>
    <xf numFmtId="0" fontId="19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168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68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5" fillId="0" borderId="0" xfId="1" applyFont="1" applyAlignment="1">
      <alignment horizontal="left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14" fontId="18" fillId="0" borderId="0" xfId="0" applyNumberFormat="1" applyFont="1" applyAlignment="1">
      <alignment horizontal="center" vertical="top" wrapText="1"/>
    </xf>
    <xf numFmtId="0" fontId="7" fillId="0" borderId="0" xfId="0" applyFont="1" applyAlignment="1">
      <alignment horizontal="left"/>
    </xf>
    <xf numFmtId="20" fontId="6" fillId="0" borderId="0" xfId="0" applyNumberFormat="1" applyFont="1" applyAlignment="1">
      <alignment horizontal="center"/>
    </xf>
    <xf numFmtId="1" fontId="22" fillId="0" borderId="0" xfId="0" applyNumberFormat="1" applyFont="1" applyAlignment="1">
      <alignment horizontal="left"/>
    </xf>
    <xf numFmtId="0" fontId="21" fillId="0" borderId="0" xfId="0" applyFont="1" applyAlignment="1">
      <alignment horizontal="left" wrapText="1"/>
    </xf>
    <xf numFmtId="0" fontId="22" fillId="0" borderId="0" xfId="0" applyFont="1" applyAlignment="1">
      <alignment horizontal="left" wrapText="1"/>
    </xf>
    <xf numFmtId="0" fontId="19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3" fontId="0" fillId="0" borderId="1" xfId="0" applyNumberFormat="1" applyBorder="1" applyAlignment="1" applyProtection="1">
      <alignment horizontal="left" vertical="center"/>
      <protection locked="0"/>
    </xf>
    <xf numFmtId="3" fontId="0" fillId="0" borderId="5" xfId="0" applyNumberFormat="1" applyBorder="1" applyAlignment="1" applyProtection="1">
      <alignment horizontal="left" vertical="center"/>
      <protection locked="0"/>
    </xf>
    <xf numFmtId="3" fontId="0" fillId="0" borderId="6" xfId="0" applyNumberFormat="1" applyBorder="1" applyAlignment="1" applyProtection="1">
      <alignment horizontal="left" vertical="center"/>
      <protection locked="0"/>
    </xf>
    <xf numFmtId="3" fontId="0" fillId="0" borderId="7" xfId="0" applyNumberFormat="1" applyBorder="1" applyAlignment="1" applyProtection="1">
      <alignment horizontal="left" vertical="center"/>
      <protection locked="0"/>
    </xf>
    <xf numFmtId="0" fontId="19" fillId="0" borderId="0" xfId="0" applyFont="1" applyAlignment="1">
      <alignment horizontal="left" vertical="center"/>
    </xf>
    <xf numFmtId="0" fontId="21" fillId="0" borderId="0" xfId="0" applyFont="1" applyAlignment="1">
      <alignment horizontal="left" vertical="top" wrapText="1"/>
    </xf>
    <xf numFmtId="0" fontId="6" fillId="0" borderId="0" xfId="0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top" wrapText="1"/>
    </xf>
    <xf numFmtId="1" fontId="22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" fontId="8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right" vertical="top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20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4" fontId="22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indent="1"/>
    </xf>
    <xf numFmtId="1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0" borderId="0" xfId="0" applyFont="1" applyAlignment="1">
      <alignment horizontal="center" vertical="center"/>
    </xf>
  </cellXfs>
  <cellStyles count="2">
    <cellStyle name="Normal" xfId="0" builtinId="0"/>
    <cellStyle name="Standaard_VRACHTBRIEVEN(1)" xfId="1" xr:uid="{00000000-0005-0000-0000-000001000000}"/>
  </cellStyles>
  <dxfs count="4">
    <dxf>
      <numFmt numFmtId="0" formatCode="General"/>
    </dxf>
    <dxf>
      <numFmt numFmtId="0" formatCode="General"/>
    </dxf>
    <dxf>
      <numFmt numFmtId="169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154297</xdr:colOff>
      <xdr:row>4</xdr:row>
      <xdr:rowOff>121735</xdr:rowOff>
    </xdr:from>
    <xdr:ext cx="4558684" cy="937629"/>
    <xdr:sp macro="[0]!Vernieuwen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297" y="988510"/>
          <a:ext cx="45586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VERNIEUWEN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van FOODMAASBREE" connectionId="1" xr16:uid="{00000000-0016-0000-0200-00000000000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BONN61" tableColumnId="1"/>
      <queryTableField id="16" dataBound="0" tableColumnId="16"/>
      <queryTableField id="2" name="DEBN61" tableColumnId="2"/>
      <queryTableField id="3" name="NAAS01" tableColumnId="3"/>
      <queryTableField id="4" name="ADRS01" tableColumnId="4"/>
      <queryTableField id="5" name="PSTK01" tableColumnId="5"/>
      <queryTableField id="6" name="WNPL01" tableColumnId="6"/>
      <queryTableField id="7" name="TRAN01" tableColumnId="7"/>
      <queryTableField id="8" name="OMSC03" tableColumnId="8"/>
      <queryTableField id="9" name="EMBA61" tableColumnId="9"/>
      <queryTableField id="10" name="OMSC03" tableColumnId="10"/>
      <queryTableField id="11" name="00011" tableColumnId="11"/>
      <queryTableField id="12" name="EXTN61" tableColumnId="12"/>
      <queryTableField id="13" name="KOHR61" tableColumnId="13"/>
      <queryTableField id="14" name="REDT61" tableColumnId="14"/>
      <queryTableField id="15" dataBound="0" tableColumnId="15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_Query_van_FOODMAASBREE" displayName="Tabel_Query_van_FOODMAASBREE" ref="A4:Q332" tableType="queryTable" totalsRowShown="0">
  <autoFilter ref="A4:Q332" xr:uid="{00000000-0009-0000-0100-000001000000}"/>
  <tableColumns count="17">
    <tableColumn id="1" xr3:uid="{00000000-0010-0000-0000-000001000000}" uniqueName="1" name="BONN61" queryTableFieldId="1"/>
    <tableColumn id="16" xr3:uid="{00000000-0010-0000-0000-000010000000}" uniqueName="16" name="Regel" queryTableFieldId="16" dataDxfId="3">
      <calculatedColumnFormula>CONCATENATE(A5," - ",Q5)</calculatedColumnFormula>
    </tableColumn>
    <tableColumn id="2" xr3:uid="{00000000-0010-0000-0000-000002000000}" uniqueName="2" name="DEBN61" queryTableFieldId="2"/>
    <tableColumn id="3" xr3:uid="{00000000-0010-0000-0000-000003000000}" uniqueName="3" name="NAAS01" queryTableFieldId="3"/>
    <tableColumn id="4" xr3:uid="{00000000-0010-0000-0000-000004000000}" uniqueName="4" name="ADRS01" queryTableFieldId="4"/>
    <tableColumn id="5" xr3:uid="{00000000-0010-0000-0000-000005000000}" uniqueName="5" name="PSTK01" queryTableFieldId="5"/>
    <tableColumn id="6" xr3:uid="{00000000-0010-0000-0000-000006000000}" uniqueName="6" name="WNPL01" queryTableFieldId="6"/>
    <tableColumn id="7" xr3:uid="{00000000-0010-0000-0000-000007000000}" uniqueName="7" name="TRAN01" queryTableFieldId="7"/>
    <tableColumn id="8" xr3:uid="{00000000-0010-0000-0000-000008000000}" uniqueName="8" name="OMSC03" queryTableFieldId="8"/>
    <tableColumn id="9" xr3:uid="{00000000-0010-0000-0000-000009000000}" uniqueName="9" name="EMBA61" queryTableFieldId="9"/>
    <tableColumn id="10" xr3:uid="{00000000-0010-0000-0000-00000A000000}" uniqueName="10" name="OMSC032" queryTableFieldId="10"/>
    <tableColumn id="11" xr3:uid="{00000000-0010-0000-0000-00000B000000}" uniqueName="11" name="00011" queryTableFieldId="11"/>
    <tableColumn id="12" xr3:uid="{00000000-0010-0000-0000-00000C000000}" uniqueName="12" name="EXTN61" queryTableFieldId="12"/>
    <tableColumn id="13" xr3:uid="{00000000-0010-0000-0000-00000D000000}" uniqueName="13" name="KOHR61" queryTableFieldId="13"/>
    <tableColumn id="14" xr3:uid="{00000000-0010-0000-0000-00000E000000}" uniqueName="14" name="REDT61" queryTableFieldId="14" dataDxfId="2"/>
    <tableColumn id="15" xr3:uid="{00000000-0010-0000-0000-00000F000000}" uniqueName="15" name="# Regels" queryTableFieldId="15" dataDxfId="1">
      <calculatedColumnFormula>+COUNTIF(A:A,A5)</calculatedColumnFormula>
    </tableColumn>
    <tableColumn id="17" xr3:uid="{00000000-0010-0000-0000-000011000000}" uniqueName="17" name="Regel2" queryTableFieldId="17" dataDxfId="0">
      <calculatedColumnFormula>IF(A5=A4,Q4+1,1)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</sheetPr>
  <dimension ref="A1:G60"/>
  <sheetViews>
    <sheetView showGridLines="0" topLeftCell="D1" workbookViewId="0">
      <selection activeCell="D2" sqref="D2"/>
    </sheetView>
  </sheetViews>
  <sheetFormatPr defaultRowHeight="12.75" x14ac:dyDescent="0.2"/>
  <cols>
    <col min="1" max="1" width="0" hidden="1" customWidth="1"/>
    <col min="2" max="2" width="21.85546875" hidden="1" customWidth="1"/>
    <col min="3" max="3" width="40.85546875" hidden="1" customWidth="1"/>
    <col min="4" max="7" width="26.7109375" customWidth="1"/>
  </cols>
  <sheetData>
    <row r="1" spans="1:6" x14ac:dyDescent="0.2">
      <c r="A1" s="39"/>
      <c r="B1" s="39"/>
    </row>
    <row r="2" spans="1:6" ht="20.25" customHeight="1" x14ac:dyDescent="0.2">
      <c r="A2" s="39"/>
      <c r="B2" s="40" t="s">
        <v>80</v>
      </c>
      <c r="C2" s="107" t="s">
        <v>167</v>
      </c>
      <c r="D2" s="107">
        <v>559611</v>
      </c>
      <c r="E2" s="107" t="s">
        <v>199</v>
      </c>
      <c r="F2">
        <f>+VLOOKUP(D2,'GEGEVENS FOOD'!A:A,1,0)</f>
        <v>559611</v>
      </c>
    </row>
    <row r="3" spans="1:6" ht="20.25" customHeight="1" x14ac:dyDescent="0.2">
      <c r="A3" s="39"/>
      <c r="B3" s="40" t="s">
        <v>119</v>
      </c>
      <c r="C3" s="108">
        <v>41597</v>
      </c>
    </row>
    <row r="4" spans="1:6" ht="15" customHeight="1" x14ac:dyDescent="0.2">
      <c r="A4" s="39"/>
      <c r="B4" s="39"/>
      <c r="D4" s="109"/>
    </row>
    <row r="5" spans="1:6" ht="30" customHeight="1" x14ac:dyDescent="0.2">
      <c r="A5" s="39"/>
      <c r="B5" s="40" t="s">
        <v>43</v>
      </c>
      <c r="C5" s="110" t="s">
        <v>180</v>
      </c>
      <c r="D5" s="111"/>
    </row>
    <row r="6" spans="1:6" ht="30" hidden="1" customHeight="1" x14ac:dyDescent="0.2">
      <c r="A6" s="39"/>
      <c r="B6" s="40" t="s">
        <v>44</v>
      </c>
      <c r="C6" s="110" t="s">
        <v>81</v>
      </c>
    </row>
    <row r="7" spans="1:6" ht="30" hidden="1" customHeight="1" x14ac:dyDescent="0.2">
      <c r="A7" s="39"/>
      <c r="B7" s="40" t="s">
        <v>45</v>
      </c>
      <c r="C7" s="110"/>
    </row>
    <row r="8" spans="1:6" ht="30" hidden="1" customHeight="1" x14ac:dyDescent="0.2">
      <c r="A8" s="39"/>
      <c r="B8" s="40" t="s">
        <v>46</v>
      </c>
      <c r="C8" s="110"/>
    </row>
    <row r="9" spans="1:6" ht="30" hidden="1" customHeight="1" x14ac:dyDescent="0.2">
      <c r="A9" s="39"/>
      <c r="B9" s="40" t="s">
        <v>47</v>
      </c>
      <c r="C9" s="110"/>
    </row>
    <row r="10" spans="1:6" ht="30" hidden="1" customHeight="1" x14ac:dyDescent="0.2">
      <c r="A10" s="39"/>
      <c r="B10" s="40" t="s">
        <v>48</v>
      </c>
      <c r="C10" s="112"/>
    </row>
    <row r="11" spans="1:6" ht="30" hidden="1" customHeight="1" x14ac:dyDescent="0.2">
      <c r="A11" s="39"/>
      <c r="B11" s="40" t="s">
        <v>60</v>
      </c>
      <c r="C11" s="112"/>
    </row>
    <row r="12" spans="1:6" ht="30" hidden="1" customHeight="1" x14ac:dyDescent="0.2">
      <c r="A12" s="39"/>
      <c r="B12" s="40" t="s">
        <v>49</v>
      </c>
      <c r="C12" s="113"/>
    </row>
    <row r="13" spans="1:6" ht="30" hidden="1" customHeight="1" x14ac:dyDescent="0.2">
      <c r="A13" s="39"/>
      <c r="B13" s="40" t="s">
        <v>78</v>
      </c>
      <c r="C13" s="110" t="s">
        <v>79</v>
      </c>
    </row>
    <row r="14" spans="1:6" ht="30" hidden="1" customHeight="1" x14ac:dyDescent="0.2">
      <c r="A14" s="39"/>
      <c r="B14" s="40" t="s">
        <v>77</v>
      </c>
      <c r="C14" s="114"/>
    </row>
    <row r="15" spans="1:6" ht="12" hidden="1" customHeight="1" x14ac:dyDescent="0.2">
      <c r="A15" s="41"/>
      <c r="B15" s="42"/>
      <c r="C15" s="115"/>
    </row>
    <row r="16" spans="1:6" ht="30" hidden="1" customHeight="1" x14ac:dyDescent="0.2">
      <c r="A16" s="39"/>
      <c r="B16" s="43" t="s">
        <v>87</v>
      </c>
      <c r="C16" s="110"/>
    </row>
    <row r="17" spans="1:7" ht="30" hidden="1" customHeight="1" x14ac:dyDescent="0.2">
      <c r="A17" s="39"/>
      <c r="B17" s="43" t="s">
        <v>88</v>
      </c>
      <c r="C17" s="116"/>
    </row>
    <row r="18" spans="1:7" ht="30" hidden="1" customHeight="1" x14ac:dyDescent="0.2">
      <c r="A18" s="39"/>
      <c r="B18" s="43" t="s">
        <v>61</v>
      </c>
      <c r="C18" s="116"/>
    </row>
    <row r="19" spans="1:7" ht="30" hidden="1" customHeight="1" x14ac:dyDescent="0.2">
      <c r="A19" s="39"/>
      <c r="B19" s="43" t="s">
        <v>62</v>
      </c>
      <c r="C19" s="116"/>
    </row>
    <row r="20" spans="1:7" ht="30" hidden="1" customHeight="1" x14ac:dyDescent="0.2">
      <c r="A20" s="39"/>
      <c r="B20" s="40" t="s">
        <v>63</v>
      </c>
      <c r="C20" s="116"/>
    </row>
    <row r="21" spans="1:7" ht="30" hidden="1" customHeight="1" x14ac:dyDescent="0.2">
      <c r="A21" s="39"/>
      <c r="B21" s="40" t="s">
        <v>69</v>
      </c>
      <c r="C21" s="116" t="s">
        <v>73</v>
      </c>
    </row>
    <row r="22" spans="1:7" ht="30" hidden="1" customHeight="1" x14ac:dyDescent="0.2">
      <c r="A22" s="39"/>
      <c r="B22" s="40" t="s">
        <v>70</v>
      </c>
      <c r="C22" s="116"/>
    </row>
    <row r="23" spans="1:7" ht="12" hidden="1" customHeight="1" x14ac:dyDescent="0.2">
      <c r="A23" s="41"/>
      <c r="B23" s="44"/>
      <c r="C23" s="117"/>
    </row>
    <row r="24" spans="1:7" ht="12" hidden="1" customHeight="1" x14ac:dyDescent="0.2">
      <c r="A24" s="41" t="s">
        <v>50</v>
      </c>
      <c r="B24" s="44"/>
      <c r="C24" s="118" t="s">
        <v>55</v>
      </c>
      <c r="D24" s="118" t="s">
        <v>56</v>
      </c>
      <c r="E24" s="118" t="s">
        <v>57</v>
      </c>
      <c r="F24" s="118" t="s">
        <v>58</v>
      </c>
      <c r="G24" s="118" t="s">
        <v>59</v>
      </c>
    </row>
    <row r="25" spans="1:7" ht="30" hidden="1" customHeight="1" x14ac:dyDescent="0.2">
      <c r="A25" s="39"/>
      <c r="B25" s="43" t="s">
        <v>51</v>
      </c>
      <c r="C25" s="110"/>
      <c r="D25" s="110"/>
      <c r="E25" s="110"/>
      <c r="F25" s="110"/>
      <c r="G25" s="110"/>
    </row>
    <row r="26" spans="1:7" ht="30" hidden="1" customHeight="1" x14ac:dyDescent="0.2">
      <c r="A26" s="39"/>
      <c r="B26" s="43" t="s">
        <v>52</v>
      </c>
      <c r="C26" s="110"/>
      <c r="D26" s="110"/>
      <c r="E26" s="110"/>
      <c r="F26" s="110"/>
      <c r="G26" s="110"/>
    </row>
    <row r="27" spans="1:7" ht="30" hidden="1" customHeight="1" x14ac:dyDescent="0.2">
      <c r="A27" s="39"/>
      <c r="B27" s="43" t="s">
        <v>53</v>
      </c>
      <c r="C27" s="110"/>
      <c r="D27" s="110"/>
      <c r="E27" s="110"/>
      <c r="F27" s="110"/>
      <c r="G27" s="110"/>
    </row>
    <row r="28" spans="1:7" ht="30" hidden="1" customHeight="1" x14ac:dyDescent="0.2">
      <c r="A28" s="39"/>
      <c r="B28" s="43" t="s">
        <v>76</v>
      </c>
      <c r="C28" s="110"/>
      <c r="D28" s="110"/>
      <c r="E28" s="110"/>
      <c r="F28" s="110"/>
      <c r="G28" s="110"/>
    </row>
    <row r="29" spans="1:7" ht="30" hidden="1" customHeight="1" x14ac:dyDescent="0.2">
      <c r="A29" s="39"/>
      <c r="B29" s="43" t="s">
        <v>68</v>
      </c>
      <c r="C29" s="113" t="s">
        <v>85</v>
      </c>
      <c r="D29" s="113"/>
      <c r="E29" s="113"/>
      <c r="F29" s="119"/>
      <c r="G29" s="119"/>
    </row>
    <row r="30" spans="1:7" ht="30" hidden="1" customHeight="1" x14ac:dyDescent="0.2">
      <c r="A30" s="39"/>
      <c r="B30" s="43" t="s">
        <v>54</v>
      </c>
      <c r="C30" s="120"/>
      <c r="D30" s="120"/>
      <c r="E30" s="120"/>
      <c r="F30" s="120"/>
      <c r="G30" s="120"/>
    </row>
    <row r="31" spans="1:7" ht="30" hidden="1" customHeight="1" x14ac:dyDescent="0.2">
      <c r="A31" s="39"/>
      <c r="B31" s="43" t="s">
        <v>64</v>
      </c>
      <c r="C31" s="120"/>
      <c r="D31" s="120"/>
      <c r="E31" s="120"/>
      <c r="F31" s="120"/>
      <c r="G31" s="120"/>
    </row>
    <row r="32" spans="1:7" ht="12" hidden="1" customHeight="1" x14ac:dyDescent="0.2">
      <c r="A32" s="41"/>
      <c r="B32" s="44"/>
      <c r="C32" s="117"/>
    </row>
    <row r="33" spans="1:7" ht="12" hidden="1" customHeight="1" x14ac:dyDescent="0.2">
      <c r="A33" s="41" t="s">
        <v>65</v>
      </c>
      <c r="B33" s="44"/>
      <c r="C33" s="118"/>
      <c r="D33" s="118"/>
      <c r="E33" s="118"/>
      <c r="F33" s="118"/>
      <c r="G33" s="118"/>
    </row>
    <row r="34" spans="1:7" ht="30" hidden="1" customHeight="1" x14ac:dyDescent="0.2">
      <c r="A34" s="39"/>
      <c r="B34" s="43"/>
      <c r="C34" s="155"/>
      <c r="D34" s="156"/>
      <c r="E34" s="157"/>
      <c r="F34" s="158"/>
    </row>
    <row r="35" spans="1:7" ht="30" hidden="1" customHeight="1" x14ac:dyDescent="0.2">
      <c r="A35" s="39"/>
      <c r="B35" s="43"/>
      <c r="C35" s="155"/>
      <c r="D35" s="156"/>
      <c r="E35" s="157"/>
      <c r="F35" s="158"/>
    </row>
    <row r="36" spans="1:7" ht="30" hidden="1" customHeight="1" x14ac:dyDescent="0.2">
      <c r="A36" s="39"/>
      <c r="B36" s="43"/>
      <c r="C36" s="155"/>
      <c r="D36" s="156"/>
      <c r="E36" s="157"/>
      <c r="F36" s="158"/>
    </row>
    <row r="37" spans="1:7" ht="30" hidden="1" customHeight="1" x14ac:dyDescent="0.2">
      <c r="A37" s="39"/>
      <c r="B37" s="43"/>
      <c r="C37" s="155"/>
      <c r="D37" s="156"/>
      <c r="E37" s="157"/>
      <c r="F37" s="158"/>
    </row>
    <row r="38" spans="1:7" ht="30" hidden="1" customHeight="1" x14ac:dyDescent="0.2">
      <c r="A38" s="39"/>
      <c r="B38" s="43"/>
      <c r="C38" s="155"/>
      <c r="D38" s="156"/>
      <c r="E38" s="157"/>
      <c r="F38" s="158"/>
    </row>
    <row r="39" spans="1:7" ht="30" hidden="1" customHeight="1" x14ac:dyDescent="0.2">
      <c r="A39" s="39"/>
      <c r="B39" s="40"/>
      <c r="C39" s="155"/>
      <c r="D39" s="156"/>
      <c r="E39" s="157"/>
      <c r="F39" s="158"/>
    </row>
    <row r="40" spans="1:7" ht="30" hidden="1" customHeight="1" x14ac:dyDescent="0.2">
      <c r="A40" s="39"/>
      <c r="B40" s="40"/>
      <c r="C40" s="155"/>
      <c r="D40" s="156"/>
      <c r="E40" s="157"/>
      <c r="F40" s="158"/>
    </row>
    <row r="41" spans="1:7" ht="30" hidden="1" customHeight="1" x14ac:dyDescent="0.2">
      <c r="A41" s="39"/>
      <c r="B41" s="40"/>
      <c r="C41" s="155"/>
      <c r="D41" s="156"/>
      <c r="E41" s="157"/>
      <c r="F41" s="158"/>
    </row>
    <row r="42" spans="1:7" ht="30" hidden="1" customHeight="1" x14ac:dyDescent="0.2">
      <c r="A42" s="39"/>
      <c r="B42" s="39"/>
    </row>
    <row r="43" spans="1:7" ht="30" hidden="1" customHeight="1" x14ac:dyDescent="0.2">
      <c r="A43" s="39"/>
      <c r="B43" s="39"/>
    </row>
    <row r="44" spans="1:7" ht="30" hidden="1" customHeight="1" x14ac:dyDescent="0.2">
      <c r="A44" s="39"/>
      <c r="B44" s="39"/>
    </row>
    <row r="45" spans="1:7" ht="30" customHeight="1" x14ac:dyDescent="0.2">
      <c r="A45" s="39"/>
      <c r="B45" s="39"/>
    </row>
    <row r="46" spans="1:7" ht="30" customHeight="1" x14ac:dyDescent="0.2">
      <c r="A46" s="39"/>
      <c r="B46" s="39"/>
    </row>
    <row r="47" spans="1:7" ht="30" customHeight="1" x14ac:dyDescent="0.2">
      <c r="A47" s="39"/>
      <c r="B47" s="39"/>
    </row>
    <row r="48" spans="1:7" ht="30" customHeight="1" x14ac:dyDescent="0.2">
      <c r="A48" s="39"/>
      <c r="B48" s="39"/>
    </row>
    <row r="49" spans="1:2" ht="30" customHeight="1" x14ac:dyDescent="0.2">
      <c r="A49" s="39"/>
      <c r="B49" s="39"/>
    </row>
    <row r="50" spans="1:2" ht="30" customHeight="1" x14ac:dyDescent="0.2">
      <c r="A50" s="39"/>
      <c r="B50" s="39"/>
    </row>
    <row r="51" spans="1:2" ht="30" customHeight="1" x14ac:dyDescent="0.2">
      <c r="A51" s="39"/>
      <c r="B51" s="39"/>
    </row>
    <row r="52" spans="1:2" ht="30" customHeight="1" x14ac:dyDescent="0.2">
      <c r="A52" s="39"/>
      <c r="B52" s="39"/>
    </row>
    <row r="53" spans="1:2" ht="30" customHeight="1" x14ac:dyDescent="0.2">
      <c r="A53" s="39"/>
      <c r="B53" s="39"/>
    </row>
    <row r="54" spans="1:2" x14ac:dyDescent="0.2">
      <c r="A54" s="39"/>
      <c r="B54" s="39"/>
    </row>
    <row r="55" spans="1:2" x14ac:dyDescent="0.2">
      <c r="A55" s="39"/>
      <c r="B55" s="39"/>
    </row>
    <row r="56" spans="1:2" x14ac:dyDescent="0.2">
      <c r="A56" s="39"/>
      <c r="B56" s="39"/>
    </row>
    <row r="57" spans="1:2" x14ac:dyDescent="0.2">
      <c r="A57" s="39"/>
      <c r="B57" s="39"/>
    </row>
    <row r="58" spans="1:2" x14ac:dyDescent="0.2">
      <c r="A58" s="39"/>
      <c r="B58" s="39"/>
    </row>
    <row r="59" spans="1:2" x14ac:dyDescent="0.2">
      <c r="A59" s="39"/>
      <c r="B59" s="39"/>
    </row>
    <row r="60" spans="1:2" x14ac:dyDescent="0.2">
      <c r="A60" s="39"/>
      <c r="B60" s="39"/>
    </row>
  </sheetData>
  <protectedRanges>
    <protectedRange sqref="C1:C29" name="Range1"/>
  </protectedRanges>
  <mergeCells count="8">
    <mergeCell ref="C41:F41"/>
    <mergeCell ref="C34:F34"/>
    <mergeCell ref="C35:F35"/>
    <mergeCell ref="C36:F36"/>
    <mergeCell ref="C37:F37"/>
    <mergeCell ref="C38:F38"/>
    <mergeCell ref="C39:F39"/>
    <mergeCell ref="C40:F40"/>
  </mergeCells>
  <phoneticPr fontId="1" type="noConversion"/>
  <dataValidations count="7">
    <dataValidation type="list" allowBlank="1" showInputMessage="1" showErrorMessage="1" sqref="C5" xr:uid="{00000000-0002-0000-0000-000000000000}">
      <formula1>Afzender</formula1>
    </dataValidation>
    <dataValidation type="list" allowBlank="1" showInputMessage="1" showErrorMessage="1" sqref="C29:G29" xr:uid="{00000000-0002-0000-0000-000001000000}">
      <formula1>Goederenomschrijving</formula1>
    </dataValidation>
    <dataValidation type="list" allowBlank="1" showInputMessage="1" showErrorMessage="1" sqref="C27:G27" xr:uid="{00000000-0002-0000-0000-000002000000}">
      <formula1>verpakking</formula1>
    </dataValidation>
    <dataValidation type="list" allowBlank="1" showInputMessage="1" showErrorMessage="1" sqref="C21" xr:uid="{00000000-0002-0000-0000-000003000000}">
      <formula1>Delivery_terms</formula1>
    </dataValidation>
    <dataValidation type="list" allowBlank="1" showInputMessage="1" showErrorMessage="1" sqref="C6:C7" xr:uid="{00000000-0002-0000-0000-000004000000}">
      <formula1>Vervoerder</formula1>
    </dataValidation>
    <dataValidation type="list" allowBlank="1" showInputMessage="1" showErrorMessage="1" sqref="C2" xr:uid="{00000000-0002-0000-0000-000005000000}">
      <formula1>ontvanger2</formula1>
    </dataValidation>
    <dataValidation type="list" allowBlank="1" showDropDown="1" showInputMessage="1" showErrorMessage="1" sqref="C43" xr:uid="{00000000-0002-0000-0000-000006000000}">
      <formula1>ontvanger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indexed="17"/>
    <pageSetUpPr autoPageBreaks="0" fitToPage="1"/>
  </sheetPr>
  <dimension ref="A1:AJ76"/>
  <sheetViews>
    <sheetView showGridLines="0" showZeros="0" tabSelected="1" showOutlineSymbols="0" topLeftCell="A3" zoomScale="97" zoomScaleNormal="97" workbookViewId="0">
      <selection activeCell="C15" sqref="C15:G16"/>
    </sheetView>
  </sheetViews>
  <sheetFormatPr defaultRowHeight="12.95" customHeight="1" x14ac:dyDescent="0.2"/>
  <cols>
    <col min="1" max="1" width="3.5703125" customWidth="1"/>
    <col min="2" max="2" width="11" customWidth="1"/>
    <col min="3" max="3" width="3.28515625" customWidth="1"/>
    <col min="4" max="4" width="11" customWidth="1"/>
    <col min="5" max="5" width="10.28515625" customWidth="1"/>
    <col min="6" max="6" width="16.140625" bestFit="1" customWidth="1"/>
    <col min="7" max="7" width="15.7109375" bestFit="1" customWidth="1"/>
    <col min="8" max="9" width="3.28515625" customWidth="1"/>
    <col min="10" max="10" width="2.42578125" customWidth="1"/>
    <col min="11" max="12" width="3.28515625" hidden="1" customWidth="1"/>
    <col min="13" max="13" width="5.42578125" customWidth="1"/>
    <col min="14" max="31" width="3.28515625" customWidth="1"/>
    <col min="32" max="32" width="2" customWidth="1"/>
  </cols>
  <sheetData>
    <row r="1" spans="1:36" ht="18" hidden="1" customHeight="1" x14ac:dyDescent="0.25">
      <c r="A1" s="3"/>
      <c r="B1" s="3"/>
      <c r="C1" s="151" t="str">
        <f>IF('Invoerveld CMR'!C5="","",VLOOKUP('Invoerveld CMR'!C5,Afzender!A3:B30,2,FALSE))</f>
        <v>Hessing Greenport Venlo
Maarten de Vriesstraat 3
5975 RW Sevenum
The Netherlands</v>
      </c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79"/>
      <c r="P1" s="79"/>
      <c r="Q1" s="79"/>
      <c r="R1" s="79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6" ht="18" hidden="1" customHeight="1" x14ac:dyDescent="0.25">
      <c r="A2" s="3"/>
      <c r="B2" s="3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79"/>
      <c r="P2" s="79"/>
      <c r="Q2" s="79"/>
      <c r="R2" s="79"/>
      <c r="S2" s="3"/>
      <c r="T2" s="3"/>
      <c r="U2" s="3"/>
      <c r="X2" s="3"/>
      <c r="Y2" s="3"/>
      <c r="Z2" s="3"/>
      <c r="AA2" s="3"/>
      <c r="AB2" s="3"/>
      <c r="AC2" s="3"/>
      <c r="AD2" s="3"/>
      <c r="AE2" s="3"/>
      <c r="AF2" s="3"/>
    </row>
    <row r="3" spans="1:36" ht="3.75" customHeight="1" x14ac:dyDescent="0.25">
      <c r="A3" s="3"/>
      <c r="B3" s="3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79"/>
      <c r="P3" s="79"/>
      <c r="Q3" s="79"/>
      <c r="R3" s="79"/>
      <c r="S3" s="3"/>
      <c r="T3" s="3"/>
      <c r="U3" s="3"/>
      <c r="X3" s="3"/>
      <c r="Y3" s="3"/>
      <c r="Z3" s="3"/>
      <c r="AA3" s="3"/>
      <c r="AB3" s="3"/>
      <c r="AC3" s="3"/>
      <c r="AD3" s="3"/>
      <c r="AE3" s="3"/>
      <c r="AF3" s="3"/>
    </row>
    <row r="4" spans="1:36" ht="3.75" customHeight="1" x14ac:dyDescent="0.25">
      <c r="A4" s="3"/>
      <c r="B4" s="3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79"/>
      <c r="P4" s="79"/>
      <c r="Q4" s="79"/>
      <c r="R4" s="79"/>
      <c r="S4" s="3"/>
      <c r="T4" s="3"/>
      <c r="U4" s="3"/>
      <c r="X4" s="3"/>
      <c r="Y4" s="3"/>
      <c r="Z4" s="3"/>
      <c r="AA4" s="3"/>
      <c r="AB4" s="3"/>
      <c r="AC4" s="3"/>
      <c r="AD4" s="3"/>
      <c r="AE4" s="3"/>
      <c r="AF4" s="3"/>
    </row>
    <row r="5" spans="1:36" ht="3.75" customHeight="1" x14ac:dyDescent="0.25">
      <c r="A5" s="3"/>
      <c r="B5" s="3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79"/>
      <c r="P5" s="79"/>
      <c r="Q5" s="79"/>
      <c r="R5" s="79"/>
      <c r="S5" s="3"/>
      <c r="T5" s="3"/>
      <c r="U5" s="3"/>
      <c r="X5" s="3"/>
      <c r="Y5" s="3"/>
      <c r="Z5" s="3"/>
      <c r="AA5" s="3"/>
      <c r="AB5" s="3"/>
      <c r="AC5" s="3"/>
      <c r="AD5" s="3"/>
      <c r="AE5" s="3"/>
      <c r="AF5" s="3"/>
    </row>
    <row r="6" spans="1:36" ht="3.75" customHeight="1" x14ac:dyDescent="0.25">
      <c r="A6" s="3"/>
      <c r="B6" s="3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79"/>
      <c r="P6" s="79"/>
      <c r="Q6" s="79"/>
      <c r="R6" s="79"/>
      <c r="S6" s="3"/>
      <c r="T6" s="3"/>
      <c r="U6" s="3"/>
      <c r="X6" s="3"/>
      <c r="Y6" s="3"/>
      <c r="Z6" s="3"/>
      <c r="AA6" s="3"/>
      <c r="AB6" s="3"/>
      <c r="AC6" s="3"/>
      <c r="AD6" s="3"/>
      <c r="AE6" s="3"/>
      <c r="AF6" s="3"/>
    </row>
    <row r="7" spans="1:36" ht="20.25" customHeight="1" x14ac:dyDescent="0.4"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79"/>
      <c r="P7" s="79"/>
      <c r="Q7" s="79"/>
      <c r="R7" s="79"/>
      <c r="S7" s="3"/>
      <c r="T7" s="3"/>
      <c r="U7" s="3"/>
      <c r="X7" s="92" t="s">
        <v>440</v>
      </c>
      <c r="Y7" s="3"/>
      <c r="Z7" s="3"/>
      <c r="AA7" s="3"/>
      <c r="AB7" s="3"/>
      <c r="AC7" s="3"/>
      <c r="AD7" s="3"/>
      <c r="AE7" s="3"/>
      <c r="AF7" s="3"/>
    </row>
    <row r="8" spans="1:36" ht="12.95" customHeight="1" x14ac:dyDescent="0.4">
      <c r="A8" s="3"/>
      <c r="B8" s="3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79"/>
      <c r="P8" s="79"/>
      <c r="Q8" s="79"/>
      <c r="R8" s="79"/>
      <c r="S8" s="3"/>
      <c r="T8" s="3"/>
      <c r="X8" s="3"/>
      <c r="Y8" s="3"/>
      <c r="Z8" s="3"/>
      <c r="AA8" s="3"/>
      <c r="AB8" s="3"/>
      <c r="AC8" s="92" t="s">
        <v>220</v>
      </c>
      <c r="AD8" s="3"/>
      <c r="AE8" s="3"/>
      <c r="AF8" s="3"/>
    </row>
    <row r="9" spans="1:36" ht="12.95" customHeight="1" x14ac:dyDescent="0.4">
      <c r="A9" s="3"/>
      <c r="B9" s="3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79"/>
      <c r="P9" s="79"/>
      <c r="Q9" s="79"/>
      <c r="R9" s="79"/>
      <c r="S9" s="3"/>
      <c r="T9" s="3"/>
      <c r="U9" s="3"/>
      <c r="X9" s="3"/>
      <c r="Y9" s="3"/>
      <c r="Z9" s="3"/>
      <c r="AA9" s="3"/>
      <c r="AB9" s="3"/>
      <c r="AC9" s="92" t="s">
        <v>220</v>
      </c>
      <c r="AD9" s="3"/>
      <c r="AE9" s="3"/>
      <c r="AF9" s="3"/>
    </row>
    <row r="10" spans="1:36" ht="18" customHeight="1" x14ac:dyDescent="0.25">
      <c r="A10" s="3"/>
      <c r="B10" s="3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79"/>
      <c r="P10" s="79"/>
      <c r="Q10" s="79"/>
      <c r="R10" s="79"/>
      <c r="S10" s="3"/>
      <c r="T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ht="12.95" customHeight="1" x14ac:dyDescent="0.25">
      <c r="A11" s="3"/>
      <c r="B11" s="3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S11" s="3"/>
      <c r="T11" s="3"/>
      <c r="U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ht="14.25" customHeight="1" x14ac:dyDescent="0.25">
      <c r="A12" s="3"/>
      <c r="B12" s="3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S12" s="3"/>
      <c r="T12" s="3"/>
      <c r="U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ht="12.95" customHeight="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6" ht="12.9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6" ht="18" customHeight="1" x14ac:dyDescent="0.3">
      <c r="A15" s="3"/>
      <c r="B15" s="3"/>
      <c r="C15" s="151" t="s">
        <v>459</v>
      </c>
      <c r="D15" s="151"/>
      <c r="E15" s="151"/>
      <c r="F15" s="151"/>
      <c r="G15" s="151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AD15" s="123"/>
      <c r="AE15" s="123"/>
      <c r="AF15" s="123"/>
      <c r="AG15" s="123"/>
      <c r="AH15" s="123"/>
      <c r="AI15" s="123"/>
      <c r="AJ15" s="123"/>
    </row>
    <row r="16" spans="1:36" ht="18.75" customHeight="1" x14ac:dyDescent="0.3">
      <c r="A16" s="3"/>
      <c r="B16" s="3"/>
      <c r="C16" s="151"/>
      <c r="D16" s="151"/>
      <c r="E16" s="151"/>
      <c r="F16" s="151"/>
      <c r="G16" s="151"/>
      <c r="H16" s="133"/>
      <c r="I16" s="133"/>
      <c r="J16" s="133"/>
      <c r="K16" s="133"/>
      <c r="L16" s="133"/>
      <c r="M16" s="123" t="s">
        <v>447</v>
      </c>
      <c r="N16" s="133"/>
      <c r="P16" s="133"/>
      <c r="Q16" s="13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06"/>
      <c r="AE16" s="106"/>
      <c r="AF16" s="106"/>
    </row>
    <row r="17" spans="1:32" ht="18.75" x14ac:dyDescent="0.25">
      <c r="A17" s="3"/>
      <c r="B17" s="3"/>
      <c r="C17" s="152" t="s">
        <v>460</v>
      </c>
      <c r="D17" s="152"/>
      <c r="E17" s="152"/>
      <c r="F17" s="152"/>
      <c r="G17" s="80"/>
      <c r="H17" s="80"/>
      <c r="I17" s="80"/>
      <c r="J17" s="80"/>
      <c r="K17" s="80"/>
      <c r="L17" s="80"/>
      <c r="M17" s="123" t="s">
        <v>448</v>
      </c>
      <c r="N17" s="80"/>
      <c r="P17" s="80"/>
      <c r="Q17" s="80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06"/>
      <c r="AE17" s="106"/>
      <c r="AF17" s="106"/>
    </row>
    <row r="18" spans="1:32" ht="18.75" x14ac:dyDescent="0.25">
      <c r="A18" s="3"/>
      <c r="B18" s="3"/>
      <c r="C18" s="60" t="s">
        <v>461</v>
      </c>
      <c r="D18" s="80"/>
      <c r="E18" s="80"/>
      <c r="G18" s="80"/>
      <c r="H18" s="80"/>
      <c r="I18" s="80"/>
      <c r="J18" s="80"/>
      <c r="K18" s="80"/>
      <c r="L18" s="80"/>
      <c r="M18" s="123" t="s">
        <v>444</v>
      </c>
      <c r="N18" s="80"/>
      <c r="P18" s="80"/>
      <c r="Q18" s="80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06"/>
      <c r="AE18" s="106"/>
      <c r="AF18" s="106"/>
    </row>
    <row r="19" spans="1:32" ht="18.75" x14ac:dyDescent="0.25">
      <c r="A19" s="3"/>
      <c r="B19" s="3"/>
      <c r="C19" s="60" t="s">
        <v>444</v>
      </c>
      <c r="D19" s="80"/>
      <c r="E19" s="80"/>
      <c r="F19" s="80"/>
      <c r="G19" s="80"/>
      <c r="H19" s="80"/>
      <c r="I19" s="80"/>
      <c r="J19" s="80"/>
      <c r="K19" s="80"/>
      <c r="L19" s="80"/>
      <c r="M19" s="131" t="s">
        <v>449</v>
      </c>
      <c r="N19" s="80"/>
      <c r="P19" s="80"/>
      <c r="Q19" s="80"/>
      <c r="S19" s="80"/>
      <c r="T19" s="80"/>
      <c r="U19" s="3"/>
      <c r="V19" s="3"/>
      <c r="W19" s="81"/>
      <c r="X19" s="106"/>
      <c r="Y19" s="106"/>
      <c r="Z19" s="106"/>
      <c r="AA19" s="106"/>
      <c r="AB19" s="106"/>
      <c r="AC19" s="106"/>
      <c r="AD19" s="81"/>
      <c r="AE19" s="3"/>
      <c r="AF19" s="3"/>
    </row>
    <row r="20" spans="1:32" ht="18" x14ac:dyDescent="0.25">
      <c r="A20" s="3"/>
      <c r="B20" s="3"/>
      <c r="L20" s="3"/>
      <c r="M20" s="131" t="s">
        <v>450</v>
      </c>
      <c r="N20" s="3"/>
      <c r="P20" s="3"/>
      <c r="Q20" s="3"/>
      <c r="U20" s="3"/>
      <c r="V20" s="3"/>
      <c r="W20" s="81"/>
      <c r="X20" s="81"/>
      <c r="Y20" s="81"/>
      <c r="Z20" s="81"/>
      <c r="AA20" s="81"/>
      <c r="AB20" s="81"/>
      <c r="AC20" s="81"/>
    </row>
    <row r="21" spans="1:32" ht="12.95" customHeight="1" x14ac:dyDescent="0.25">
      <c r="A21" s="3"/>
      <c r="B21" s="3"/>
      <c r="C21" s="48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U21" s="5">
        <v>0</v>
      </c>
      <c r="V21" s="5"/>
      <c r="W21" s="102" t="str">
        <f>IF('Invoerveld CMR'!C7="","",VLOOKUP('Invoerveld CMR'!C7,Vervoerder!$A$2:$B$102,2,FALSE))</f>
        <v/>
      </c>
      <c r="X21" s="102"/>
      <c r="Y21" s="102"/>
      <c r="Z21" s="102"/>
      <c r="AA21" s="102"/>
      <c r="AB21" s="102"/>
      <c r="AC21" s="102"/>
      <c r="AD21" s="102"/>
      <c r="AE21" s="102"/>
      <c r="AF21" s="102"/>
    </row>
    <row r="22" spans="1:32" ht="7.5" customHeight="1" x14ac:dyDescent="0.25">
      <c r="A22" s="3"/>
      <c r="B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T22" s="12"/>
      <c r="U22" s="5">
        <v>0</v>
      </c>
      <c r="V22" s="5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</row>
    <row r="23" spans="1:32" ht="13.5" customHeight="1" x14ac:dyDescent="0.25">
      <c r="A23" s="3"/>
      <c r="B23" s="3"/>
      <c r="G23" s="83"/>
      <c r="H23" s="83"/>
      <c r="I23" s="83"/>
      <c r="J23" s="83"/>
      <c r="K23" s="83"/>
      <c r="L23" s="83"/>
      <c r="M23" s="3"/>
      <c r="N23" s="3"/>
      <c r="O23" s="3"/>
      <c r="P23" s="3"/>
      <c r="Q23" s="3"/>
      <c r="R23" s="3"/>
      <c r="S23" s="84"/>
      <c r="T23" s="3"/>
      <c r="U23" s="3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</row>
    <row r="24" spans="1:32" ht="18.75" x14ac:dyDescent="0.25">
      <c r="A24" s="3"/>
      <c r="B24" s="3"/>
      <c r="C24" s="106" t="s">
        <v>462</v>
      </c>
      <c r="D24" s="83"/>
      <c r="E24" s="83"/>
      <c r="F24" s="83"/>
      <c r="G24" s="83"/>
      <c r="H24" s="83"/>
      <c r="I24" s="83"/>
      <c r="J24" s="83"/>
      <c r="K24" s="83"/>
      <c r="L24" s="83"/>
      <c r="M24" s="3"/>
      <c r="N24" s="3"/>
      <c r="O24" s="3"/>
      <c r="P24" s="3"/>
      <c r="Q24" s="3"/>
      <c r="R24" s="3"/>
      <c r="S24" s="84"/>
      <c r="T24" s="3"/>
      <c r="U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 ht="12.95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 ht="12.95" customHeight="1" x14ac:dyDescent="0.25">
      <c r="A26" s="3"/>
      <c r="B26" s="3"/>
      <c r="Q26" s="3"/>
      <c r="R26" s="3"/>
      <c r="S26" s="3"/>
      <c r="T26" s="3"/>
      <c r="W26" s="46"/>
      <c r="X26" s="9"/>
      <c r="Z26" s="3"/>
      <c r="AA26" s="3"/>
      <c r="AB26" s="3"/>
      <c r="AC26" s="3"/>
      <c r="AD26" s="3"/>
      <c r="AE26" s="3"/>
      <c r="AF26" s="90">
        <f>'Invoerveld CMR'!C8</f>
        <v>0</v>
      </c>
    </row>
    <row r="27" spans="1:32" ht="5.25" customHeight="1" x14ac:dyDescent="0.25">
      <c r="A27" s="3"/>
      <c r="B27" s="3"/>
      <c r="C27" s="106"/>
      <c r="D27" s="106"/>
      <c r="E27" s="106"/>
      <c r="F27" s="106"/>
      <c r="G27" s="106"/>
      <c r="H27" s="106"/>
      <c r="Q27" s="3"/>
      <c r="R27" s="3"/>
    </row>
    <row r="28" spans="1:32" ht="12.95" customHeight="1" x14ac:dyDescent="0.25">
      <c r="A28" s="3"/>
      <c r="B28" s="3"/>
      <c r="C28" s="106"/>
      <c r="D28" s="106"/>
      <c r="E28" s="106"/>
      <c r="F28" s="106"/>
      <c r="G28" s="106"/>
      <c r="H28" s="106"/>
      <c r="I28" s="48"/>
      <c r="Q28" s="3"/>
      <c r="R28" s="3"/>
      <c r="W28" s="46"/>
      <c r="Z28" s="3"/>
      <c r="AA28" s="3"/>
      <c r="AB28" s="3"/>
      <c r="AC28" s="3"/>
      <c r="AD28" s="3"/>
      <c r="AE28" s="3"/>
      <c r="AF28" s="90">
        <f>'Invoerveld CMR'!C9</f>
        <v>0</v>
      </c>
    </row>
    <row r="29" spans="1:32" ht="12.95" customHeight="1" x14ac:dyDescent="0.25">
      <c r="A29" s="3"/>
      <c r="B29" s="3"/>
      <c r="C29" s="106"/>
      <c r="D29" s="106"/>
      <c r="E29" s="106"/>
      <c r="F29" s="106"/>
      <c r="G29" s="106"/>
      <c r="H29" s="106"/>
      <c r="I29" s="48"/>
      <c r="J29" s="60"/>
      <c r="K29" s="60"/>
      <c r="L29" s="60"/>
      <c r="M29" s="60"/>
      <c r="N29" s="60"/>
      <c r="O29" s="60"/>
      <c r="P29" s="60"/>
      <c r="Q29" s="3"/>
      <c r="R29" s="3"/>
      <c r="S29" s="85"/>
      <c r="T29" s="15"/>
      <c r="Z29" s="85"/>
      <c r="AA29" s="86"/>
      <c r="AB29" s="86"/>
      <c r="AC29" s="86"/>
      <c r="AD29" s="86"/>
      <c r="AE29" s="3"/>
    </row>
    <row r="30" spans="1:32" ht="18.75" x14ac:dyDescent="0.25">
      <c r="A30" s="3"/>
      <c r="B30" s="3"/>
      <c r="C30" s="126" t="s">
        <v>445</v>
      </c>
      <c r="D30" s="126"/>
      <c r="E30" s="126"/>
      <c r="F30" s="127">
        <f ca="1">TODAY()</f>
        <v>46130</v>
      </c>
      <c r="G30" s="106"/>
      <c r="H30" s="106"/>
      <c r="I30" s="100"/>
      <c r="J30" s="60"/>
      <c r="K30" s="60"/>
      <c r="L30" s="87"/>
      <c r="M30" s="87"/>
      <c r="N30" s="87"/>
      <c r="O30" s="87"/>
      <c r="P30" s="87"/>
      <c r="Q30" s="86"/>
      <c r="R30" s="86"/>
      <c r="AA30" s="86"/>
      <c r="AB30" s="86"/>
      <c r="AC30" s="86"/>
      <c r="AD30" s="86"/>
      <c r="AE30" s="86"/>
    </row>
    <row r="31" spans="1:32" ht="16.5" customHeight="1" x14ac:dyDescent="0.25">
      <c r="A31" s="3"/>
      <c r="B31" s="3"/>
      <c r="C31" s="106"/>
      <c r="D31" s="106"/>
      <c r="E31" s="106"/>
      <c r="F31" s="106"/>
      <c r="G31" s="106"/>
      <c r="H31" s="106"/>
      <c r="I31" s="100"/>
      <c r="J31" s="88"/>
      <c r="K31" s="88"/>
      <c r="L31" s="3"/>
      <c r="M31" s="3"/>
      <c r="N31" s="3"/>
      <c r="O31" s="86"/>
      <c r="P31" s="86"/>
      <c r="Q31" s="3"/>
      <c r="R31" s="3"/>
      <c r="S31" s="86"/>
      <c r="T31" s="15"/>
      <c r="W31" s="46"/>
      <c r="Z31" s="86"/>
      <c r="AA31" s="149">
        <f>'Invoerveld CMR'!C10</f>
        <v>0</v>
      </c>
      <c r="AB31" s="149"/>
      <c r="AC31" s="149"/>
      <c r="AD31" s="86"/>
      <c r="AE31" s="86"/>
      <c r="AF31" s="3"/>
    </row>
    <row r="32" spans="1:32" ht="16.5" customHeight="1" x14ac:dyDescent="0.25">
      <c r="A32" s="3"/>
      <c r="B32" s="3"/>
      <c r="C32" s="106"/>
      <c r="D32" s="106"/>
      <c r="E32" s="106"/>
      <c r="F32" s="106"/>
      <c r="G32" s="106"/>
      <c r="H32" s="106"/>
      <c r="I32" s="100"/>
      <c r="J32" s="88"/>
      <c r="K32" s="88"/>
      <c r="L32" s="3"/>
      <c r="M32" s="3"/>
      <c r="N32" s="3"/>
      <c r="O32" s="86"/>
      <c r="P32" s="86"/>
      <c r="Q32" s="3"/>
      <c r="R32" s="3"/>
      <c r="S32" s="86"/>
      <c r="T32" s="15"/>
      <c r="W32" s="46"/>
      <c r="Z32" s="86"/>
      <c r="AA32" s="122"/>
      <c r="AB32" s="122"/>
      <c r="AC32" s="122"/>
      <c r="AD32" s="86"/>
      <c r="AE32" s="86"/>
      <c r="AF32" s="3"/>
    </row>
    <row r="33" spans="1:32" ht="12.95" customHeight="1" x14ac:dyDescent="0.25">
      <c r="A33" s="3"/>
      <c r="B33" s="3"/>
      <c r="C33" s="106"/>
      <c r="D33" s="106"/>
      <c r="E33" s="106"/>
      <c r="F33" s="106"/>
      <c r="G33" s="106"/>
      <c r="H33" s="106"/>
      <c r="I33" s="89"/>
      <c r="J33" s="88"/>
      <c r="K33" s="88"/>
      <c r="L33" s="3"/>
      <c r="M33" s="3"/>
      <c r="N33" s="3"/>
      <c r="O33" s="86"/>
      <c r="P33" s="86"/>
      <c r="Q33" s="86"/>
      <c r="R33" s="86"/>
      <c r="S33" s="3"/>
      <c r="T33" s="3"/>
      <c r="U33" s="3"/>
      <c r="Z33" s="86"/>
      <c r="AA33" s="86"/>
      <c r="AB33" s="86"/>
      <c r="AC33" s="86"/>
      <c r="AD33" s="86"/>
      <c r="AE33" s="3"/>
      <c r="AF33" s="3"/>
    </row>
    <row r="34" spans="1:32" ht="17.25" customHeight="1" x14ac:dyDescent="0.25">
      <c r="A34" s="3"/>
      <c r="B34" s="3"/>
      <c r="C34" s="132" t="s">
        <v>446</v>
      </c>
      <c r="D34" s="106"/>
      <c r="E34" s="106"/>
      <c r="F34" s="106"/>
      <c r="G34" s="106"/>
      <c r="H34" s="106"/>
      <c r="I34" s="3"/>
      <c r="J34" s="3"/>
      <c r="K34" s="3"/>
      <c r="L34" s="3"/>
      <c r="M34" s="3"/>
      <c r="N34" s="3"/>
      <c r="O34" s="86"/>
      <c r="P34" s="86"/>
      <c r="Q34" s="86"/>
      <c r="R34" s="86"/>
      <c r="S34" s="3"/>
      <c r="T34" s="86"/>
      <c r="U34" s="86"/>
      <c r="W34" s="46"/>
      <c r="Z34" s="86"/>
      <c r="AA34" s="149">
        <f>'Invoerveld CMR'!C11</f>
        <v>0</v>
      </c>
      <c r="AB34" s="149"/>
      <c r="AC34" s="149"/>
      <c r="AD34" s="86"/>
      <c r="AE34" s="86"/>
      <c r="AF34" s="86"/>
    </row>
    <row r="35" spans="1:32" ht="1.5" customHeight="1" x14ac:dyDescent="0.25">
      <c r="A35" s="3"/>
      <c r="B35" s="3"/>
      <c r="C35" s="150"/>
      <c r="D35" s="150"/>
      <c r="E35" s="150"/>
      <c r="F35" s="150"/>
      <c r="G35" s="150"/>
      <c r="H35" s="150"/>
      <c r="I35" s="3"/>
      <c r="J35" s="3"/>
      <c r="K35" s="3"/>
      <c r="L35" s="3"/>
      <c r="M35" s="3"/>
      <c r="N35" s="3"/>
      <c r="O35" s="86"/>
      <c r="P35" s="86"/>
      <c r="Q35" s="86"/>
      <c r="R35" s="86"/>
      <c r="S35" s="86"/>
      <c r="T35" s="86"/>
      <c r="U35" s="86"/>
      <c r="X35" s="86"/>
      <c r="Y35" s="86"/>
      <c r="Z35" s="86"/>
      <c r="AA35" s="86"/>
      <c r="AB35" s="86"/>
      <c r="AC35" s="86"/>
      <c r="AD35" s="86"/>
      <c r="AE35" s="86"/>
      <c r="AF35" s="86"/>
    </row>
    <row r="36" spans="1:32" ht="18.75" customHeight="1" x14ac:dyDescent="0.25">
      <c r="A36" s="3"/>
      <c r="B36" s="3"/>
      <c r="C36" s="150"/>
      <c r="D36" s="150"/>
      <c r="E36" s="150"/>
      <c r="F36" s="150"/>
      <c r="G36" s="150"/>
      <c r="H36" s="150"/>
      <c r="I36" s="3"/>
      <c r="J36" s="3"/>
      <c r="K36" s="3"/>
      <c r="L36" s="3"/>
      <c r="M36" s="3"/>
      <c r="N36" s="3"/>
      <c r="O36" s="86"/>
      <c r="P36" s="86"/>
      <c r="Q36" s="86"/>
      <c r="R36" s="86"/>
      <c r="S36" s="86"/>
      <c r="T36" s="86"/>
      <c r="U36" s="86"/>
      <c r="X36" s="86"/>
      <c r="Y36" s="86"/>
      <c r="Z36" s="86"/>
      <c r="AA36" s="86"/>
      <c r="AB36" s="86"/>
      <c r="AC36" s="86"/>
      <c r="AD36" s="86"/>
      <c r="AE36" s="86"/>
      <c r="AF36" s="86"/>
    </row>
    <row r="37" spans="1:32" ht="12.95" customHeight="1" x14ac:dyDescent="0.25">
      <c r="A37" s="3"/>
      <c r="B37" s="3"/>
      <c r="D37" s="132"/>
      <c r="E37" s="132"/>
      <c r="F37" s="132"/>
      <c r="G37" s="132"/>
      <c r="H37" s="132"/>
    </row>
    <row r="38" spans="1:32" ht="12.95" customHeight="1" x14ac:dyDescent="0.25">
      <c r="A38" s="3"/>
      <c r="B38" s="3"/>
      <c r="C38" s="132"/>
      <c r="D38" s="132"/>
      <c r="E38" s="132"/>
      <c r="F38" s="132"/>
      <c r="G38" s="132"/>
      <c r="H38" s="132"/>
    </row>
    <row r="39" spans="1:32" ht="12.95" customHeight="1" x14ac:dyDescent="0.25">
      <c r="A39" s="3"/>
      <c r="B39" s="3"/>
      <c r="C39" s="154">
        <f>'Invoerveld CMR'!D25</f>
        <v>0</v>
      </c>
      <c r="D39" s="154"/>
      <c r="E39" s="154"/>
      <c r="F39" s="82"/>
    </row>
    <row r="40" spans="1:32" ht="16.5" x14ac:dyDescent="0.25">
      <c r="A40" s="3"/>
      <c r="B40" s="3"/>
      <c r="C40" s="136" t="s">
        <v>458</v>
      </c>
      <c r="D40" s="136"/>
      <c r="E40" s="136"/>
      <c r="F40" s="137" t="s">
        <v>471</v>
      </c>
      <c r="G40" s="137"/>
      <c r="H40" s="137"/>
      <c r="I40" s="137"/>
      <c r="J40" s="137"/>
      <c r="K40" s="137"/>
      <c r="L40" s="137"/>
      <c r="M40" s="137"/>
      <c r="N40" s="5"/>
      <c r="O40" s="5"/>
      <c r="P40" s="5"/>
      <c r="Q40" s="5"/>
      <c r="R40" s="5"/>
      <c r="S40" s="5"/>
      <c r="T40" s="5"/>
      <c r="U40" s="5"/>
      <c r="V40" s="5"/>
    </row>
    <row r="41" spans="1:32" ht="20.25" x14ac:dyDescent="0.3">
      <c r="A41" s="3"/>
      <c r="B41" s="3"/>
      <c r="C41" s="136" t="s">
        <v>472</v>
      </c>
      <c r="D41" s="136"/>
      <c r="E41" s="136"/>
      <c r="F41" s="82"/>
      <c r="N41" s="5"/>
      <c r="O41" s="5"/>
      <c r="P41" s="5"/>
      <c r="Q41" s="5"/>
      <c r="R41" s="5"/>
      <c r="S41" s="5"/>
      <c r="T41" s="5"/>
      <c r="U41" s="5"/>
      <c r="V41" s="5"/>
      <c r="W41" s="97"/>
    </row>
    <row r="42" spans="1:32" ht="20.25" x14ac:dyDescent="0.3">
      <c r="A42" s="3"/>
      <c r="B42" s="5"/>
      <c r="C42" s="46"/>
      <c r="D42" s="134"/>
      <c r="E42" s="125"/>
      <c r="F42" s="139"/>
      <c r="G42" s="139"/>
      <c r="H42" s="139"/>
      <c r="I42" s="139"/>
      <c r="J42" s="139"/>
      <c r="K42" s="139"/>
      <c r="L42" s="139"/>
      <c r="M42" s="139"/>
      <c r="N42" s="140"/>
      <c r="O42" s="140"/>
      <c r="P42" s="140"/>
      <c r="Q42" s="5"/>
      <c r="R42" s="5"/>
      <c r="S42" s="5"/>
      <c r="T42" s="5"/>
      <c r="U42" s="5"/>
      <c r="V42" s="5"/>
    </row>
    <row r="43" spans="1:32" ht="20.25" x14ac:dyDescent="0.3">
      <c r="A43" s="3"/>
      <c r="B43" s="5"/>
      <c r="C43" s="46"/>
      <c r="D43" s="135"/>
      <c r="E43" s="125" t="s">
        <v>455</v>
      </c>
      <c r="F43" s="139" t="s">
        <v>465</v>
      </c>
      <c r="G43" s="139"/>
      <c r="H43" s="139"/>
      <c r="I43" s="139"/>
      <c r="J43" s="139"/>
      <c r="K43" s="139"/>
      <c r="L43" s="139"/>
      <c r="M43" s="139"/>
      <c r="N43" s="138">
        <f>D43*0.7</f>
        <v>0</v>
      </c>
      <c r="O43" s="138"/>
      <c r="P43" s="138"/>
      <c r="Q43" s="138"/>
      <c r="R43" s="138"/>
      <c r="S43" s="134" t="s">
        <v>464</v>
      </c>
      <c r="T43" s="135"/>
      <c r="U43" s="135"/>
      <c r="V43" s="5"/>
    </row>
    <row r="44" spans="1:32" ht="20.25" x14ac:dyDescent="0.3">
      <c r="A44" s="3"/>
      <c r="B44" s="5"/>
      <c r="C44" s="46"/>
      <c r="D44" s="135"/>
      <c r="E44" s="125" t="s">
        <v>469</v>
      </c>
      <c r="F44" s="153" t="s">
        <v>466</v>
      </c>
      <c r="G44" s="139"/>
      <c r="H44" s="139"/>
      <c r="I44" s="139"/>
      <c r="J44" s="139"/>
      <c r="K44" s="139"/>
      <c r="L44" s="139"/>
      <c r="M44" s="139"/>
      <c r="N44" s="138">
        <f>D44*10</f>
        <v>0</v>
      </c>
      <c r="O44" s="138"/>
      <c r="P44" s="138"/>
      <c r="Q44" s="138"/>
      <c r="R44" s="138"/>
      <c r="S44" s="134" t="s">
        <v>464</v>
      </c>
      <c r="T44" s="135"/>
      <c r="U44" s="135"/>
      <c r="V44" s="5"/>
    </row>
    <row r="45" spans="1:32" ht="20.25" x14ac:dyDescent="0.3">
      <c r="A45" s="3"/>
      <c r="B45" s="5"/>
      <c r="C45" s="46"/>
      <c r="D45" s="135"/>
      <c r="E45" s="125" t="s">
        <v>469</v>
      </c>
      <c r="F45" s="139" t="s">
        <v>467</v>
      </c>
      <c r="G45" s="139"/>
      <c r="H45" s="139"/>
      <c r="I45" s="139"/>
      <c r="J45" s="139"/>
      <c r="K45" s="139"/>
      <c r="L45" s="139"/>
      <c r="M45" s="139"/>
      <c r="N45" s="138">
        <f>D45*6</f>
        <v>0</v>
      </c>
      <c r="O45" s="138"/>
      <c r="P45" s="138"/>
      <c r="Q45" s="138"/>
      <c r="R45" s="138"/>
      <c r="S45" s="134" t="s">
        <v>464</v>
      </c>
      <c r="T45" s="135"/>
      <c r="U45" s="135"/>
      <c r="V45" s="5"/>
    </row>
    <row r="46" spans="1:32" ht="20.25" x14ac:dyDescent="0.3">
      <c r="A46" s="3"/>
      <c r="B46" s="5"/>
      <c r="C46" s="9"/>
      <c r="D46" s="135"/>
      <c r="E46" s="125" t="s">
        <v>469</v>
      </c>
      <c r="F46" s="139" t="s">
        <v>463</v>
      </c>
      <c r="G46" s="139"/>
      <c r="H46" s="139"/>
      <c r="I46" s="139"/>
      <c r="J46" s="139"/>
      <c r="K46" s="139"/>
      <c r="L46" s="139"/>
      <c r="M46" s="139"/>
      <c r="N46" s="138">
        <f>D46*5.4</f>
        <v>0</v>
      </c>
      <c r="O46" s="138"/>
      <c r="P46" s="138"/>
      <c r="Q46" s="138"/>
      <c r="R46" s="138"/>
      <c r="S46" s="134" t="s">
        <v>464</v>
      </c>
      <c r="T46" s="135"/>
      <c r="U46" s="135"/>
      <c r="V46" s="5"/>
    </row>
    <row r="47" spans="1:32" ht="20.25" x14ac:dyDescent="0.3">
      <c r="A47" s="3"/>
      <c r="B47" s="5"/>
      <c r="C47" s="9"/>
      <c r="D47" s="135"/>
      <c r="E47" s="125" t="s">
        <v>469</v>
      </c>
      <c r="F47" s="139" t="s">
        <v>468</v>
      </c>
      <c r="G47" s="139"/>
      <c r="H47" s="139"/>
      <c r="I47" s="139"/>
      <c r="J47" s="139"/>
      <c r="K47" s="139"/>
      <c r="L47" s="139"/>
      <c r="M47" s="139"/>
      <c r="N47" s="138">
        <f>D47*2.24</f>
        <v>0</v>
      </c>
      <c r="O47" s="138"/>
      <c r="P47" s="138"/>
      <c r="Q47" s="138"/>
      <c r="R47" s="138"/>
      <c r="S47" s="134" t="s">
        <v>464</v>
      </c>
      <c r="T47" s="135"/>
      <c r="U47" s="135"/>
      <c r="V47" s="5"/>
    </row>
    <row r="48" spans="1:32" ht="20.25" x14ac:dyDescent="0.3">
      <c r="A48" s="3"/>
      <c r="B48" s="5"/>
      <c r="C48" s="9"/>
      <c r="D48" s="135"/>
      <c r="E48" s="125" t="s">
        <v>455</v>
      </c>
      <c r="F48" s="139" t="s">
        <v>470</v>
      </c>
      <c r="G48" s="139"/>
      <c r="H48" s="139"/>
      <c r="I48" s="139"/>
      <c r="J48" s="139"/>
      <c r="K48" s="139"/>
      <c r="L48" s="139"/>
      <c r="M48" s="139"/>
      <c r="N48" s="138">
        <f>D48*0</f>
        <v>0</v>
      </c>
      <c r="O48" s="138"/>
      <c r="P48" s="138"/>
      <c r="Q48" s="138"/>
      <c r="R48" s="138"/>
      <c r="S48" s="134" t="s">
        <v>464</v>
      </c>
      <c r="T48" s="135"/>
      <c r="U48" s="135"/>
      <c r="V48" s="5"/>
    </row>
    <row r="49" spans="1:32" ht="21" thickBot="1" x14ac:dyDescent="0.35">
      <c r="A49" s="3"/>
      <c r="B49" s="5"/>
      <c r="C49" s="9"/>
      <c r="D49" s="135"/>
      <c r="E49" s="125" t="s">
        <v>455</v>
      </c>
      <c r="F49" s="139" t="s">
        <v>456</v>
      </c>
      <c r="G49" s="139"/>
      <c r="H49" s="139"/>
      <c r="I49" s="139"/>
      <c r="J49" s="139"/>
      <c r="K49" s="139"/>
      <c r="L49" s="139"/>
      <c r="M49" s="139"/>
      <c r="N49" s="138">
        <f>D49*22</f>
        <v>0</v>
      </c>
      <c r="O49" s="138"/>
      <c r="P49" s="138"/>
      <c r="Q49" s="138"/>
      <c r="R49" s="138"/>
      <c r="S49" s="134" t="s">
        <v>464</v>
      </c>
      <c r="T49" s="135"/>
      <c r="U49" s="135"/>
      <c r="V49" s="5"/>
    </row>
    <row r="50" spans="1:32" ht="20.25" x14ac:dyDescent="0.3">
      <c r="A50" s="3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141">
        <f>SUM(N43:R49)</f>
        <v>0</v>
      </c>
      <c r="O50" s="142"/>
      <c r="P50" s="142"/>
      <c r="Q50" s="142"/>
      <c r="R50" s="142"/>
      <c r="S50" s="134" t="s">
        <v>464</v>
      </c>
      <c r="T50" s="5"/>
      <c r="U50" s="5"/>
      <c r="V50" s="5"/>
    </row>
    <row r="51" spans="1:32" ht="20.25" x14ac:dyDescent="0.3">
      <c r="A51" s="3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140"/>
      <c r="O51" s="140"/>
      <c r="P51" s="140"/>
      <c r="Q51" s="5"/>
      <c r="R51" s="5"/>
      <c r="S51" s="5"/>
      <c r="T51" s="5"/>
      <c r="U51" s="5"/>
      <c r="V51" s="5"/>
      <c r="AF51" s="103"/>
    </row>
    <row r="52" spans="1:32" ht="20.25" x14ac:dyDescent="0.3">
      <c r="A52" s="3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AF52" s="103"/>
    </row>
    <row r="53" spans="1:32" ht="20.25" x14ac:dyDescent="0.3">
      <c r="A53" s="3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AF53" s="103"/>
    </row>
    <row r="54" spans="1:32" ht="12.95" customHeight="1" x14ac:dyDescent="0.25">
      <c r="A54" s="3"/>
      <c r="B54" s="3"/>
      <c r="C54" s="90"/>
      <c r="D54" s="3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T54" s="3"/>
      <c r="U54" s="3"/>
      <c r="W54" s="86"/>
    </row>
    <row r="55" spans="1:32" ht="20.25" x14ac:dyDescent="0.3">
      <c r="A55" s="3"/>
      <c r="B55" s="3"/>
      <c r="C55" s="90"/>
      <c r="D55" s="148" t="s">
        <v>457</v>
      </c>
      <c r="E55" s="148"/>
      <c r="F55" s="148"/>
      <c r="G55" s="96"/>
      <c r="H55" s="96"/>
      <c r="I55" s="96"/>
      <c r="J55" s="103">
        <f>Others!I10</f>
        <v>0</v>
      </c>
      <c r="K55" s="103"/>
      <c r="L55" s="103"/>
      <c r="M55" s="103"/>
      <c r="N55" s="103"/>
      <c r="O55" s="103"/>
      <c r="P55" s="103"/>
      <c r="Q55" s="103"/>
      <c r="R55" s="103"/>
      <c r="S55" s="103"/>
      <c r="T55" s="3"/>
      <c r="U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ht="12.95" customHeight="1" x14ac:dyDescent="0.3">
      <c r="A56" s="3"/>
      <c r="B56" s="3"/>
      <c r="C56" s="91"/>
      <c r="D56" s="148"/>
      <c r="E56" s="148"/>
      <c r="F56" s="148"/>
      <c r="G56" s="96"/>
      <c r="H56" s="96"/>
      <c r="I56" s="96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3"/>
      <c r="U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ht="12.95" customHeight="1" x14ac:dyDescent="0.25">
      <c r="A57" s="3"/>
      <c r="B57" s="3"/>
      <c r="C57" s="9"/>
      <c r="D57" s="148"/>
      <c r="E57" s="148"/>
      <c r="F57" s="148"/>
      <c r="G57" s="9"/>
      <c r="H57" s="99"/>
      <c r="I57" s="99"/>
      <c r="J57" s="99"/>
      <c r="K57" s="99"/>
      <c r="L57" s="99"/>
      <c r="M57" s="104"/>
      <c r="N57" s="104"/>
      <c r="O57" s="104"/>
      <c r="P57" s="104"/>
      <c r="Q57" s="104"/>
      <c r="R57" s="3"/>
      <c r="S57" s="3"/>
      <c r="W57" s="98"/>
      <c r="X57" s="98"/>
      <c r="Y57" s="98"/>
      <c r="Z57" s="98"/>
      <c r="AA57" s="98"/>
      <c r="AB57" s="98"/>
      <c r="AC57" s="98"/>
      <c r="AD57" s="98"/>
      <c r="AE57" s="98"/>
      <c r="AF57" s="98"/>
    </row>
    <row r="58" spans="1:32" ht="18" x14ac:dyDescent="0.25">
      <c r="A58" s="3"/>
      <c r="B58" s="3"/>
      <c r="C58" s="9"/>
      <c r="E58" s="85"/>
      <c r="F58" s="85"/>
      <c r="G58" s="9"/>
      <c r="H58" s="9"/>
      <c r="I58" s="9"/>
      <c r="J58" s="9"/>
      <c r="K58" s="9"/>
      <c r="L58" s="9"/>
      <c r="M58" s="104"/>
      <c r="N58" s="104"/>
      <c r="O58" s="104"/>
      <c r="P58" s="104"/>
      <c r="Q58" s="104"/>
      <c r="R58" s="3"/>
      <c r="S58" s="3"/>
    </row>
    <row r="59" spans="1:32" ht="12.95" customHeight="1" x14ac:dyDescent="0.25">
      <c r="A59" s="3"/>
      <c r="B59" s="3"/>
      <c r="C59" s="9"/>
      <c r="E59" s="85"/>
      <c r="F59" s="85"/>
      <c r="J59" s="99"/>
      <c r="K59" s="99"/>
      <c r="L59" s="99"/>
      <c r="M59" s="104"/>
      <c r="N59" s="104"/>
      <c r="O59" s="104"/>
      <c r="P59" s="104"/>
      <c r="Q59" s="104"/>
      <c r="R59" s="3"/>
      <c r="S59" s="3"/>
      <c r="T59" s="3"/>
      <c r="U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ht="18" x14ac:dyDescent="0.25">
      <c r="A60" s="3"/>
      <c r="B60" s="3"/>
      <c r="C60" s="9"/>
      <c r="D60" s="85" t="s">
        <v>453</v>
      </c>
      <c r="E60" s="148" t="s">
        <v>473</v>
      </c>
      <c r="F60" s="148"/>
      <c r="J60" s="9"/>
      <c r="K60" s="9"/>
      <c r="L60" s="9"/>
      <c r="M60" s="101"/>
      <c r="N60" s="101"/>
      <c r="O60" s="101"/>
      <c r="P60" s="101"/>
      <c r="Q60" s="101"/>
      <c r="R60" s="3"/>
      <c r="S60" s="3"/>
      <c r="T60" s="3"/>
      <c r="U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ht="18" hidden="1" customHeight="1" x14ac:dyDescent="0.25">
      <c r="A61" s="3"/>
      <c r="B61" s="3"/>
      <c r="C61" s="9"/>
      <c r="D61" s="85"/>
      <c r="E61" s="90"/>
      <c r="F61" s="90"/>
      <c r="J61" s="99"/>
      <c r="K61" s="99"/>
      <c r="L61" s="99"/>
      <c r="M61" s="101"/>
      <c r="N61" s="101"/>
      <c r="O61" s="101"/>
      <c r="P61" s="101"/>
      <c r="Q61" s="101"/>
      <c r="R61" s="3"/>
      <c r="S61" s="3"/>
      <c r="T61" s="3"/>
      <c r="U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ht="26.25" x14ac:dyDescent="0.4">
      <c r="A62" s="3"/>
      <c r="B62" s="3"/>
      <c r="C62" s="9"/>
      <c r="D62" s="85" t="s">
        <v>454</v>
      </c>
      <c r="J62" s="9"/>
      <c r="K62" s="9"/>
      <c r="L62" s="9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3"/>
      <c r="AB62" s="3"/>
      <c r="AC62" s="3"/>
      <c r="AD62" s="3"/>
      <c r="AE62" s="3"/>
      <c r="AF62" s="3"/>
    </row>
    <row r="63" spans="1:32" ht="75.75" customHeight="1" x14ac:dyDescent="0.4">
      <c r="A63" s="3"/>
      <c r="B63" s="3"/>
      <c r="C63" s="9"/>
      <c r="D63" s="9"/>
      <c r="J63" s="99"/>
      <c r="K63" s="99"/>
      <c r="L63" s="99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3"/>
      <c r="AB63" s="3"/>
      <c r="AC63" s="3"/>
      <c r="AD63" s="3"/>
      <c r="AE63" s="3"/>
      <c r="AF63" s="3"/>
    </row>
    <row r="64" spans="1:32" ht="3.6" customHeight="1" x14ac:dyDescent="0.25">
      <c r="A64" s="3"/>
      <c r="B64" s="3"/>
      <c r="U64" s="3"/>
      <c r="X64" s="3"/>
      <c r="Y64" s="3"/>
      <c r="Z64" s="3"/>
      <c r="AA64" s="3"/>
      <c r="AB64" s="3"/>
      <c r="AC64" s="3"/>
      <c r="AD64" s="3"/>
      <c r="AE64" s="3"/>
      <c r="AF64" s="3"/>
    </row>
    <row r="65" spans="1:32" ht="12.95" customHeight="1" x14ac:dyDescent="0.25">
      <c r="A65" s="3"/>
      <c r="B65" s="3"/>
      <c r="C65" s="3"/>
      <c r="D65" s="3"/>
      <c r="F65" s="83"/>
      <c r="G65" s="83"/>
      <c r="H65" s="83"/>
      <c r="I65" s="83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X65" s="3"/>
      <c r="Y65" s="3"/>
      <c r="Z65" s="3"/>
      <c r="AA65" s="3"/>
      <c r="AB65" s="3"/>
      <c r="AC65" s="3"/>
      <c r="AD65" s="3"/>
      <c r="AE65" s="3"/>
      <c r="AF65" s="3"/>
    </row>
    <row r="66" spans="1:32" ht="16.5" x14ac:dyDescent="0.25">
      <c r="A66" s="3"/>
      <c r="B66" s="3"/>
      <c r="C66" s="3"/>
      <c r="D66" s="3"/>
      <c r="F66" s="9" t="s">
        <v>73</v>
      </c>
      <c r="Q66" s="93"/>
      <c r="R66" s="93"/>
      <c r="S66" s="93"/>
      <c r="T66" s="93"/>
      <c r="U66" s="93"/>
      <c r="X66" s="3"/>
      <c r="Y66" s="3"/>
      <c r="Z66" s="3"/>
      <c r="AA66" s="3"/>
      <c r="AB66" s="3"/>
      <c r="AC66" s="3"/>
      <c r="AD66" s="3"/>
      <c r="AE66" s="3"/>
      <c r="AF66" s="3"/>
    </row>
    <row r="67" spans="1:32" ht="23.25" customHeight="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94"/>
      <c r="Z67" s="3"/>
      <c r="AA67" s="3"/>
      <c r="AB67" s="3"/>
      <c r="AC67" s="3"/>
      <c r="AD67" s="3"/>
      <c r="AE67" s="3"/>
      <c r="AF67" s="3"/>
    </row>
    <row r="68" spans="1:32" ht="12.95" customHeight="1" x14ac:dyDescent="0.25">
      <c r="A68" s="3"/>
      <c r="B68" s="3"/>
      <c r="C68" s="81"/>
      <c r="D68" s="81"/>
      <c r="E68" s="81"/>
      <c r="F68" s="147" t="s">
        <v>443</v>
      </c>
      <c r="G68" s="147">
        <f ca="1">TODAY()</f>
        <v>46130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Z68" s="3"/>
      <c r="AA68" s="3"/>
      <c r="AB68" s="3"/>
      <c r="AC68" s="3"/>
      <c r="AD68" s="3"/>
      <c r="AE68" s="3"/>
      <c r="AF68" s="3"/>
    </row>
    <row r="69" spans="1:32" ht="66" customHeight="1" x14ac:dyDescent="0.25">
      <c r="A69" s="3"/>
      <c r="B69" s="3"/>
      <c r="C69" s="81"/>
      <c r="E69" s="81"/>
      <c r="F69" s="147"/>
      <c r="G69" s="147"/>
      <c r="H69" s="130"/>
      <c r="I69" s="130"/>
      <c r="J69" s="130"/>
      <c r="K69" s="130"/>
      <c r="L69" s="130"/>
      <c r="M69" s="130"/>
      <c r="N69" s="95"/>
      <c r="O69" s="60"/>
      <c r="P69" s="81"/>
      <c r="Q69" s="81"/>
      <c r="R69" s="81"/>
      <c r="S69" s="81"/>
      <c r="T69" s="81"/>
      <c r="U69" s="81"/>
      <c r="Y69" s="94"/>
      <c r="Z69" s="94"/>
      <c r="AA69" s="94"/>
      <c r="AC69" s="3"/>
      <c r="AD69" s="3"/>
      <c r="AE69" s="3"/>
      <c r="AF69" s="3"/>
    </row>
    <row r="70" spans="1:32" ht="12.95" customHeight="1" x14ac:dyDescent="0.25">
      <c r="A70" s="3"/>
      <c r="B70" s="55"/>
      <c r="C70" s="144" t="str">
        <f>IF('Invoerveld CMR'!C5="","",VLOOKUP('Invoerveld CMR'!C5,Afzender!A3:B30,2,FALSE))</f>
        <v>Hessing Greenport Venlo
Maarten de Vriesstraat 3
5975 RW Sevenum
The Netherlands</v>
      </c>
      <c r="D70" s="144"/>
      <c r="E70" s="144"/>
      <c r="F70" s="144"/>
      <c r="G70" s="145" t="s">
        <v>451</v>
      </c>
      <c r="H70" s="145"/>
      <c r="I70" s="145"/>
      <c r="J70" s="145"/>
      <c r="K70" s="145"/>
      <c r="L70" s="145"/>
      <c r="M70" s="145"/>
      <c r="N70" s="145"/>
      <c r="O70" s="145"/>
      <c r="P70" s="145"/>
      <c r="Q70" s="145"/>
      <c r="R70" s="128"/>
      <c r="S70" s="128"/>
      <c r="T70" s="128"/>
      <c r="U70" s="128"/>
      <c r="V70" s="128"/>
      <c r="W70" s="128"/>
      <c r="X70" s="128"/>
      <c r="Y70" s="128"/>
      <c r="Z70" s="128"/>
      <c r="AA70" s="81"/>
      <c r="AB70" s="81"/>
      <c r="AC70" s="3"/>
      <c r="AD70" s="3"/>
      <c r="AE70" s="3"/>
      <c r="AF70" s="3"/>
    </row>
    <row r="71" spans="1:32" ht="12.95" customHeight="1" x14ac:dyDescent="0.25">
      <c r="A71" s="3"/>
      <c r="B71" s="55"/>
      <c r="C71" s="144"/>
      <c r="D71" s="144"/>
      <c r="E71" s="144"/>
      <c r="F71" s="144"/>
      <c r="G71" s="145"/>
      <c r="H71" s="145"/>
      <c r="I71" s="145"/>
      <c r="J71" s="145"/>
      <c r="K71" s="145"/>
      <c r="L71" s="145"/>
      <c r="M71" s="145"/>
      <c r="N71" s="145"/>
      <c r="O71" s="145"/>
      <c r="P71" s="145"/>
      <c r="Q71" s="145"/>
      <c r="R71" s="128"/>
      <c r="S71" s="128"/>
      <c r="T71" s="128"/>
      <c r="U71" s="128"/>
      <c r="V71" s="128"/>
      <c r="W71" s="128"/>
      <c r="X71" s="128"/>
      <c r="Y71" s="128"/>
      <c r="Z71" s="128"/>
      <c r="AA71" s="81"/>
      <c r="AB71" s="81"/>
      <c r="AC71" s="3"/>
      <c r="AD71" s="3"/>
      <c r="AE71" s="3"/>
      <c r="AF71" s="3"/>
    </row>
    <row r="72" spans="1:32" ht="12.95" customHeight="1" x14ac:dyDescent="0.25">
      <c r="A72" s="3"/>
      <c r="B72" s="55"/>
      <c r="C72" s="144"/>
      <c r="D72" s="144"/>
      <c r="E72" s="144"/>
      <c r="F72" s="144"/>
      <c r="G72" s="145" t="s">
        <v>448</v>
      </c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145"/>
      <c r="Z72" s="129"/>
      <c r="AA72" s="81"/>
      <c r="AB72" s="81"/>
      <c r="AC72" s="3"/>
      <c r="AD72" s="3"/>
      <c r="AE72" s="3"/>
      <c r="AF72" s="3"/>
    </row>
    <row r="73" spans="1:32" ht="12.95" customHeight="1" x14ac:dyDescent="0.25">
      <c r="A73" s="3"/>
      <c r="B73" s="55"/>
      <c r="C73" s="144"/>
      <c r="D73" s="144"/>
      <c r="E73" s="144"/>
      <c r="F73" s="144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  <c r="Y73" s="145"/>
      <c r="Z73" s="124"/>
      <c r="AA73" s="81"/>
      <c r="AB73" s="81"/>
      <c r="AC73" s="3"/>
      <c r="AD73" s="3"/>
      <c r="AE73" s="3"/>
      <c r="AF73" s="3"/>
    </row>
    <row r="74" spans="1:32" ht="12.95" customHeight="1" x14ac:dyDescent="0.25">
      <c r="A74" s="3"/>
      <c r="B74" s="3"/>
      <c r="C74" s="144"/>
      <c r="D74" s="144"/>
      <c r="E74" s="144"/>
      <c r="F74" s="144"/>
      <c r="G74" s="146" t="s">
        <v>452</v>
      </c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24"/>
      <c r="X74" s="124"/>
      <c r="Y74" s="124"/>
      <c r="Z74" s="124"/>
      <c r="AA74" s="81"/>
      <c r="AB74" s="81"/>
      <c r="AC74" s="3"/>
      <c r="AD74" s="3"/>
      <c r="AE74" s="3"/>
      <c r="AF74" s="3"/>
    </row>
    <row r="75" spans="1:32" ht="12.95" customHeight="1" x14ac:dyDescent="0.25">
      <c r="A75" s="3"/>
      <c r="B75" s="3"/>
      <c r="C75" s="144"/>
      <c r="D75" s="144"/>
      <c r="E75" s="144"/>
      <c r="F75" s="144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24"/>
      <c r="X75" s="124"/>
      <c r="Y75" s="124"/>
      <c r="Z75" s="124"/>
      <c r="AC75" s="3"/>
      <c r="AD75" s="3"/>
      <c r="AE75" s="3"/>
      <c r="AF75" s="3"/>
    </row>
    <row r="76" spans="1:32" ht="12.95" customHeight="1" x14ac:dyDescent="0.25">
      <c r="N76" s="143"/>
      <c r="O76" s="143"/>
      <c r="P76" s="143"/>
      <c r="Q76" s="143"/>
      <c r="R76" s="143"/>
      <c r="S76" s="143"/>
      <c r="T76" s="143"/>
      <c r="U76" s="143"/>
      <c r="V76" s="143"/>
    </row>
  </sheetData>
  <protectedRanges>
    <protectedRange sqref="U44:V47 U49:V53 E48:E53 R51:R53" name="Range1"/>
  </protectedRanges>
  <mergeCells count="37">
    <mergeCell ref="AA31:AC31"/>
    <mergeCell ref="C35:H36"/>
    <mergeCell ref="C1:N12"/>
    <mergeCell ref="C17:F17"/>
    <mergeCell ref="N51:P51"/>
    <mergeCell ref="F48:M48"/>
    <mergeCell ref="F49:M49"/>
    <mergeCell ref="C15:G16"/>
    <mergeCell ref="F44:M44"/>
    <mergeCell ref="F46:M46"/>
    <mergeCell ref="AA34:AC34"/>
    <mergeCell ref="C39:E39"/>
    <mergeCell ref="N43:R43"/>
    <mergeCell ref="N44:R44"/>
    <mergeCell ref="N45:R45"/>
    <mergeCell ref="N48:R48"/>
    <mergeCell ref="N49:R49"/>
    <mergeCell ref="N50:R50"/>
    <mergeCell ref="N76:V76"/>
    <mergeCell ref="C70:F75"/>
    <mergeCell ref="G72:Y73"/>
    <mergeCell ref="G74:V75"/>
    <mergeCell ref="G70:Q71"/>
    <mergeCell ref="F68:F69"/>
    <mergeCell ref="G68:G69"/>
    <mergeCell ref="D55:F57"/>
    <mergeCell ref="E60:F60"/>
    <mergeCell ref="C40:E40"/>
    <mergeCell ref="F40:M40"/>
    <mergeCell ref="C41:E41"/>
    <mergeCell ref="N46:R46"/>
    <mergeCell ref="N47:R47"/>
    <mergeCell ref="F42:M42"/>
    <mergeCell ref="F43:M43"/>
    <mergeCell ref="F45:M45"/>
    <mergeCell ref="F47:M47"/>
    <mergeCell ref="N42:P42"/>
  </mergeCells>
  <phoneticPr fontId="1" type="noConversion"/>
  <printOptions horizontalCentered="1" verticalCentered="1"/>
  <pageMargins left="0" right="0" top="0" bottom="0" header="0" footer="0"/>
  <pageSetup paperSize="9" scale="6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4:Q332"/>
  <sheetViews>
    <sheetView topLeftCell="A22" workbookViewId="0">
      <selection activeCell="D4" sqref="D4"/>
    </sheetView>
  </sheetViews>
  <sheetFormatPr defaultRowHeight="12.75" x14ac:dyDescent="0.2"/>
  <cols>
    <col min="1" max="1" width="10.5703125" bestFit="1" customWidth="1"/>
    <col min="2" max="2" width="9.7109375" bestFit="1" customWidth="1"/>
    <col min="3" max="3" width="10.28515625" bestFit="1" customWidth="1"/>
    <col min="4" max="4" width="37.7109375" bestFit="1" customWidth="1"/>
    <col min="5" max="5" width="22.7109375" bestFit="1" customWidth="1"/>
    <col min="6" max="6" width="10.28515625" bestFit="1" customWidth="1"/>
    <col min="7" max="7" width="30.85546875" bestFit="1" customWidth="1"/>
    <col min="8" max="8" width="10.28515625" bestFit="1" customWidth="1"/>
    <col min="9" max="9" width="23.5703125" bestFit="1" customWidth="1"/>
    <col min="10" max="10" width="10.5703125" bestFit="1" customWidth="1"/>
    <col min="11" max="11" width="31.85546875" bestFit="1" customWidth="1"/>
    <col min="12" max="12" width="8.28515625" bestFit="1" customWidth="1"/>
    <col min="13" max="13" width="21.42578125" bestFit="1" customWidth="1"/>
    <col min="14" max="14" width="10.5703125" bestFit="1" customWidth="1"/>
    <col min="15" max="15" width="10.140625" customWidth="1"/>
    <col min="16" max="16" width="11" bestFit="1" customWidth="1"/>
    <col min="17" max="17" width="9.5703125" bestFit="1" customWidth="1"/>
  </cols>
  <sheetData>
    <row r="4" spans="1:17" x14ac:dyDescent="0.2">
      <c r="A4" t="s">
        <v>181</v>
      </c>
      <c r="B4" s="9" t="s">
        <v>196</v>
      </c>
      <c r="C4" t="s">
        <v>182</v>
      </c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195</v>
      </c>
      <c r="L4" t="s">
        <v>190</v>
      </c>
      <c r="M4" t="s">
        <v>191</v>
      </c>
      <c r="N4" t="s">
        <v>192</v>
      </c>
      <c r="O4" t="s">
        <v>193</v>
      </c>
      <c r="P4" s="9" t="s">
        <v>198</v>
      </c>
      <c r="Q4" s="9" t="s">
        <v>197</v>
      </c>
    </row>
    <row r="5" spans="1:17" x14ac:dyDescent="0.2">
      <c r="A5">
        <v>101779</v>
      </c>
      <c r="B5" t="str">
        <f t="shared" ref="B5:B68" si="0">CONCATENATE(A5," - ",Q5)</f>
        <v>101779 - 1</v>
      </c>
      <c r="C5">
        <v>8999</v>
      </c>
      <c r="D5" t="s">
        <v>209</v>
      </c>
      <c r="E5" t="s">
        <v>210</v>
      </c>
      <c r="F5" t="s">
        <v>211</v>
      </c>
      <c r="G5" t="s">
        <v>212</v>
      </c>
      <c r="H5">
        <v>1</v>
      </c>
      <c r="I5" t="s">
        <v>194</v>
      </c>
      <c r="J5">
        <v>196</v>
      </c>
      <c r="K5" t="s">
        <v>251</v>
      </c>
      <c r="L5">
        <v>100</v>
      </c>
      <c r="M5" t="s">
        <v>221</v>
      </c>
      <c r="N5">
        <v>2</v>
      </c>
      <c r="O5" s="105">
        <v>43439</v>
      </c>
      <c r="P5">
        <f t="shared" ref="P5:P68" si="1">+COUNTIF(A:A,A5)</f>
        <v>1</v>
      </c>
      <c r="Q5">
        <f t="shared" ref="Q5:Q68" si="2">IF(A5=A4,Q4+1,1)</f>
        <v>1</v>
      </c>
    </row>
    <row r="6" spans="1:17" x14ac:dyDescent="0.2">
      <c r="A6">
        <v>101791</v>
      </c>
      <c r="B6" t="str">
        <f t="shared" si="0"/>
        <v>101791 - 1</v>
      </c>
      <c r="C6">
        <v>8999</v>
      </c>
      <c r="D6" t="s">
        <v>209</v>
      </c>
      <c r="E6" t="s">
        <v>210</v>
      </c>
      <c r="F6" t="s">
        <v>211</v>
      </c>
      <c r="G6" t="s">
        <v>212</v>
      </c>
      <c r="H6">
        <v>1</v>
      </c>
      <c r="I6" t="s">
        <v>194</v>
      </c>
      <c r="J6">
        <v>38</v>
      </c>
      <c r="K6" t="s">
        <v>252</v>
      </c>
      <c r="L6">
        <v>3</v>
      </c>
      <c r="M6" t="s">
        <v>221</v>
      </c>
      <c r="N6">
        <v>2</v>
      </c>
      <c r="O6" s="105">
        <v>43439</v>
      </c>
      <c r="P6">
        <f t="shared" si="1"/>
        <v>2</v>
      </c>
      <c r="Q6">
        <f t="shared" si="2"/>
        <v>1</v>
      </c>
    </row>
    <row r="7" spans="1:17" x14ac:dyDescent="0.2">
      <c r="A7">
        <v>101791</v>
      </c>
      <c r="B7" t="str">
        <f t="shared" si="0"/>
        <v>101791 - 2</v>
      </c>
      <c r="C7">
        <v>8999</v>
      </c>
      <c r="D7" t="s">
        <v>209</v>
      </c>
      <c r="E7" t="s">
        <v>210</v>
      </c>
      <c r="F7" t="s">
        <v>211</v>
      </c>
      <c r="G7" t="s">
        <v>212</v>
      </c>
      <c r="H7">
        <v>1</v>
      </c>
      <c r="I7" t="s">
        <v>194</v>
      </c>
      <c r="J7">
        <v>76</v>
      </c>
      <c r="K7" t="s">
        <v>253</v>
      </c>
      <c r="L7">
        <v>68</v>
      </c>
      <c r="M7" t="s">
        <v>221</v>
      </c>
      <c r="N7">
        <v>2</v>
      </c>
      <c r="O7" s="105">
        <v>43439</v>
      </c>
      <c r="P7">
        <f t="shared" si="1"/>
        <v>2</v>
      </c>
      <c r="Q7">
        <f t="shared" si="2"/>
        <v>2</v>
      </c>
    </row>
    <row r="8" spans="1:17" x14ac:dyDescent="0.2">
      <c r="A8">
        <v>101798</v>
      </c>
      <c r="B8" t="str">
        <f t="shared" si="0"/>
        <v>101798 - 1</v>
      </c>
      <c r="C8">
        <v>8999</v>
      </c>
      <c r="D8" t="s">
        <v>209</v>
      </c>
      <c r="E8" t="s">
        <v>210</v>
      </c>
      <c r="F8" t="s">
        <v>211</v>
      </c>
      <c r="G8" t="s">
        <v>212</v>
      </c>
      <c r="H8">
        <v>1</v>
      </c>
      <c r="I8" t="s">
        <v>194</v>
      </c>
      <c r="J8">
        <v>3</v>
      </c>
      <c r="K8" t="s">
        <v>254</v>
      </c>
      <c r="L8">
        <v>40</v>
      </c>
      <c r="M8" t="s">
        <v>221</v>
      </c>
      <c r="N8">
        <v>2</v>
      </c>
      <c r="O8" s="105">
        <v>43439</v>
      </c>
      <c r="P8">
        <f t="shared" si="1"/>
        <v>2</v>
      </c>
      <c r="Q8">
        <f t="shared" si="2"/>
        <v>1</v>
      </c>
    </row>
    <row r="9" spans="1:17" x14ac:dyDescent="0.2">
      <c r="A9">
        <v>101798</v>
      </c>
      <c r="B9" t="str">
        <f t="shared" si="0"/>
        <v>101798 - 2</v>
      </c>
      <c r="C9">
        <v>8999</v>
      </c>
      <c r="D9" t="s">
        <v>209</v>
      </c>
      <c r="E9" t="s">
        <v>210</v>
      </c>
      <c r="F9" t="s">
        <v>211</v>
      </c>
      <c r="G9" t="s">
        <v>212</v>
      </c>
      <c r="H9">
        <v>1</v>
      </c>
      <c r="I9" t="s">
        <v>194</v>
      </c>
      <c r="J9">
        <v>38</v>
      </c>
      <c r="K9" t="s">
        <v>252</v>
      </c>
      <c r="L9">
        <v>1</v>
      </c>
      <c r="M9" t="s">
        <v>221</v>
      </c>
      <c r="N9">
        <v>2</v>
      </c>
      <c r="O9" s="105">
        <v>43439</v>
      </c>
      <c r="P9">
        <f t="shared" si="1"/>
        <v>2</v>
      </c>
      <c r="Q9">
        <f t="shared" si="2"/>
        <v>2</v>
      </c>
    </row>
    <row r="10" spans="1:17" x14ac:dyDescent="0.2">
      <c r="A10">
        <v>101803</v>
      </c>
      <c r="B10" t="str">
        <f t="shared" si="0"/>
        <v>101803 - 1</v>
      </c>
      <c r="C10">
        <v>3223</v>
      </c>
      <c r="D10" t="s">
        <v>236</v>
      </c>
      <c r="E10" t="s">
        <v>237</v>
      </c>
      <c r="F10" t="s">
        <v>238</v>
      </c>
      <c r="G10" t="s">
        <v>239</v>
      </c>
      <c r="H10">
        <v>5</v>
      </c>
      <c r="I10" t="s">
        <v>226</v>
      </c>
      <c r="J10">
        <v>5</v>
      </c>
      <c r="K10" t="s">
        <v>240</v>
      </c>
      <c r="L10">
        <v>0</v>
      </c>
      <c r="M10" t="s">
        <v>221</v>
      </c>
      <c r="N10">
        <v>1</v>
      </c>
      <c r="O10" s="105">
        <v>43439</v>
      </c>
      <c r="P10">
        <f t="shared" si="1"/>
        <v>4</v>
      </c>
      <c r="Q10">
        <f t="shared" si="2"/>
        <v>1</v>
      </c>
    </row>
    <row r="11" spans="1:17" x14ac:dyDescent="0.2">
      <c r="A11">
        <v>101803</v>
      </c>
      <c r="B11" t="str">
        <f t="shared" si="0"/>
        <v>101803 - 2</v>
      </c>
      <c r="C11">
        <v>3223</v>
      </c>
      <c r="D11" t="s">
        <v>236</v>
      </c>
      <c r="E11" t="s">
        <v>237</v>
      </c>
      <c r="F11" t="s">
        <v>238</v>
      </c>
      <c r="G11" t="s">
        <v>239</v>
      </c>
      <c r="H11">
        <v>5</v>
      </c>
      <c r="I11" t="s">
        <v>226</v>
      </c>
      <c r="J11">
        <v>5</v>
      </c>
      <c r="K11" t="s">
        <v>240</v>
      </c>
      <c r="L11">
        <v>136</v>
      </c>
      <c r="M11" t="s">
        <v>255</v>
      </c>
      <c r="N11">
        <v>1</v>
      </c>
      <c r="O11" s="105">
        <v>43439</v>
      </c>
      <c r="P11">
        <f t="shared" si="1"/>
        <v>4</v>
      </c>
      <c r="Q11">
        <f t="shared" si="2"/>
        <v>2</v>
      </c>
    </row>
    <row r="12" spans="1:17" x14ac:dyDescent="0.2">
      <c r="A12">
        <v>101803</v>
      </c>
      <c r="B12" t="str">
        <f t="shared" si="0"/>
        <v>101803 - 3</v>
      </c>
      <c r="C12">
        <v>3223</v>
      </c>
      <c r="D12" t="s">
        <v>236</v>
      </c>
      <c r="E12" t="s">
        <v>237</v>
      </c>
      <c r="F12" t="s">
        <v>238</v>
      </c>
      <c r="G12" t="s">
        <v>239</v>
      </c>
      <c r="H12">
        <v>5</v>
      </c>
      <c r="I12" t="s">
        <v>226</v>
      </c>
      <c r="J12">
        <v>12</v>
      </c>
      <c r="K12" t="s">
        <v>228</v>
      </c>
      <c r="L12">
        <v>5</v>
      </c>
      <c r="M12" t="s">
        <v>221</v>
      </c>
      <c r="N12">
        <v>1</v>
      </c>
      <c r="O12" s="105">
        <v>43439</v>
      </c>
      <c r="P12">
        <f t="shared" si="1"/>
        <v>4</v>
      </c>
      <c r="Q12">
        <f t="shared" si="2"/>
        <v>3</v>
      </c>
    </row>
    <row r="13" spans="1:17" x14ac:dyDescent="0.2">
      <c r="A13">
        <v>101803</v>
      </c>
      <c r="B13" t="str">
        <f t="shared" si="0"/>
        <v>101803 - 4</v>
      </c>
      <c r="C13">
        <v>3223</v>
      </c>
      <c r="D13" t="s">
        <v>236</v>
      </c>
      <c r="E13" t="s">
        <v>237</v>
      </c>
      <c r="F13" t="s">
        <v>238</v>
      </c>
      <c r="G13" t="s">
        <v>239</v>
      </c>
      <c r="H13">
        <v>5</v>
      </c>
      <c r="I13" t="s">
        <v>226</v>
      </c>
      <c r="J13">
        <v>71</v>
      </c>
      <c r="K13" t="s">
        <v>256</v>
      </c>
      <c r="L13">
        <v>96</v>
      </c>
      <c r="M13" t="s">
        <v>221</v>
      </c>
      <c r="N13">
        <v>1</v>
      </c>
      <c r="O13" s="105">
        <v>43439</v>
      </c>
      <c r="P13">
        <f t="shared" si="1"/>
        <v>4</v>
      </c>
      <c r="Q13">
        <f t="shared" si="2"/>
        <v>4</v>
      </c>
    </row>
    <row r="14" spans="1:17" x14ac:dyDescent="0.2">
      <c r="A14">
        <v>101809</v>
      </c>
      <c r="B14" t="str">
        <f t="shared" si="0"/>
        <v>101809 - 1</v>
      </c>
      <c r="C14">
        <v>539</v>
      </c>
      <c r="D14" t="s">
        <v>222</v>
      </c>
      <c r="E14" t="s">
        <v>223</v>
      </c>
      <c r="F14" t="s">
        <v>224</v>
      </c>
      <c r="G14" t="s">
        <v>225</v>
      </c>
      <c r="H14">
        <v>5</v>
      </c>
      <c r="I14" t="s">
        <v>226</v>
      </c>
      <c r="J14">
        <v>10</v>
      </c>
      <c r="K14" t="s">
        <v>257</v>
      </c>
      <c r="L14">
        <v>3</v>
      </c>
      <c r="M14" t="s">
        <v>221</v>
      </c>
      <c r="N14">
        <v>2</v>
      </c>
      <c r="O14" s="105">
        <v>43439</v>
      </c>
      <c r="P14">
        <f t="shared" si="1"/>
        <v>2</v>
      </c>
      <c r="Q14">
        <f t="shared" si="2"/>
        <v>1</v>
      </c>
    </row>
    <row r="15" spans="1:17" x14ac:dyDescent="0.2">
      <c r="A15">
        <v>101809</v>
      </c>
      <c r="B15" t="str">
        <f t="shared" si="0"/>
        <v>101809 - 2</v>
      </c>
      <c r="C15">
        <v>539</v>
      </c>
      <c r="D15" t="s">
        <v>222</v>
      </c>
      <c r="E15" t="s">
        <v>223</v>
      </c>
      <c r="F15" t="s">
        <v>224</v>
      </c>
      <c r="G15" t="s">
        <v>225</v>
      </c>
      <c r="H15">
        <v>5</v>
      </c>
      <c r="I15" t="s">
        <v>226</v>
      </c>
      <c r="J15">
        <v>71</v>
      </c>
      <c r="K15" t="s">
        <v>256</v>
      </c>
      <c r="L15">
        <v>200</v>
      </c>
      <c r="M15" t="s">
        <v>221</v>
      </c>
      <c r="N15">
        <v>2</v>
      </c>
      <c r="O15" s="105">
        <v>43439</v>
      </c>
      <c r="P15">
        <f t="shared" si="1"/>
        <v>2</v>
      </c>
      <c r="Q15">
        <f t="shared" si="2"/>
        <v>2</v>
      </c>
    </row>
    <row r="16" spans="1:17" x14ac:dyDescent="0.2">
      <c r="A16">
        <v>101830</v>
      </c>
      <c r="B16" t="str">
        <f t="shared" si="0"/>
        <v>101830 - 1</v>
      </c>
      <c r="C16">
        <v>2367</v>
      </c>
      <c r="D16" t="s">
        <v>258</v>
      </c>
      <c r="E16" t="s">
        <v>259</v>
      </c>
      <c r="F16" t="s">
        <v>260</v>
      </c>
      <c r="G16" t="s">
        <v>261</v>
      </c>
      <c r="H16">
        <v>5</v>
      </c>
      <c r="I16" t="s">
        <v>226</v>
      </c>
      <c r="J16">
        <v>12</v>
      </c>
      <c r="K16" t="s">
        <v>228</v>
      </c>
      <c r="L16">
        <v>2</v>
      </c>
      <c r="M16" t="s">
        <v>221</v>
      </c>
      <c r="N16">
        <v>2</v>
      </c>
      <c r="O16" s="105">
        <v>43439</v>
      </c>
      <c r="P16">
        <f t="shared" si="1"/>
        <v>2</v>
      </c>
      <c r="Q16">
        <f t="shared" si="2"/>
        <v>1</v>
      </c>
    </row>
    <row r="17" spans="1:17" x14ac:dyDescent="0.2">
      <c r="A17">
        <v>101830</v>
      </c>
      <c r="B17" t="str">
        <f t="shared" si="0"/>
        <v>101830 - 2</v>
      </c>
      <c r="C17">
        <v>2367</v>
      </c>
      <c r="D17" t="s">
        <v>258</v>
      </c>
      <c r="E17" t="s">
        <v>259</v>
      </c>
      <c r="F17" t="s">
        <v>260</v>
      </c>
      <c r="G17" t="s">
        <v>261</v>
      </c>
      <c r="H17">
        <v>5</v>
      </c>
      <c r="I17" t="s">
        <v>226</v>
      </c>
      <c r="J17">
        <v>71</v>
      </c>
      <c r="K17" t="s">
        <v>256</v>
      </c>
      <c r="L17">
        <v>8</v>
      </c>
      <c r="M17" t="s">
        <v>221</v>
      </c>
      <c r="N17">
        <v>2</v>
      </c>
      <c r="O17" s="105">
        <v>43439</v>
      </c>
      <c r="P17">
        <f t="shared" si="1"/>
        <v>2</v>
      </c>
      <c r="Q17">
        <f t="shared" si="2"/>
        <v>2</v>
      </c>
    </row>
    <row r="18" spans="1:17" x14ac:dyDescent="0.2">
      <c r="A18">
        <v>101833</v>
      </c>
      <c r="B18" t="str">
        <f t="shared" si="0"/>
        <v>101833 - 1</v>
      </c>
      <c r="C18">
        <v>539</v>
      </c>
      <c r="D18" t="s">
        <v>222</v>
      </c>
      <c r="E18" t="s">
        <v>223</v>
      </c>
      <c r="F18" t="s">
        <v>224</v>
      </c>
      <c r="G18" t="s">
        <v>225</v>
      </c>
      <c r="H18">
        <v>5</v>
      </c>
      <c r="I18" t="s">
        <v>226</v>
      </c>
      <c r="J18">
        <v>74</v>
      </c>
      <c r="K18" t="s">
        <v>262</v>
      </c>
      <c r="L18">
        <v>122</v>
      </c>
      <c r="M18" t="s">
        <v>221</v>
      </c>
      <c r="N18">
        <v>2</v>
      </c>
      <c r="O18" s="105">
        <v>43439</v>
      </c>
      <c r="P18">
        <f t="shared" si="1"/>
        <v>2</v>
      </c>
      <c r="Q18">
        <f t="shared" si="2"/>
        <v>1</v>
      </c>
    </row>
    <row r="19" spans="1:17" x14ac:dyDescent="0.2">
      <c r="A19">
        <v>101833</v>
      </c>
      <c r="B19" t="str">
        <f t="shared" si="0"/>
        <v>101833 - 2</v>
      </c>
      <c r="C19">
        <v>539</v>
      </c>
      <c r="D19" t="s">
        <v>222</v>
      </c>
      <c r="E19" t="s">
        <v>223</v>
      </c>
      <c r="F19" t="s">
        <v>224</v>
      </c>
      <c r="G19" t="s">
        <v>225</v>
      </c>
      <c r="H19">
        <v>5</v>
      </c>
      <c r="I19" t="s">
        <v>226</v>
      </c>
      <c r="J19">
        <v>78</v>
      </c>
      <c r="K19" t="s">
        <v>263</v>
      </c>
      <c r="L19">
        <v>2</v>
      </c>
      <c r="M19" t="s">
        <v>221</v>
      </c>
      <c r="N19">
        <v>2</v>
      </c>
      <c r="O19" s="105">
        <v>43439</v>
      </c>
      <c r="P19">
        <f t="shared" si="1"/>
        <v>2</v>
      </c>
      <c r="Q19">
        <f t="shared" si="2"/>
        <v>2</v>
      </c>
    </row>
    <row r="20" spans="1:17" x14ac:dyDescent="0.2">
      <c r="A20">
        <v>101836</v>
      </c>
      <c r="B20" t="str">
        <f t="shared" si="0"/>
        <v>101836 - 1</v>
      </c>
      <c r="C20">
        <v>8999</v>
      </c>
      <c r="D20" t="s">
        <v>209</v>
      </c>
      <c r="E20" t="s">
        <v>210</v>
      </c>
      <c r="F20" t="s">
        <v>211</v>
      </c>
      <c r="G20" t="s">
        <v>212</v>
      </c>
      <c r="H20">
        <v>1</v>
      </c>
      <c r="I20" t="s">
        <v>194</v>
      </c>
      <c r="J20">
        <v>10</v>
      </c>
      <c r="K20" t="s">
        <v>257</v>
      </c>
      <c r="L20">
        <v>3</v>
      </c>
      <c r="M20" t="s">
        <v>221</v>
      </c>
      <c r="N20">
        <v>2</v>
      </c>
      <c r="O20" s="105">
        <v>43439</v>
      </c>
      <c r="P20">
        <f t="shared" si="1"/>
        <v>5</v>
      </c>
      <c r="Q20">
        <f t="shared" si="2"/>
        <v>1</v>
      </c>
    </row>
    <row r="21" spans="1:17" x14ac:dyDescent="0.2">
      <c r="A21">
        <v>101836</v>
      </c>
      <c r="B21" t="str">
        <f t="shared" si="0"/>
        <v>101836 - 2</v>
      </c>
      <c r="C21">
        <v>8999</v>
      </c>
      <c r="D21" t="s">
        <v>209</v>
      </c>
      <c r="E21" t="s">
        <v>210</v>
      </c>
      <c r="F21" t="s">
        <v>211</v>
      </c>
      <c r="G21" t="s">
        <v>212</v>
      </c>
      <c r="H21">
        <v>1</v>
      </c>
      <c r="I21" t="s">
        <v>194</v>
      </c>
      <c r="J21">
        <v>38</v>
      </c>
      <c r="K21" t="s">
        <v>252</v>
      </c>
      <c r="L21">
        <v>21</v>
      </c>
      <c r="M21" t="s">
        <v>221</v>
      </c>
      <c r="N21">
        <v>2</v>
      </c>
      <c r="O21" s="105">
        <v>43439</v>
      </c>
      <c r="P21">
        <f t="shared" si="1"/>
        <v>5</v>
      </c>
      <c r="Q21">
        <f t="shared" si="2"/>
        <v>2</v>
      </c>
    </row>
    <row r="22" spans="1:17" x14ac:dyDescent="0.2">
      <c r="A22">
        <v>101836</v>
      </c>
      <c r="B22" t="str">
        <f t="shared" si="0"/>
        <v>101836 - 3</v>
      </c>
      <c r="C22">
        <v>8999</v>
      </c>
      <c r="D22" t="s">
        <v>209</v>
      </c>
      <c r="E22" t="s">
        <v>210</v>
      </c>
      <c r="F22" t="s">
        <v>211</v>
      </c>
      <c r="G22" t="s">
        <v>212</v>
      </c>
      <c r="H22">
        <v>1</v>
      </c>
      <c r="I22" t="s">
        <v>194</v>
      </c>
      <c r="J22">
        <v>140</v>
      </c>
      <c r="K22" t="s">
        <v>264</v>
      </c>
      <c r="L22">
        <v>450</v>
      </c>
      <c r="M22" t="s">
        <v>221</v>
      </c>
      <c r="N22">
        <v>2</v>
      </c>
      <c r="O22" s="105">
        <v>43439</v>
      </c>
      <c r="P22">
        <f t="shared" si="1"/>
        <v>5</v>
      </c>
      <c r="Q22">
        <f t="shared" si="2"/>
        <v>3</v>
      </c>
    </row>
    <row r="23" spans="1:17" x14ac:dyDescent="0.2">
      <c r="A23">
        <v>101836</v>
      </c>
      <c r="B23" t="str">
        <f t="shared" si="0"/>
        <v>101836 - 4</v>
      </c>
      <c r="C23">
        <v>8999</v>
      </c>
      <c r="D23" t="s">
        <v>209</v>
      </c>
      <c r="E23" t="s">
        <v>210</v>
      </c>
      <c r="F23" t="s">
        <v>211</v>
      </c>
      <c r="G23" t="s">
        <v>212</v>
      </c>
      <c r="H23">
        <v>1</v>
      </c>
      <c r="I23" t="s">
        <v>194</v>
      </c>
      <c r="J23">
        <v>141</v>
      </c>
      <c r="K23" t="s">
        <v>265</v>
      </c>
      <c r="L23">
        <v>70</v>
      </c>
      <c r="M23" t="s">
        <v>221</v>
      </c>
      <c r="N23">
        <v>2</v>
      </c>
      <c r="O23" s="105">
        <v>43439</v>
      </c>
      <c r="P23">
        <f t="shared" si="1"/>
        <v>5</v>
      </c>
      <c r="Q23">
        <f t="shared" si="2"/>
        <v>4</v>
      </c>
    </row>
    <row r="24" spans="1:17" x14ac:dyDescent="0.2">
      <c r="A24">
        <v>101836</v>
      </c>
      <c r="B24" t="str">
        <f t="shared" si="0"/>
        <v>101836 - 5</v>
      </c>
      <c r="C24">
        <v>8999</v>
      </c>
      <c r="D24" t="s">
        <v>209</v>
      </c>
      <c r="E24" t="s">
        <v>210</v>
      </c>
      <c r="F24" t="s">
        <v>211</v>
      </c>
      <c r="G24" t="s">
        <v>212</v>
      </c>
      <c r="H24">
        <v>1</v>
      </c>
      <c r="I24" t="s">
        <v>194</v>
      </c>
      <c r="J24">
        <v>291</v>
      </c>
      <c r="K24" t="s">
        <v>266</v>
      </c>
      <c r="L24">
        <v>699</v>
      </c>
      <c r="M24" t="s">
        <v>221</v>
      </c>
      <c r="N24">
        <v>2</v>
      </c>
      <c r="O24" s="105">
        <v>43439</v>
      </c>
      <c r="P24">
        <f t="shared" si="1"/>
        <v>5</v>
      </c>
      <c r="Q24">
        <f t="shared" si="2"/>
        <v>5</v>
      </c>
    </row>
    <row r="25" spans="1:17" x14ac:dyDescent="0.2">
      <c r="A25">
        <v>101838</v>
      </c>
      <c r="B25" t="str">
        <f t="shared" si="0"/>
        <v>101838 - 1</v>
      </c>
      <c r="C25">
        <v>8999</v>
      </c>
      <c r="D25" t="s">
        <v>209</v>
      </c>
      <c r="E25" t="s">
        <v>210</v>
      </c>
      <c r="F25" t="s">
        <v>211</v>
      </c>
      <c r="G25" t="s">
        <v>212</v>
      </c>
      <c r="H25">
        <v>1</v>
      </c>
      <c r="I25" t="s">
        <v>194</v>
      </c>
      <c r="J25">
        <v>23</v>
      </c>
      <c r="K25" t="s">
        <v>267</v>
      </c>
      <c r="L25">
        <v>15</v>
      </c>
      <c r="M25" t="s">
        <v>221</v>
      </c>
      <c r="N25">
        <v>2</v>
      </c>
      <c r="O25" s="105">
        <v>43439</v>
      </c>
      <c r="P25">
        <f t="shared" si="1"/>
        <v>6</v>
      </c>
      <c r="Q25">
        <f t="shared" si="2"/>
        <v>1</v>
      </c>
    </row>
    <row r="26" spans="1:17" x14ac:dyDescent="0.2">
      <c r="A26">
        <v>101838</v>
      </c>
      <c r="B26" t="str">
        <f t="shared" si="0"/>
        <v>101838 - 2</v>
      </c>
      <c r="C26">
        <v>8999</v>
      </c>
      <c r="D26" t="s">
        <v>209</v>
      </c>
      <c r="E26" t="s">
        <v>210</v>
      </c>
      <c r="F26" t="s">
        <v>211</v>
      </c>
      <c r="G26" t="s">
        <v>212</v>
      </c>
      <c r="H26">
        <v>1</v>
      </c>
      <c r="I26" t="s">
        <v>194</v>
      </c>
      <c r="J26">
        <v>29</v>
      </c>
      <c r="K26" t="s">
        <v>268</v>
      </c>
      <c r="L26">
        <v>250</v>
      </c>
      <c r="M26" t="s">
        <v>221</v>
      </c>
      <c r="N26">
        <v>2</v>
      </c>
      <c r="O26" s="105">
        <v>43439</v>
      </c>
      <c r="P26">
        <f t="shared" si="1"/>
        <v>6</v>
      </c>
      <c r="Q26">
        <f t="shared" si="2"/>
        <v>2</v>
      </c>
    </row>
    <row r="27" spans="1:17" x14ac:dyDescent="0.2">
      <c r="A27">
        <v>101838</v>
      </c>
      <c r="B27" t="str">
        <f t="shared" si="0"/>
        <v>101838 - 3</v>
      </c>
      <c r="C27">
        <v>8999</v>
      </c>
      <c r="D27" t="s">
        <v>209</v>
      </c>
      <c r="E27" t="s">
        <v>210</v>
      </c>
      <c r="F27" t="s">
        <v>211</v>
      </c>
      <c r="G27" t="s">
        <v>212</v>
      </c>
      <c r="H27">
        <v>1</v>
      </c>
      <c r="I27" t="s">
        <v>194</v>
      </c>
      <c r="J27">
        <v>38</v>
      </c>
      <c r="K27" t="s">
        <v>252</v>
      </c>
      <c r="L27">
        <v>17</v>
      </c>
      <c r="M27" t="s">
        <v>221</v>
      </c>
      <c r="N27">
        <v>2</v>
      </c>
      <c r="O27" s="105">
        <v>43439</v>
      </c>
      <c r="P27">
        <f t="shared" si="1"/>
        <v>6</v>
      </c>
      <c r="Q27">
        <f t="shared" si="2"/>
        <v>3</v>
      </c>
    </row>
    <row r="28" spans="1:17" x14ac:dyDescent="0.2">
      <c r="A28">
        <v>101838</v>
      </c>
      <c r="B28" t="str">
        <f t="shared" si="0"/>
        <v>101838 - 4</v>
      </c>
      <c r="C28">
        <v>8999</v>
      </c>
      <c r="D28" t="s">
        <v>209</v>
      </c>
      <c r="E28" t="s">
        <v>210</v>
      </c>
      <c r="F28" t="s">
        <v>211</v>
      </c>
      <c r="G28" t="s">
        <v>212</v>
      </c>
      <c r="H28">
        <v>1</v>
      </c>
      <c r="I28" t="s">
        <v>194</v>
      </c>
      <c r="J28">
        <v>96</v>
      </c>
      <c r="K28" t="s">
        <v>242</v>
      </c>
      <c r="L28">
        <v>2</v>
      </c>
      <c r="M28" t="s">
        <v>221</v>
      </c>
      <c r="N28">
        <v>2</v>
      </c>
      <c r="O28" s="105">
        <v>43439</v>
      </c>
      <c r="P28">
        <f t="shared" si="1"/>
        <v>6</v>
      </c>
      <c r="Q28">
        <f t="shared" si="2"/>
        <v>4</v>
      </c>
    </row>
    <row r="29" spans="1:17" x14ac:dyDescent="0.2">
      <c r="A29">
        <v>101838</v>
      </c>
      <c r="B29" t="str">
        <f t="shared" si="0"/>
        <v>101838 - 5</v>
      </c>
      <c r="C29">
        <v>8999</v>
      </c>
      <c r="D29" t="s">
        <v>209</v>
      </c>
      <c r="E29" t="s">
        <v>210</v>
      </c>
      <c r="F29" t="s">
        <v>211</v>
      </c>
      <c r="G29" t="s">
        <v>212</v>
      </c>
      <c r="H29">
        <v>1</v>
      </c>
      <c r="I29" t="s">
        <v>194</v>
      </c>
      <c r="J29">
        <v>127</v>
      </c>
      <c r="K29" t="s">
        <v>269</v>
      </c>
      <c r="L29">
        <v>650</v>
      </c>
      <c r="M29" t="s">
        <v>221</v>
      </c>
      <c r="N29">
        <v>2</v>
      </c>
      <c r="O29" s="105">
        <v>43439</v>
      </c>
      <c r="P29">
        <f t="shared" si="1"/>
        <v>6</v>
      </c>
      <c r="Q29">
        <f t="shared" si="2"/>
        <v>5</v>
      </c>
    </row>
    <row r="30" spans="1:17" x14ac:dyDescent="0.2">
      <c r="A30">
        <v>101838</v>
      </c>
      <c r="B30" t="str">
        <f t="shared" si="0"/>
        <v>101838 - 6</v>
      </c>
      <c r="C30">
        <v>8999</v>
      </c>
      <c r="D30" t="s">
        <v>209</v>
      </c>
      <c r="E30" t="s">
        <v>210</v>
      </c>
      <c r="F30" t="s">
        <v>211</v>
      </c>
      <c r="G30" t="s">
        <v>212</v>
      </c>
      <c r="H30">
        <v>1</v>
      </c>
      <c r="I30" t="s">
        <v>194</v>
      </c>
      <c r="J30">
        <v>196</v>
      </c>
      <c r="K30" t="s">
        <v>251</v>
      </c>
      <c r="L30">
        <v>6</v>
      </c>
      <c r="M30" t="s">
        <v>221</v>
      </c>
      <c r="N30">
        <v>2</v>
      </c>
      <c r="O30" s="105">
        <v>43439</v>
      </c>
      <c r="P30">
        <f t="shared" si="1"/>
        <v>6</v>
      </c>
      <c r="Q30">
        <f t="shared" si="2"/>
        <v>6</v>
      </c>
    </row>
    <row r="31" spans="1:17" x14ac:dyDescent="0.2">
      <c r="A31">
        <v>559199</v>
      </c>
      <c r="B31" t="str">
        <f t="shared" si="0"/>
        <v>559199 - 1</v>
      </c>
      <c r="C31">
        <v>2499</v>
      </c>
      <c r="D31" t="s">
        <v>203</v>
      </c>
      <c r="E31" t="s">
        <v>204</v>
      </c>
      <c r="F31" t="s">
        <v>205</v>
      </c>
      <c r="G31" t="s">
        <v>206</v>
      </c>
      <c r="H31">
        <v>13</v>
      </c>
      <c r="I31" t="s">
        <v>207</v>
      </c>
      <c r="J31">
        <v>20</v>
      </c>
      <c r="K31" t="s">
        <v>208</v>
      </c>
      <c r="L31">
        <v>3</v>
      </c>
      <c r="M31" t="s">
        <v>270</v>
      </c>
      <c r="N31">
        <v>1</v>
      </c>
      <c r="O31" s="105">
        <v>43444</v>
      </c>
      <c r="P31">
        <f t="shared" si="1"/>
        <v>1</v>
      </c>
      <c r="Q31">
        <f t="shared" si="2"/>
        <v>1</v>
      </c>
    </row>
    <row r="32" spans="1:17" x14ac:dyDescent="0.2">
      <c r="A32">
        <v>559200</v>
      </c>
      <c r="B32" t="str">
        <f t="shared" si="0"/>
        <v>559200 - 1</v>
      </c>
      <c r="C32">
        <v>2499</v>
      </c>
      <c r="D32" t="s">
        <v>203</v>
      </c>
      <c r="E32" t="s">
        <v>204</v>
      </c>
      <c r="F32" t="s">
        <v>205</v>
      </c>
      <c r="G32" t="s">
        <v>206</v>
      </c>
      <c r="H32">
        <v>13</v>
      </c>
      <c r="I32" t="s">
        <v>207</v>
      </c>
      <c r="J32">
        <v>20</v>
      </c>
      <c r="K32" t="s">
        <v>208</v>
      </c>
      <c r="L32">
        <v>4</v>
      </c>
      <c r="M32" t="s">
        <v>271</v>
      </c>
      <c r="N32">
        <v>1</v>
      </c>
      <c r="O32" s="105">
        <v>43444</v>
      </c>
      <c r="P32">
        <f t="shared" si="1"/>
        <v>1</v>
      </c>
      <c r="Q32">
        <f t="shared" si="2"/>
        <v>1</v>
      </c>
    </row>
    <row r="33" spans="1:17" x14ac:dyDescent="0.2">
      <c r="A33">
        <v>559201</v>
      </c>
      <c r="B33" t="str">
        <f t="shared" si="0"/>
        <v>559201 - 1</v>
      </c>
      <c r="C33">
        <v>2499</v>
      </c>
      <c r="D33" t="s">
        <v>203</v>
      </c>
      <c r="E33" t="s">
        <v>204</v>
      </c>
      <c r="F33" t="s">
        <v>205</v>
      </c>
      <c r="G33" t="s">
        <v>206</v>
      </c>
      <c r="H33">
        <v>13</v>
      </c>
      <c r="I33" t="s">
        <v>207</v>
      </c>
      <c r="J33">
        <v>20</v>
      </c>
      <c r="K33" t="s">
        <v>208</v>
      </c>
      <c r="L33">
        <v>2</v>
      </c>
      <c r="M33" t="s">
        <v>272</v>
      </c>
      <c r="N33">
        <v>1</v>
      </c>
      <c r="O33" s="105">
        <v>43444</v>
      </c>
      <c r="P33">
        <f t="shared" si="1"/>
        <v>1</v>
      </c>
      <c r="Q33">
        <f t="shared" si="2"/>
        <v>1</v>
      </c>
    </row>
    <row r="34" spans="1:17" x14ac:dyDescent="0.2">
      <c r="A34">
        <v>559202</v>
      </c>
      <c r="B34" t="str">
        <f t="shared" si="0"/>
        <v>559202 - 1</v>
      </c>
      <c r="C34">
        <v>2499</v>
      </c>
      <c r="D34" t="s">
        <v>203</v>
      </c>
      <c r="E34" t="s">
        <v>204</v>
      </c>
      <c r="F34" t="s">
        <v>205</v>
      </c>
      <c r="G34" t="s">
        <v>206</v>
      </c>
      <c r="H34">
        <v>13</v>
      </c>
      <c r="I34" t="s">
        <v>207</v>
      </c>
      <c r="J34">
        <v>20</v>
      </c>
      <c r="K34" t="s">
        <v>208</v>
      </c>
      <c r="L34">
        <v>3</v>
      </c>
      <c r="M34" t="s">
        <v>273</v>
      </c>
      <c r="N34">
        <v>1</v>
      </c>
      <c r="O34" s="105">
        <v>43445</v>
      </c>
      <c r="P34">
        <f t="shared" si="1"/>
        <v>1</v>
      </c>
      <c r="Q34">
        <f t="shared" si="2"/>
        <v>1</v>
      </c>
    </row>
    <row r="35" spans="1:17" x14ac:dyDescent="0.2">
      <c r="A35">
        <v>559203</v>
      </c>
      <c r="B35" t="str">
        <f t="shared" si="0"/>
        <v>559203 - 1</v>
      </c>
      <c r="C35">
        <v>2499</v>
      </c>
      <c r="D35" t="s">
        <v>203</v>
      </c>
      <c r="E35" t="s">
        <v>204</v>
      </c>
      <c r="F35" t="s">
        <v>205</v>
      </c>
      <c r="G35" t="s">
        <v>206</v>
      </c>
      <c r="H35">
        <v>13</v>
      </c>
      <c r="I35" t="s">
        <v>207</v>
      </c>
      <c r="J35">
        <v>20</v>
      </c>
      <c r="K35" t="s">
        <v>208</v>
      </c>
      <c r="L35">
        <v>4</v>
      </c>
      <c r="M35" t="s">
        <v>274</v>
      </c>
      <c r="N35">
        <v>1</v>
      </c>
      <c r="O35" s="105">
        <v>43445</v>
      </c>
      <c r="P35">
        <f t="shared" si="1"/>
        <v>2</v>
      </c>
      <c r="Q35">
        <f t="shared" si="2"/>
        <v>1</v>
      </c>
    </row>
    <row r="36" spans="1:17" x14ac:dyDescent="0.2">
      <c r="A36">
        <v>559203</v>
      </c>
      <c r="B36" t="str">
        <f t="shared" si="0"/>
        <v>559203 - 2</v>
      </c>
      <c r="C36">
        <v>2499</v>
      </c>
      <c r="D36" t="s">
        <v>203</v>
      </c>
      <c r="E36" t="s">
        <v>204</v>
      </c>
      <c r="F36" t="s">
        <v>205</v>
      </c>
      <c r="G36" t="s">
        <v>206</v>
      </c>
      <c r="H36">
        <v>13</v>
      </c>
      <c r="I36" t="s">
        <v>207</v>
      </c>
      <c r="J36">
        <v>70</v>
      </c>
      <c r="K36" t="s">
        <v>200</v>
      </c>
      <c r="L36">
        <v>0</v>
      </c>
      <c r="M36" t="s">
        <v>274</v>
      </c>
      <c r="N36">
        <v>1</v>
      </c>
      <c r="O36" s="105">
        <v>43445</v>
      </c>
      <c r="P36">
        <f t="shared" si="1"/>
        <v>2</v>
      </c>
      <c r="Q36">
        <f t="shared" si="2"/>
        <v>2</v>
      </c>
    </row>
    <row r="37" spans="1:17" x14ac:dyDescent="0.2">
      <c r="A37">
        <v>559204</v>
      </c>
      <c r="B37" t="str">
        <f t="shared" si="0"/>
        <v>559204 - 1</v>
      </c>
      <c r="C37">
        <v>2499</v>
      </c>
      <c r="D37" t="s">
        <v>203</v>
      </c>
      <c r="E37" t="s">
        <v>204</v>
      </c>
      <c r="F37" t="s">
        <v>205</v>
      </c>
      <c r="G37" t="s">
        <v>206</v>
      </c>
      <c r="H37">
        <v>13</v>
      </c>
      <c r="I37" t="s">
        <v>207</v>
      </c>
      <c r="J37">
        <v>20</v>
      </c>
      <c r="K37" t="s">
        <v>208</v>
      </c>
      <c r="L37">
        <v>4</v>
      </c>
      <c r="M37" t="s">
        <v>275</v>
      </c>
      <c r="N37">
        <v>1</v>
      </c>
      <c r="O37" s="105">
        <v>43445</v>
      </c>
      <c r="P37">
        <f t="shared" si="1"/>
        <v>1</v>
      </c>
      <c r="Q37">
        <f t="shared" si="2"/>
        <v>1</v>
      </c>
    </row>
    <row r="38" spans="1:17" x14ac:dyDescent="0.2">
      <c r="A38">
        <v>559205</v>
      </c>
      <c r="B38" t="str">
        <f t="shared" si="0"/>
        <v>559205 - 1</v>
      </c>
      <c r="C38">
        <v>2499</v>
      </c>
      <c r="D38" t="s">
        <v>203</v>
      </c>
      <c r="E38" t="s">
        <v>204</v>
      </c>
      <c r="F38" t="s">
        <v>205</v>
      </c>
      <c r="G38" t="s">
        <v>206</v>
      </c>
      <c r="H38">
        <v>13</v>
      </c>
      <c r="I38" t="s">
        <v>207</v>
      </c>
      <c r="J38">
        <v>20</v>
      </c>
      <c r="K38" t="s">
        <v>208</v>
      </c>
      <c r="L38">
        <v>3</v>
      </c>
      <c r="M38" t="s">
        <v>276</v>
      </c>
      <c r="N38">
        <v>1</v>
      </c>
      <c r="O38" s="105">
        <v>43444</v>
      </c>
      <c r="P38">
        <f t="shared" si="1"/>
        <v>2</v>
      </c>
      <c r="Q38">
        <f t="shared" si="2"/>
        <v>1</v>
      </c>
    </row>
    <row r="39" spans="1:17" x14ac:dyDescent="0.2">
      <c r="A39">
        <v>559205</v>
      </c>
      <c r="B39" t="str">
        <f t="shared" si="0"/>
        <v>559205 - 2</v>
      </c>
      <c r="C39">
        <v>2499</v>
      </c>
      <c r="D39" t="s">
        <v>203</v>
      </c>
      <c r="E39" t="s">
        <v>204</v>
      </c>
      <c r="F39" t="s">
        <v>205</v>
      </c>
      <c r="G39" t="s">
        <v>206</v>
      </c>
      <c r="H39">
        <v>13</v>
      </c>
      <c r="I39" t="s">
        <v>207</v>
      </c>
      <c r="J39">
        <v>70</v>
      </c>
      <c r="K39" t="s">
        <v>200</v>
      </c>
      <c r="L39">
        <v>0</v>
      </c>
      <c r="M39" t="s">
        <v>276</v>
      </c>
      <c r="N39">
        <v>1</v>
      </c>
      <c r="O39" s="105">
        <v>43444</v>
      </c>
      <c r="P39">
        <f t="shared" si="1"/>
        <v>2</v>
      </c>
      <c r="Q39">
        <f t="shared" si="2"/>
        <v>2</v>
      </c>
    </row>
    <row r="40" spans="1:17" x14ac:dyDescent="0.2">
      <c r="A40">
        <v>559379</v>
      </c>
      <c r="B40" t="str">
        <f t="shared" si="0"/>
        <v>559379 - 1</v>
      </c>
      <c r="C40">
        <v>8999</v>
      </c>
      <c r="D40" t="s">
        <v>209</v>
      </c>
      <c r="E40" t="s">
        <v>210</v>
      </c>
      <c r="F40" t="s">
        <v>211</v>
      </c>
      <c r="G40" t="s">
        <v>212</v>
      </c>
      <c r="H40">
        <v>1</v>
      </c>
      <c r="I40" t="s">
        <v>194</v>
      </c>
      <c r="J40">
        <v>12</v>
      </c>
      <c r="K40" t="s">
        <v>228</v>
      </c>
      <c r="L40">
        <v>1</v>
      </c>
      <c r="M40" t="s">
        <v>277</v>
      </c>
      <c r="N40">
        <v>1</v>
      </c>
      <c r="O40" s="105">
        <v>43439</v>
      </c>
      <c r="P40">
        <f t="shared" si="1"/>
        <v>3</v>
      </c>
      <c r="Q40">
        <f t="shared" si="2"/>
        <v>1</v>
      </c>
    </row>
    <row r="41" spans="1:17" x14ac:dyDescent="0.2">
      <c r="A41">
        <v>559379</v>
      </c>
      <c r="B41" t="str">
        <f t="shared" si="0"/>
        <v>559379 - 2</v>
      </c>
      <c r="C41">
        <v>8999</v>
      </c>
      <c r="D41" t="s">
        <v>209</v>
      </c>
      <c r="E41" t="s">
        <v>210</v>
      </c>
      <c r="F41" t="s">
        <v>211</v>
      </c>
      <c r="G41" t="s">
        <v>212</v>
      </c>
      <c r="H41">
        <v>1</v>
      </c>
      <c r="I41" t="s">
        <v>194</v>
      </c>
      <c r="J41">
        <v>71</v>
      </c>
      <c r="K41" t="s">
        <v>256</v>
      </c>
      <c r="L41">
        <v>2</v>
      </c>
      <c r="M41" t="s">
        <v>277</v>
      </c>
      <c r="N41">
        <v>1</v>
      </c>
      <c r="O41" s="105">
        <v>43439</v>
      </c>
      <c r="P41">
        <f t="shared" si="1"/>
        <v>3</v>
      </c>
      <c r="Q41">
        <f t="shared" si="2"/>
        <v>2</v>
      </c>
    </row>
    <row r="42" spans="1:17" x14ac:dyDescent="0.2">
      <c r="A42">
        <v>559379</v>
      </c>
      <c r="B42" t="str">
        <f t="shared" si="0"/>
        <v>559379 - 3</v>
      </c>
      <c r="C42">
        <v>8999</v>
      </c>
      <c r="D42" t="s">
        <v>209</v>
      </c>
      <c r="E42" t="s">
        <v>210</v>
      </c>
      <c r="F42" t="s">
        <v>211</v>
      </c>
      <c r="G42" t="s">
        <v>212</v>
      </c>
      <c r="H42">
        <v>1</v>
      </c>
      <c r="I42" t="s">
        <v>194</v>
      </c>
      <c r="J42">
        <v>210</v>
      </c>
      <c r="K42" t="s">
        <v>278</v>
      </c>
      <c r="L42">
        <v>1</v>
      </c>
      <c r="M42" t="s">
        <v>277</v>
      </c>
      <c r="N42">
        <v>1</v>
      </c>
      <c r="O42" s="105">
        <v>43439</v>
      </c>
      <c r="P42">
        <f t="shared" si="1"/>
        <v>3</v>
      </c>
      <c r="Q42">
        <f t="shared" si="2"/>
        <v>3</v>
      </c>
    </row>
    <row r="43" spans="1:17" x14ac:dyDescent="0.2">
      <c r="A43">
        <v>559380</v>
      </c>
      <c r="B43" t="str">
        <f t="shared" si="0"/>
        <v>559380 - 1</v>
      </c>
      <c r="C43">
        <v>8999</v>
      </c>
      <c r="D43" t="s">
        <v>209</v>
      </c>
      <c r="E43" t="s">
        <v>210</v>
      </c>
      <c r="F43" t="s">
        <v>211</v>
      </c>
      <c r="G43" t="s">
        <v>212</v>
      </c>
      <c r="H43">
        <v>1</v>
      </c>
      <c r="I43" t="s">
        <v>194</v>
      </c>
      <c r="J43">
        <v>81</v>
      </c>
      <c r="K43" t="s">
        <v>279</v>
      </c>
      <c r="L43">
        <v>1</v>
      </c>
      <c r="M43" t="s">
        <v>280</v>
      </c>
      <c r="N43">
        <v>1</v>
      </c>
      <c r="O43" s="105">
        <v>43439</v>
      </c>
      <c r="P43">
        <f t="shared" si="1"/>
        <v>2</v>
      </c>
      <c r="Q43">
        <f t="shared" si="2"/>
        <v>1</v>
      </c>
    </row>
    <row r="44" spans="1:17" x14ac:dyDescent="0.2">
      <c r="A44">
        <v>559380</v>
      </c>
      <c r="B44" t="str">
        <f t="shared" si="0"/>
        <v>559380 - 2</v>
      </c>
      <c r="C44">
        <v>8999</v>
      </c>
      <c r="D44" t="s">
        <v>209</v>
      </c>
      <c r="E44" t="s">
        <v>210</v>
      </c>
      <c r="F44" t="s">
        <v>211</v>
      </c>
      <c r="G44" t="s">
        <v>212</v>
      </c>
      <c r="H44">
        <v>1</v>
      </c>
      <c r="I44" t="s">
        <v>194</v>
      </c>
      <c r="J44">
        <v>95</v>
      </c>
      <c r="K44" t="s">
        <v>281</v>
      </c>
      <c r="L44">
        <v>10</v>
      </c>
      <c r="M44" t="s">
        <v>280</v>
      </c>
      <c r="N44">
        <v>1</v>
      </c>
      <c r="O44" s="105">
        <v>43439</v>
      </c>
      <c r="P44">
        <f t="shared" si="1"/>
        <v>2</v>
      </c>
      <c r="Q44">
        <f t="shared" si="2"/>
        <v>2</v>
      </c>
    </row>
    <row r="45" spans="1:17" x14ac:dyDescent="0.2">
      <c r="A45">
        <v>559390</v>
      </c>
      <c r="B45" t="str">
        <f t="shared" si="0"/>
        <v>559390 - 1</v>
      </c>
      <c r="C45">
        <v>3264</v>
      </c>
      <c r="D45" t="s">
        <v>282</v>
      </c>
      <c r="E45" t="s">
        <v>283</v>
      </c>
      <c r="F45" t="s">
        <v>284</v>
      </c>
      <c r="G45" t="s">
        <v>285</v>
      </c>
      <c r="H45">
        <v>20</v>
      </c>
      <c r="I45" t="s">
        <v>286</v>
      </c>
      <c r="J45">
        <v>5</v>
      </c>
      <c r="K45" t="s">
        <v>240</v>
      </c>
      <c r="L45">
        <v>2</v>
      </c>
      <c r="M45" t="s">
        <v>287</v>
      </c>
      <c r="N45">
        <v>1</v>
      </c>
      <c r="O45" s="105">
        <v>43439</v>
      </c>
      <c r="P45">
        <f t="shared" si="1"/>
        <v>3</v>
      </c>
      <c r="Q45">
        <f t="shared" si="2"/>
        <v>1</v>
      </c>
    </row>
    <row r="46" spans="1:17" x14ac:dyDescent="0.2">
      <c r="A46">
        <v>559390</v>
      </c>
      <c r="B46" t="str">
        <f t="shared" si="0"/>
        <v>559390 - 2</v>
      </c>
      <c r="C46">
        <v>3264</v>
      </c>
      <c r="D46" t="s">
        <v>282</v>
      </c>
      <c r="E46" t="s">
        <v>283</v>
      </c>
      <c r="F46" t="s">
        <v>284</v>
      </c>
      <c r="G46" t="s">
        <v>285</v>
      </c>
      <c r="H46">
        <v>20</v>
      </c>
      <c r="I46" t="s">
        <v>286</v>
      </c>
      <c r="J46">
        <v>71</v>
      </c>
      <c r="K46" t="s">
        <v>256</v>
      </c>
      <c r="L46">
        <v>12</v>
      </c>
      <c r="M46" t="s">
        <v>287</v>
      </c>
      <c r="N46">
        <v>1</v>
      </c>
      <c r="O46" s="105">
        <v>43439</v>
      </c>
      <c r="P46">
        <f t="shared" si="1"/>
        <v>3</v>
      </c>
      <c r="Q46">
        <f t="shared" si="2"/>
        <v>2</v>
      </c>
    </row>
    <row r="47" spans="1:17" x14ac:dyDescent="0.2">
      <c r="A47">
        <v>559390</v>
      </c>
      <c r="B47" t="str">
        <f t="shared" si="0"/>
        <v>559390 - 3</v>
      </c>
      <c r="C47">
        <v>3264</v>
      </c>
      <c r="D47" t="s">
        <v>282</v>
      </c>
      <c r="E47" t="s">
        <v>283</v>
      </c>
      <c r="F47" t="s">
        <v>284</v>
      </c>
      <c r="G47" t="s">
        <v>285</v>
      </c>
      <c r="H47">
        <v>20</v>
      </c>
      <c r="I47" t="s">
        <v>286</v>
      </c>
      <c r="J47">
        <v>81</v>
      </c>
      <c r="K47" t="s">
        <v>279</v>
      </c>
      <c r="L47">
        <v>1</v>
      </c>
      <c r="M47" t="s">
        <v>287</v>
      </c>
      <c r="N47">
        <v>1</v>
      </c>
      <c r="O47" s="105">
        <v>43439</v>
      </c>
      <c r="P47">
        <f t="shared" si="1"/>
        <v>3</v>
      </c>
      <c r="Q47">
        <f t="shared" si="2"/>
        <v>3</v>
      </c>
    </row>
    <row r="48" spans="1:17" x14ac:dyDescent="0.2">
      <c r="A48">
        <v>559391</v>
      </c>
      <c r="B48" t="str">
        <f t="shared" si="0"/>
        <v>559391 - 1</v>
      </c>
      <c r="C48">
        <v>2463</v>
      </c>
      <c r="D48" t="s">
        <v>14</v>
      </c>
      <c r="E48" t="s">
        <v>288</v>
      </c>
      <c r="F48" t="s">
        <v>289</v>
      </c>
      <c r="G48" t="s">
        <v>290</v>
      </c>
      <c r="H48">
        <v>1</v>
      </c>
      <c r="I48" t="s">
        <v>194</v>
      </c>
      <c r="J48">
        <v>71</v>
      </c>
      <c r="K48" t="s">
        <v>256</v>
      </c>
      <c r="L48">
        <v>40</v>
      </c>
      <c r="M48" t="s">
        <v>291</v>
      </c>
      <c r="N48">
        <v>1</v>
      </c>
      <c r="O48" s="105">
        <v>43439</v>
      </c>
      <c r="P48">
        <f t="shared" si="1"/>
        <v>1</v>
      </c>
      <c r="Q48">
        <f t="shared" si="2"/>
        <v>1</v>
      </c>
    </row>
    <row r="49" spans="1:17" x14ac:dyDescent="0.2">
      <c r="A49">
        <v>559394</v>
      </c>
      <c r="B49" t="str">
        <f t="shared" si="0"/>
        <v>559394 - 1</v>
      </c>
      <c r="C49">
        <v>2395</v>
      </c>
      <c r="D49" t="s">
        <v>292</v>
      </c>
      <c r="E49" t="s">
        <v>293</v>
      </c>
      <c r="F49" t="s">
        <v>294</v>
      </c>
      <c r="G49" t="s">
        <v>295</v>
      </c>
      <c r="H49">
        <v>1</v>
      </c>
      <c r="I49" t="s">
        <v>194</v>
      </c>
      <c r="J49">
        <v>71</v>
      </c>
      <c r="K49" t="s">
        <v>256</v>
      </c>
      <c r="L49">
        <v>2</v>
      </c>
      <c r="M49" t="s">
        <v>296</v>
      </c>
      <c r="N49">
        <v>1</v>
      </c>
      <c r="O49" s="105">
        <v>43439</v>
      </c>
      <c r="P49">
        <f t="shared" si="1"/>
        <v>1</v>
      </c>
      <c r="Q49">
        <f t="shared" si="2"/>
        <v>1</v>
      </c>
    </row>
    <row r="50" spans="1:17" x14ac:dyDescent="0.2">
      <c r="A50">
        <v>559395</v>
      </c>
      <c r="B50" t="str">
        <f t="shared" si="0"/>
        <v>559395 - 1</v>
      </c>
      <c r="C50">
        <v>2395</v>
      </c>
      <c r="D50" t="s">
        <v>292</v>
      </c>
      <c r="E50" t="s">
        <v>293</v>
      </c>
      <c r="F50" t="s">
        <v>294</v>
      </c>
      <c r="G50" t="s">
        <v>295</v>
      </c>
      <c r="H50">
        <v>1</v>
      </c>
      <c r="I50" t="s">
        <v>194</v>
      </c>
      <c r="J50">
        <v>12</v>
      </c>
      <c r="K50" t="s">
        <v>228</v>
      </c>
      <c r="L50">
        <v>2</v>
      </c>
      <c r="M50" t="s">
        <v>297</v>
      </c>
      <c r="N50">
        <v>1</v>
      </c>
      <c r="O50" s="105">
        <v>43439</v>
      </c>
      <c r="P50">
        <f t="shared" si="1"/>
        <v>2</v>
      </c>
      <c r="Q50">
        <f t="shared" si="2"/>
        <v>1</v>
      </c>
    </row>
    <row r="51" spans="1:17" x14ac:dyDescent="0.2">
      <c r="A51">
        <v>559395</v>
      </c>
      <c r="B51" t="str">
        <f t="shared" si="0"/>
        <v>559395 - 2</v>
      </c>
      <c r="C51">
        <v>2395</v>
      </c>
      <c r="D51" t="s">
        <v>292</v>
      </c>
      <c r="E51" t="s">
        <v>293</v>
      </c>
      <c r="F51" t="s">
        <v>294</v>
      </c>
      <c r="G51" t="s">
        <v>295</v>
      </c>
      <c r="H51">
        <v>1</v>
      </c>
      <c r="I51" t="s">
        <v>194</v>
      </c>
      <c r="J51">
        <v>71</v>
      </c>
      <c r="K51" t="s">
        <v>256</v>
      </c>
      <c r="L51">
        <v>1</v>
      </c>
      <c r="M51" t="s">
        <v>297</v>
      </c>
      <c r="N51">
        <v>1</v>
      </c>
      <c r="O51" s="105">
        <v>43439</v>
      </c>
      <c r="P51">
        <f t="shared" si="1"/>
        <v>2</v>
      </c>
      <c r="Q51">
        <f t="shared" si="2"/>
        <v>2</v>
      </c>
    </row>
    <row r="52" spans="1:17" x14ac:dyDescent="0.2">
      <c r="A52">
        <v>559396</v>
      </c>
      <c r="B52" t="str">
        <f t="shared" si="0"/>
        <v>559396 - 1</v>
      </c>
      <c r="C52">
        <v>2395</v>
      </c>
      <c r="D52" t="s">
        <v>292</v>
      </c>
      <c r="E52" t="s">
        <v>293</v>
      </c>
      <c r="F52" t="s">
        <v>294</v>
      </c>
      <c r="G52" t="s">
        <v>295</v>
      </c>
      <c r="H52">
        <v>1</v>
      </c>
      <c r="I52" t="s">
        <v>194</v>
      </c>
      <c r="J52">
        <v>71</v>
      </c>
      <c r="K52" t="s">
        <v>256</v>
      </c>
      <c r="L52">
        <v>5</v>
      </c>
      <c r="M52" t="s">
        <v>298</v>
      </c>
      <c r="N52">
        <v>1</v>
      </c>
      <c r="O52" s="105">
        <v>43439</v>
      </c>
      <c r="P52">
        <f t="shared" si="1"/>
        <v>1</v>
      </c>
      <c r="Q52">
        <f t="shared" si="2"/>
        <v>1</v>
      </c>
    </row>
    <row r="53" spans="1:17" x14ac:dyDescent="0.2">
      <c r="A53">
        <v>559397</v>
      </c>
      <c r="B53" t="str">
        <f t="shared" si="0"/>
        <v>559397 - 1</v>
      </c>
      <c r="C53">
        <v>2395</v>
      </c>
      <c r="D53" t="s">
        <v>292</v>
      </c>
      <c r="E53" t="s">
        <v>293</v>
      </c>
      <c r="F53" t="s">
        <v>294</v>
      </c>
      <c r="G53" t="s">
        <v>295</v>
      </c>
      <c r="H53">
        <v>1</v>
      </c>
      <c r="I53" t="s">
        <v>194</v>
      </c>
      <c r="J53">
        <v>71</v>
      </c>
      <c r="K53" t="s">
        <v>256</v>
      </c>
      <c r="L53">
        <v>1</v>
      </c>
      <c r="M53" t="s">
        <v>299</v>
      </c>
      <c r="N53">
        <v>1</v>
      </c>
      <c r="O53" s="105">
        <v>43439</v>
      </c>
      <c r="P53">
        <f t="shared" si="1"/>
        <v>1</v>
      </c>
      <c r="Q53">
        <f t="shared" si="2"/>
        <v>1</v>
      </c>
    </row>
    <row r="54" spans="1:17" x14ac:dyDescent="0.2">
      <c r="A54">
        <v>559398</v>
      </c>
      <c r="B54" t="str">
        <f t="shared" si="0"/>
        <v>559398 - 1</v>
      </c>
      <c r="C54">
        <v>2395</v>
      </c>
      <c r="D54" t="s">
        <v>292</v>
      </c>
      <c r="E54" t="s">
        <v>293</v>
      </c>
      <c r="F54" t="s">
        <v>294</v>
      </c>
      <c r="G54" t="s">
        <v>295</v>
      </c>
      <c r="H54">
        <v>1</v>
      </c>
      <c r="I54" t="s">
        <v>194</v>
      </c>
      <c r="J54">
        <v>71</v>
      </c>
      <c r="K54" t="s">
        <v>256</v>
      </c>
      <c r="L54">
        <v>3</v>
      </c>
      <c r="M54" t="s">
        <v>300</v>
      </c>
      <c r="N54">
        <v>1</v>
      </c>
      <c r="O54" s="105">
        <v>43439</v>
      </c>
      <c r="P54">
        <f t="shared" si="1"/>
        <v>1</v>
      </c>
      <c r="Q54">
        <f t="shared" si="2"/>
        <v>1</v>
      </c>
    </row>
    <row r="55" spans="1:17" x14ac:dyDescent="0.2">
      <c r="A55">
        <v>559399</v>
      </c>
      <c r="B55" t="str">
        <f t="shared" si="0"/>
        <v>559399 - 1</v>
      </c>
      <c r="C55">
        <v>2395</v>
      </c>
      <c r="D55" t="s">
        <v>292</v>
      </c>
      <c r="E55" t="s">
        <v>293</v>
      </c>
      <c r="F55" t="s">
        <v>294</v>
      </c>
      <c r="G55" t="s">
        <v>295</v>
      </c>
      <c r="H55">
        <v>1</v>
      </c>
      <c r="I55" t="s">
        <v>194</v>
      </c>
      <c r="J55">
        <v>71</v>
      </c>
      <c r="K55" t="s">
        <v>256</v>
      </c>
      <c r="L55">
        <v>2</v>
      </c>
      <c r="M55" t="s">
        <v>301</v>
      </c>
      <c r="N55">
        <v>1</v>
      </c>
      <c r="O55" s="105">
        <v>43439</v>
      </c>
      <c r="P55">
        <f t="shared" si="1"/>
        <v>1</v>
      </c>
      <c r="Q55">
        <f t="shared" si="2"/>
        <v>1</v>
      </c>
    </row>
    <row r="56" spans="1:17" x14ac:dyDescent="0.2">
      <c r="A56">
        <v>559400</v>
      </c>
      <c r="B56" t="str">
        <f t="shared" si="0"/>
        <v>559400 - 1</v>
      </c>
      <c r="C56">
        <v>2395</v>
      </c>
      <c r="D56" t="s">
        <v>292</v>
      </c>
      <c r="E56" t="s">
        <v>293</v>
      </c>
      <c r="F56" t="s">
        <v>294</v>
      </c>
      <c r="G56" t="s">
        <v>295</v>
      </c>
      <c r="H56">
        <v>1</v>
      </c>
      <c r="I56" t="s">
        <v>194</v>
      </c>
      <c r="J56">
        <v>71</v>
      </c>
      <c r="K56" t="s">
        <v>256</v>
      </c>
      <c r="L56">
        <v>1</v>
      </c>
      <c r="M56" t="s">
        <v>302</v>
      </c>
      <c r="N56">
        <v>1</v>
      </c>
      <c r="O56" s="105">
        <v>43439</v>
      </c>
      <c r="P56">
        <f t="shared" si="1"/>
        <v>1</v>
      </c>
      <c r="Q56">
        <f t="shared" si="2"/>
        <v>1</v>
      </c>
    </row>
    <row r="57" spans="1:17" x14ac:dyDescent="0.2">
      <c r="A57">
        <v>559401</v>
      </c>
      <c r="B57" t="str">
        <f t="shared" si="0"/>
        <v>559401 - 1</v>
      </c>
      <c r="C57">
        <v>2395</v>
      </c>
      <c r="D57" t="s">
        <v>292</v>
      </c>
      <c r="E57" t="s">
        <v>293</v>
      </c>
      <c r="F57" t="s">
        <v>294</v>
      </c>
      <c r="G57" t="s">
        <v>295</v>
      </c>
      <c r="H57">
        <v>1</v>
      </c>
      <c r="I57" t="s">
        <v>194</v>
      </c>
      <c r="J57">
        <v>71</v>
      </c>
      <c r="K57" t="s">
        <v>256</v>
      </c>
      <c r="L57">
        <v>1</v>
      </c>
      <c r="M57" t="s">
        <v>303</v>
      </c>
      <c r="N57">
        <v>1</v>
      </c>
      <c r="O57" s="105">
        <v>43439</v>
      </c>
      <c r="P57">
        <f t="shared" si="1"/>
        <v>1</v>
      </c>
      <c r="Q57">
        <f t="shared" si="2"/>
        <v>1</v>
      </c>
    </row>
    <row r="58" spans="1:17" x14ac:dyDescent="0.2">
      <c r="A58">
        <v>559402</v>
      </c>
      <c r="B58" t="str">
        <f t="shared" si="0"/>
        <v>559402 - 1</v>
      </c>
      <c r="C58">
        <v>2395</v>
      </c>
      <c r="D58" t="s">
        <v>292</v>
      </c>
      <c r="E58" t="s">
        <v>293</v>
      </c>
      <c r="F58" t="s">
        <v>294</v>
      </c>
      <c r="G58" t="s">
        <v>295</v>
      </c>
      <c r="H58">
        <v>1</v>
      </c>
      <c r="I58" t="s">
        <v>194</v>
      </c>
      <c r="J58">
        <v>71</v>
      </c>
      <c r="K58" t="s">
        <v>256</v>
      </c>
      <c r="L58">
        <v>4</v>
      </c>
      <c r="M58" t="s">
        <v>304</v>
      </c>
      <c r="N58">
        <v>1</v>
      </c>
      <c r="O58" s="105">
        <v>43439</v>
      </c>
      <c r="P58">
        <f t="shared" si="1"/>
        <v>1</v>
      </c>
      <c r="Q58">
        <f t="shared" si="2"/>
        <v>1</v>
      </c>
    </row>
    <row r="59" spans="1:17" x14ac:dyDescent="0.2">
      <c r="A59">
        <v>559403</v>
      </c>
      <c r="B59" t="str">
        <f t="shared" si="0"/>
        <v>559403 - 1</v>
      </c>
      <c r="C59">
        <v>2395</v>
      </c>
      <c r="D59" t="s">
        <v>292</v>
      </c>
      <c r="E59" t="s">
        <v>293</v>
      </c>
      <c r="F59" t="s">
        <v>294</v>
      </c>
      <c r="G59" t="s">
        <v>295</v>
      </c>
      <c r="H59">
        <v>1</v>
      </c>
      <c r="I59" t="s">
        <v>194</v>
      </c>
      <c r="J59">
        <v>71</v>
      </c>
      <c r="K59" t="s">
        <v>256</v>
      </c>
      <c r="L59">
        <v>1</v>
      </c>
      <c r="M59" t="s">
        <v>305</v>
      </c>
      <c r="N59">
        <v>1</v>
      </c>
      <c r="O59" s="105">
        <v>43439</v>
      </c>
      <c r="P59">
        <f t="shared" si="1"/>
        <v>1</v>
      </c>
      <c r="Q59">
        <f t="shared" si="2"/>
        <v>1</v>
      </c>
    </row>
    <row r="60" spans="1:17" x14ac:dyDescent="0.2">
      <c r="A60">
        <v>559404</v>
      </c>
      <c r="B60" t="str">
        <f t="shared" si="0"/>
        <v>559404 - 1</v>
      </c>
      <c r="C60">
        <v>2395</v>
      </c>
      <c r="D60" t="s">
        <v>292</v>
      </c>
      <c r="E60" t="s">
        <v>293</v>
      </c>
      <c r="F60" t="s">
        <v>294</v>
      </c>
      <c r="G60" t="s">
        <v>295</v>
      </c>
      <c r="H60">
        <v>1</v>
      </c>
      <c r="I60" t="s">
        <v>194</v>
      </c>
      <c r="J60">
        <v>71</v>
      </c>
      <c r="K60" t="s">
        <v>256</v>
      </c>
      <c r="L60">
        <v>15</v>
      </c>
      <c r="M60" t="s">
        <v>306</v>
      </c>
      <c r="N60">
        <v>1</v>
      </c>
      <c r="O60" s="105">
        <v>43439</v>
      </c>
      <c r="P60">
        <f t="shared" si="1"/>
        <v>1</v>
      </c>
      <c r="Q60">
        <f t="shared" si="2"/>
        <v>1</v>
      </c>
    </row>
    <row r="61" spans="1:17" x14ac:dyDescent="0.2">
      <c r="A61">
        <v>559405</v>
      </c>
      <c r="B61" t="str">
        <f t="shared" si="0"/>
        <v>559405 - 1</v>
      </c>
      <c r="C61">
        <v>2395</v>
      </c>
      <c r="D61" t="s">
        <v>292</v>
      </c>
      <c r="E61" t="s">
        <v>293</v>
      </c>
      <c r="F61" t="s">
        <v>294</v>
      </c>
      <c r="G61" t="s">
        <v>295</v>
      </c>
      <c r="H61">
        <v>1</v>
      </c>
      <c r="I61" t="s">
        <v>194</v>
      </c>
      <c r="J61">
        <v>71</v>
      </c>
      <c r="K61" t="s">
        <v>256</v>
      </c>
      <c r="L61">
        <v>1</v>
      </c>
      <c r="M61" t="s">
        <v>307</v>
      </c>
      <c r="N61">
        <v>1</v>
      </c>
      <c r="O61" s="105">
        <v>43439</v>
      </c>
      <c r="P61">
        <f t="shared" si="1"/>
        <v>1</v>
      </c>
      <c r="Q61">
        <f t="shared" si="2"/>
        <v>1</v>
      </c>
    </row>
    <row r="62" spans="1:17" x14ac:dyDescent="0.2">
      <c r="A62">
        <v>559406</v>
      </c>
      <c r="B62" t="str">
        <f t="shared" si="0"/>
        <v>559406 - 1</v>
      </c>
      <c r="C62">
        <v>2395</v>
      </c>
      <c r="D62" t="s">
        <v>292</v>
      </c>
      <c r="E62" t="s">
        <v>293</v>
      </c>
      <c r="F62" t="s">
        <v>294</v>
      </c>
      <c r="G62" t="s">
        <v>295</v>
      </c>
      <c r="H62">
        <v>1</v>
      </c>
      <c r="I62" t="s">
        <v>194</v>
      </c>
      <c r="J62">
        <v>71</v>
      </c>
      <c r="K62" t="s">
        <v>256</v>
      </c>
      <c r="L62">
        <v>2</v>
      </c>
      <c r="M62" t="s">
        <v>308</v>
      </c>
      <c r="N62">
        <v>1</v>
      </c>
      <c r="O62" s="105">
        <v>43439</v>
      </c>
      <c r="P62">
        <f t="shared" si="1"/>
        <v>1</v>
      </c>
      <c r="Q62">
        <f t="shared" si="2"/>
        <v>1</v>
      </c>
    </row>
    <row r="63" spans="1:17" x14ac:dyDescent="0.2">
      <c r="A63">
        <v>559407</v>
      </c>
      <c r="B63" t="str">
        <f t="shared" si="0"/>
        <v>559407 - 1</v>
      </c>
      <c r="C63">
        <v>2395</v>
      </c>
      <c r="D63" t="s">
        <v>292</v>
      </c>
      <c r="E63" t="s">
        <v>293</v>
      </c>
      <c r="F63" t="s">
        <v>294</v>
      </c>
      <c r="G63" t="s">
        <v>295</v>
      </c>
      <c r="H63">
        <v>1</v>
      </c>
      <c r="I63" t="s">
        <v>194</v>
      </c>
      <c r="J63">
        <v>71</v>
      </c>
      <c r="K63" t="s">
        <v>256</v>
      </c>
      <c r="L63">
        <v>7</v>
      </c>
      <c r="M63" t="s">
        <v>309</v>
      </c>
      <c r="N63">
        <v>1</v>
      </c>
      <c r="O63" s="105">
        <v>43439</v>
      </c>
      <c r="P63">
        <f t="shared" si="1"/>
        <v>1</v>
      </c>
      <c r="Q63">
        <f t="shared" si="2"/>
        <v>1</v>
      </c>
    </row>
    <row r="64" spans="1:17" x14ac:dyDescent="0.2">
      <c r="A64">
        <v>559408</v>
      </c>
      <c r="B64" t="str">
        <f t="shared" si="0"/>
        <v>559408 - 1</v>
      </c>
      <c r="C64">
        <v>2395</v>
      </c>
      <c r="D64" t="s">
        <v>292</v>
      </c>
      <c r="E64" t="s">
        <v>293</v>
      </c>
      <c r="F64" t="s">
        <v>294</v>
      </c>
      <c r="G64" t="s">
        <v>295</v>
      </c>
      <c r="H64">
        <v>1</v>
      </c>
      <c r="I64" t="s">
        <v>194</v>
      </c>
      <c r="J64">
        <v>71</v>
      </c>
      <c r="K64" t="s">
        <v>256</v>
      </c>
      <c r="L64">
        <v>4</v>
      </c>
      <c r="M64" t="s">
        <v>310</v>
      </c>
      <c r="N64">
        <v>1</v>
      </c>
      <c r="O64" s="105">
        <v>43439</v>
      </c>
      <c r="P64">
        <f t="shared" si="1"/>
        <v>1</v>
      </c>
      <c r="Q64">
        <f t="shared" si="2"/>
        <v>1</v>
      </c>
    </row>
    <row r="65" spans="1:17" x14ac:dyDescent="0.2">
      <c r="A65">
        <v>559409</v>
      </c>
      <c r="B65" t="str">
        <f t="shared" si="0"/>
        <v>559409 - 1</v>
      </c>
      <c r="C65">
        <v>2395</v>
      </c>
      <c r="D65" t="s">
        <v>292</v>
      </c>
      <c r="E65" t="s">
        <v>293</v>
      </c>
      <c r="F65" t="s">
        <v>294</v>
      </c>
      <c r="G65" t="s">
        <v>295</v>
      </c>
      <c r="H65">
        <v>1</v>
      </c>
      <c r="I65" t="s">
        <v>194</v>
      </c>
      <c r="J65">
        <v>71</v>
      </c>
      <c r="K65" t="s">
        <v>256</v>
      </c>
      <c r="L65">
        <v>1</v>
      </c>
      <c r="M65" t="s">
        <v>311</v>
      </c>
      <c r="N65">
        <v>1</v>
      </c>
      <c r="O65" s="105">
        <v>43439</v>
      </c>
      <c r="P65">
        <f t="shared" si="1"/>
        <v>1</v>
      </c>
      <c r="Q65">
        <f t="shared" si="2"/>
        <v>1</v>
      </c>
    </row>
    <row r="66" spans="1:17" x14ac:dyDescent="0.2">
      <c r="A66">
        <v>559410</v>
      </c>
      <c r="B66" t="str">
        <f t="shared" si="0"/>
        <v>559410 - 1</v>
      </c>
      <c r="C66">
        <v>2395</v>
      </c>
      <c r="D66" t="s">
        <v>292</v>
      </c>
      <c r="E66" t="s">
        <v>293</v>
      </c>
      <c r="F66" t="s">
        <v>294</v>
      </c>
      <c r="G66" t="s">
        <v>295</v>
      </c>
      <c r="H66">
        <v>1</v>
      </c>
      <c r="I66" t="s">
        <v>194</v>
      </c>
      <c r="J66">
        <v>71</v>
      </c>
      <c r="K66" t="s">
        <v>256</v>
      </c>
      <c r="L66">
        <v>4</v>
      </c>
      <c r="M66" t="s">
        <v>312</v>
      </c>
      <c r="N66">
        <v>1</v>
      </c>
      <c r="O66" s="105">
        <v>43439</v>
      </c>
      <c r="P66">
        <f t="shared" si="1"/>
        <v>1</v>
      </c>
      <c r="Q66">
        <f t="shared" si="2"/>
        <v>1</v>
      </c>
    </row>
    <row r="67" spans="1:17" x14ac:dyDescent="0.2">
      <c r="A67">
        <v>559411</v>
      </c>
      <c r="B67" t="str">
        <f t="shared" si="0"/>
        <v>559411 - 1</v>
      </c>
      <c r="C67">
        <v>2395</v>
      </c>
      <c r="D67" t="s">
        <v>292</v>
      </c>
      <c r="E67" t="s">
        <v>293</v>
      </c>
      <c r="F67" t="s">
        <v>294</v>
      </c>
      <c r="G67" t="s">
        <v>295</v>
      </c>
      <c r="H67">
        <v>1</v>
      </c>
      <c r="I67" t="s">
        <v>194</v>
      </c>
      <c r="J67">
        <v>71</v>
      </c>
      <c r="K67" t="s">
        <v>256</v>
      </c>
      <c r="L67">
        <v>5</v>
      </c>
      <c r="M67" t="s">
        <v>313</v>
      </c>
      <c r="N67">
        <v>1</v>
      </c>
      <c r="O67" s="105">
        <v>43439</v>
      </c>
      <c r="P67">
        <f t="shared" si="1"/>
        <v>1</v>
      </c>
      <c r="Q67">
        <f t="shared" si="2"/>
        <v>1</v>
      </c>
    </row>
    <row r="68" spans="1:17" x14ac:dyDescent="0.2">
      <c r="A68">
        <v>559412</v>
      </c>
      <c r="B68" t="str">
        <f t="shared" si="0"/>
        <v>559412 - 1</v>
      </c>
      <c r="C68">
        <v>2395</v>
      </c>
      <c r="D68" t="s">
        <v>292</v>
      </c>
      <c r="E68" t="s">
        <v>293</v>
      </c>
      <c r="F68" t="s">
        <v>294</v>
      </c>
      <c r="G68" t="s">
        <v>295</v>
      </c>
      <c r="H68">
        <v>1</v>
      </c>
      <c r="I68" t="s">
        <v>194</v>
      </c>
      <c r="J68">
        <v>71</v>
      </c>
      <c r="K68" t="s">
        <v>256</v>
      </c>
      <c r="L68">
        <v>2</v>
      </c>
      <c r="M68" t="s">
        <v>314</v>
      </c>
      <c r="N68">
        <v>1</v>
      </c>
      <c r="O68" s="105">
        <v>43439</v>
      </c>
      <c r="P68">
        <f t="shared" si="1"/>
        <v>1</v>
      </c>
      <c r="Q68">
        <f t="shared" si="2"/>
        <v>1</v>
      </c>
    </row>
    <row r="69" spans="1:17" x14ac:dyDescent="0.2">
      <c r="A69">
        <v>559417</v>
      </c>
      <c r="B69" t="str">
        <f t="shared" ref="B69:B132" si="3">CONCATENATE(A69," - ",Q69)</f>
        <v>559417 - 1</v>
      </c>
      <c r="C69">
        <v>2463</v>
      </c>
      <c r="D69" t="s">
        <v>14</v>
      </c>
      <c r="E69" t="s">
        <v>288</v>
      </c>
      <c r="F69" t="s">
        <v>289</v>
      </c>
      <c r="G69" t="s">
        <v>290</v>
      </c>
      <c r="H69">
        <v>1</v>
      </c>
      <c r="I69" t="s">
        <v>194</v>
      </c>
      <c r="J69">
        <v>5</v>
      </c>
      <c r="K69" t="s">
        <v>240</v>
      </c>
      <c r="L69">
        <v>11</v>
      </c>
      <c r="M69" t="s">
        <v>315</v>
      </c>
      <c r="N69">
        <v>1</v>
      </c>
      <c r="O69" s="105">
        <v>43439</v>
      </c>
      <c r="P69">
        <f t="shared" ref="P69:P132" si="4">+COUNTIF(A:A,A69)</f>
        <v>3</v>
      </c>
      <c r="Q69">
        <f t="shared" ref="Q69:Q132" si="5">IF(A69=A68,Q68+1,1)</f>
        <v>1</v>
      </c>
    </row>
    <row r="70" spans="1:17" x14ac:dyDescent="0.2">
      <c r="A70">
        <v>559417</v>
      </c>
      <c r="B70" t="str">
        <f t="shared" si="3"/>
        <v>559417 - 2</v>
      </c>
      <c r="C70">
        <v>2463</v>
      </c>
      <c r="D70" t="s">
        <v>14</v>
      </c>
      <c r="E70" t="s">
        <v>288</v>
      </c>
      <c r="F70" t="s">
        <v>289</v>
      </c>
      <c r="G70" t="s">
        <v>290</v>
      </c>
      <c r="H70">
        <v>1</v>
      </c>
      <c r="I70" t="s">
        <v>194</v>
      </c>
      <c r="J70">
        <v>71</v>
      </c>
      <c r="K70" t="s">
        <v>256</v>
      </c>
      <c r="L70">
        <v>2</v>
      </c>
      <c r="M70" t="s">
        <v>315</v>
      </c>
      <c r="N70">
        <v>1</v>
      </c>
      <c r="O70" s="105">
        <v>43439</v>
      </c>
      <c r="P70">
        <f t="shared" si="4"/>
        <v>3</v>
      </c>
      <c r="Q70">
        <f t="shared" si="5"/>
        <v>2</v>
      </c>
    </row>
    <row r="71" spans="1:17" x14ac:dyDescent="0.2">
      <c r="A71">
        <v>559417</v>
      </c>
      <c r="B71" t="str">
        <f t="shared" si="3"/>
        <v>559417 - 3</v>
      </c>
      <c r="C71">
        <v>2463</v>
      </c>
      <c r="D71" t="s">
        <v>14</v>
      </c>
      <c r="E71" t="s">
        <v>288</v>
      </c>
      <c r="F71" t="s">
        <v>289</v>
      </c>
      <c r="G71" t="s">
        <v>290</v>
      </c>
      <c r="H71">
        <v>1</v>
      </c>
      <c r="I71" t="s">
        <v>194</v>
      </c>
      <c r="J71">
        <v>215</v>
      </c>
      <c r="K71" t="s">
        <v>316</v>
      </c>
      <c r="L71">
        <v>2</v>
      </c>
      <c r="M71" t="s">
        <v>315</v>
      </c>
      <c r="N71">
        <v>1</v>
      </c>
      <c r="O71" s="105">
        <v>43439</v>
      </c>
      <c r="P71">
        <f t="shared" si="4"/>
        <v>3</v>
      </c>
      <c r="Q71">
        <f t="shared" si="5"/>
        <v>3</v>
      </c>
    </row>
    <row r="72" spans="1:17" x14ac:dyDescent="0.2">
      <c r="A72">
        <v>559419</v>
      </c>
      <c r="B72" t="str">
        <f t="shared" si="3"/>
        <v>559419 - 1</v>
      </c>
      <c r="C72">
        <v>2499</v>
      </c>
      <c r="D72" t="s">
        <v>203</v>
      </c>
      <c r="E72" t="s">
        <v>204</v>
      </c>
      <c r="F72" t="s">
        <v>205</v>
      </c>
      <c r="G72" t="s">
        <v>206</v>
      </c>
      <c r="H72">
        <v>13</v>
      </c>
      <c r="I72" t="s">
        <v>207</v>
      </c>
      <c r="J72">
        <v>20</v>
      </c>
      <c r="K72" t="s">
        <v>208</v>
      </c>
      <c r="L72">
        <v>2</v>
      </c>
      <c r="M72" t="s">
        <v>317</v>
      </c>
      <c r="N72">
        <v>1</v>
      </c>
      <c r="O72" s="105">
        <v>43439</v>
      </c>
      <c r="P72">
        <f t="shared" si="4"/>
        <v>2</v>
      </c>
      <c r="Q72">
        <f t="shared" si="5"/>
        <v>1</v>
      </c>
    </row>
    <row r="73" spans="1:17" x14ac:dyDescent="0.2">
      <c r="A73">
        <v>559419</v>
      </c>
      <c r="B73" t="str">
        <f t="shared" si="3"/>
        <v>559419 - 2</v>
      </c>
      <c r="C73">
        <v>2499</v>
      </c>
      <c r="D73" t="s">
        <v>203</v>
      </c>
      <c r="E73" t="s">
        <v>204</v>
      </c>
      <c r="F73" t="s">
        <v>205</v>
      </c>
      <c r="G73" t="s">
        <v>206</v>
      </c>
      <c r="H73">
        <v>13</v>
      </c>
      <c r="I73" t="s">
        <v>207</v>
      </c>
      <c r="J73">
        <v>68</v>
      </c>
      <c r="K73" t="s">
        <v>318</v>
      </c>
      <c r="L73">
        <v>651</v>
      </c>
      <c r="M73" t="s">
        <v>317</v>
      </c>
      <c r="N73">
        <v>1</v>
      </c>
      <c r="O73" s="105">
        <v>43439</v>
      </c>
      <c r="P73">
        <f t="shared" si="4"/>
        <v>2</v>
      </c>
      <c r="Q73">
        <f t="shared" si="5"/>
        <v>2</v>
      </c>
    </row>
    <row r="74" spans="1:17" x14ac:dyDescent="0.2">
      <c r="A74">
        <v>559420</v>
      </c>
      <c r="B74" t="str">
        <f t="shared" si="3"/>
        <v>559420 - 1</v>
      </c>
      <c r="C74">
        <v>2499</v>
      </c>
      <c r="D74" t="s">
        <v>203</v>
      </c>
      <c r="E74" t="s">
        <v>204</v>
      </c>
      <c r="F74" t="s">
        <v>205</v>
      </c>
      <c r="G74" t="s">
        <v>206</v>
      </c>
      <c r="H74">
        <v>13</v>
      </c>
      <c r="I74" t="s">
        <v>207</v>
      </c>
      <c r="J74">
        <v>20</v>
      </c>
      <c r="K74" t="s">
        <v>208</v>
      </c>
      <c r="L74">
        <v>4</v>
      </c>
      <c r="M74" t="s">
        <v>319</v>
      </c>
      <c r="N74">
        <v>1</v>
      </c>
      <c r="O74" s="105">
        <v>43439</v>
      </c>
      <c r="P74">
        <f t="shared" si="4"/>
        <v>2</v>
      </c>
      <c r="Q74">
        <f t="shared" si="5"/>
        <v>1</v>
      </c>
    </row>
    <row r="75" spans="1:17" x14ac:dyDescent="0.2">
      <c r="A75">
        <v>559420</v>
      </c>
      <c r="B75" t="str">
        <f t="shared" si="3"/>
        <v>559420 - 2</v>
      </c>
      <c r="C75">
        <v>2499</v>
      </c>
      <c r="D75" t="s">
        <v>203</v>
      </c>
      <c r="E75" t="s">
        <v>204</v>
      </c>
      <c r="F75" t="s">
        <v>205</v>
      </c>
      <c r="G75" t="s">
        <v>206</v>
      </c>
      <c r="H75">
        <v>13</v>
      </c>
      <c r="I75" t="s">
        <v>207</v>
      </c>
      <c r="J75">
        <v>68</v>
      </c>
      <c r="K75" t="s">
        <v>318</v>
      </c>
      <c r="L75">
        <v>1176</v>
      </c>
      <c r="M75" t="s">
        <v>319</v>
      </c>
      <c r="N75">
        <v>1</v>
      </c>
      <c r="O75" s="105">
        <v>43439</v>
      </c>
      <c r="P75">
        <f t="shared" si="4"/>
        <v>2</v>
      </c>
      <c r="Q75">
        <f t="shared" si="5"/>
        <v>2</v>
      </c>
    </row>
    <row r="76" spans="1:17" x14ac:dyDescent="0.2">
      <c r="A76">
        <v>559422</v>
      </c>
      <c r="B76" t="str">
        <f t="shared" si="3"/>
        <v>559422 - 1</v>
      </c>
      <c r="C76">
        <v>2499</v>
      </c>
      <c r="D76" t="s">
        <v>203</v>
      </c>
      <c r="E76" t="s">
        <v>204</v>
      </c>
      <c r="F76" t="s">
        <v>205</v>
      </c>
      <c r="G76" t="s">
        <v>206</v>
      </c>
      <c r="H76">
        <v>13</v>
      </c>
      <c r="I76" t="s">
        <v>207</v>
      </c>
      <c r="J76">
        <v>20</v>
      </c>
      <c r="K76" t="s">
        <v>208</v>
      </c>
      <c r="L76">
        <v>3</v>
      </c>
      <c r="M76" t="s">
        <v>320</v>
      </c>
      <c r="N76">
        <v>1</v>
      </c>
      <c r="O76" s="105">
        <v>43439</v>
      </c>
      <c r="P76">
        <f t="shared" si="4"/>
        <v>2</v>
      </c>
      <c r="Q76">
        <f t="shared" si="5"/>
        <v>1</v>
      </c>
    </row>
    <row r="77" spans="1:17" x14ac:dyDescent="0.2">
      <c r="A77">
        <v>559422</v>
      </c>
      <c r="B77" t="str">
        <f t="shared" si="3"/>
        <v>559422 - 2</v>
      </c>
      <c r="C77">
        <v>2499</v>
      </c>
      <c r="D77" t="s">
        <v>203</v>
      </c>
      <c r="E77" t="s">
        <v>204</v>
      </c>
      <c r="F77" t="s">
        <v>205</v>
      </c>
      <c r="G77" t="s">
        <v>206</v>
      </c>
      <c r="H77">
        <v>13</v>
      </c>
      <c r="I77" t="s">
        <v>207</v>
      </c>
      <c r="J77">
        <v>68</v>
      </c>
      <c r="K77" t="s">
        <v>318</v>
      </c>
      <c r="L77">
        <v>903</v>
      </c>
      <c r="M77" t="s">
        <v>320</v>
      </c>
      <c r="N77">
        <v>1</v>
      </c>
      <c r="O77" s="105">
        <v>43439</v>
      </c>
      <c r="P77">
        <f t="shared" si="4"/>
        <v>2</v>
      </c>
      <c r="Q77">
        <f t="shared" si="5"/>
        <v>2</v>
      </c>
    </row>
    <row r="78" spans="1:17" x14ac:dyDescent="0.2">
      <c r="A78">
        <v>559424</v>
      </c>
      <c r="B78" t="str">
        <f t="shared" si="3"/>
        <v>559424 - 1</v>
      </c>
      <c r="C78">
        <v>8999</v>
      </c>
      <c r="D78" t="s">
        <v>209</v>
      </c>
      <c r="E78" t="s">
        <v>210</v>
      </c>
      <c r="F78" t="s">
        <v>211</v>
      </c>
      <c r="G78" t="s">
        <v>212</v>
      </c>
      <c r="H78">
        <v>1</v>
      </c>
      <c r="I78" t="s">
        <v>194</v>
      </c>
      <c r="J78">
        <v>70</v>
      </c>
      <c r="K78" t="s">
        <v>200</v>
      </c>
      <c r="L78">
        <v>2</v>
      </c>
      <c r="M78" t="s">
        <v>321</v>
      </c>
      <c r="N78">
        <v>1</v>
      </c>
      <c r="O78" s="105">
        <v>43439</v>
      </c>
      <c r="P78">
        <f t="shared" si="4"/>
        <v>3</v>
      </c>
      <c r="Q78">
        <f t="shared" si="5"/>
        <v>1</v>
      </c>
    </row>
    <row r="79" spans="1:17" x14ac:dyDescent="0.2">
      <c r="A79">
        <v>559424</v>
      </c>
      <c r="B79" t="str">
        <f t="shared" si="3"/>
        <v>559424 - 2</v>
      </c>
      <c r="C79">
        <v>8999</v>
      </c>
      <c r="D79" t="s">
        <v>209</v>
      </c>
      <c r="E79" t="s">
        <v>210</v>
      </c>
      <c r="F79" t="s">
        <v>211</v>
      </c>
      <c r="G79" t="s">
        <v>212</v>
      </c>
      <c r="H79">
        <v>1</v>
      </c>
      <c r="I79" t="s">
        <v>194</v>
      </c>
      <c r="J79">
        <v>289</v>
      </c>
      <c r="K79" t="s">
        <v>229</v>
      </c>
      <c r="L79">
        <v>19</v>
      </c>
      <c r="M79" t="s">
        <v>321</v>
      </c>
      <c r="N79">
        <v>1</v>
      </c>
      <c r="O79" s="105">
        <v>43439</v>
      </c>
      <c r="P79">
        <f t="shared" si="4"/>
        <v>3</v>
      </c>
      <c r="Q79">
        <f t="shared" si="5"/>
        <v>2</v>
      </c>
    </row>
    <row r="80" spans="1:17" x14ac:dyDescent="0.2">
      <c r="A80">
        <v>559424</v>
      </c>
      <c r="B80" t="str">
        <f t="shared" si="3"/>
        <v>559424 - 3</v>
      </c>
      <c r="C80">
        <v>8999</v>
      </c>
      <c r="D80" t="s">
        <v>209</v>
      </c>
      <c r="E80" t="s">
        <v>210</v>
      </c>
      <c r="F80" t="s">
        <v>211</v>
      </c>
      <c r="G80" t="s">
        <v>212</v>
      </c>
      <c r="H80">
        <v>1</v>
      </c>
      <c r="I80" t="s">
        <v>194</v>
      </c>
      <c r="J80">
        <v>302</v>
      </c>
      <c r="K80" t="s">
        <v>322</v>
      </c>
      <c r="L80">
        <v>2</v>
      </c>
      <c r="M80" t="s">
        <v>321</v>
      </c>
      <c r="N80">
        <v>1</v>
      </c>
      <c r="O80" s="105">
        <v>43439</v>
      </c>
      <c r="P80">
        <f t="shared" si="4"/>
        <v>3</v>
      </c>
      <c r="Q80">
        <f t="shared" si="5"/>
        <v>3</v>
      </c>
    </row>
    <row r="81" spans="1:17" x14ac:dyDescent="0.2">
      <c r="A81">
        <v>559436</v>
      </c>
      <c r="B81" t="str">
        <f t="shared" si="3"/>
        <v>559436 - 1</v>
      </c>
      <c r="C81">
        <v>2466</v>
      </c>
      <c r="D81" t="s">
        <v>213</v>
      </c>
      <c r="E81" t="s">
        <v>214</v>
      </c>
      <c r="F81" t="s">
        <v>215</v>
      </c>
      <c r="G81" t="s">
        <v>216</v>
      </c>
      <c r="H81">
        <v>1</v>
      </c>
      <c r="I81" t="s">
        <v>194</v>
      </c>
      <c r="J81">
        <v>70</v>
      </c>
      <c r="K81" t="s">
        <v>200</v>
      </c>
      <c r="L81">
        <v>8</v>
      </c>
      <c r="M81" t="s">
        <v>323</v>
      </c>
      <c r="N81">
        <v>1</v>
      </c>
      <c r="O81" s="105">
        <v>43439</v>
      </c>
      <c r="P81">
        <f t="shared" si="4"/>
        <v>4</v>
      </c>
      <c r="Q81">
        <f t="shared" si="5"/>
        <v>1</v>
      </c>
    </row>
    <row r="82" spans="1:17" x14ac:dyDescent="0.2">
      <c r="A82">
        <v>559436</v>
      </c>
      <c r="B82" t="str">
        <f t="shared" si="3"/>
        <v>559436 - 2</v>
      </c>
      <c r="C82">
        <v>2466</v>
      </c>
      <c r="D82" t="s">
        <v>213</v>
      </c>
      <c r="E82" t="s">
        <v>214</v>
      </c>
      <c r="F82" t="s">
        <v>215</v>
      </c>
      <c r="G82" t="s">
        <v>216</v>
      </c>
      <c r="H82">
        <v>1</v>
      </c>
      <c r="I82" t="s">
        <v>194</v>
      </c>
      <c r="J82">
        <v>304</v>
      </c>
      <c r="K82" t="s">
        <v>246</v>
      </c>
      <c r="L82">
        <v>195</v>
      </c>
      <c r="M82" t="s">
        <v>323</v>
      </c>
      <c r="N82">
        <v>1</v>
      </c>
      <c r="O82" s="105">
        <v>43439</v>
      </c>
      <c r="P82">
        <f t="shared" si="4"/>
        <v>4</v>
      </c>
      <c r="Q82">
        <f t="shared" si="5"/>
        <v>2</v>
      </c>
    </row>
    <row r="83" spans="1:17" x14ac:dyDescent="0.2">
      <c r="A83">
        <v>559436</v>
      </c>
      <c r="B83" t="str">
        <f t="shared" si="3"/>
        <v>559436 - 3</v>
      </c>
      <c r="C83">
        <v>2466</v>
      </c>
      <c r="D83" t="s">
        <v>213</v>
      </c>
      <c r="E83" t="s">
        <v>214</v>
      </c>
      <c r="F83" t="s">
        <v>215</v>
      </c>
      <c r="G83" t="s">
        <v>216</v>
      </c>
      <c r="H83">
        <v>1</v>
      </c>
      <c r="I83" t="s">
        <v>194</v>
      </c>
      <c r="J83">
        <v>307</v>
      </c>
      <c r="K83" t="s">
        <v>247</v>
      </c>
      <c r="L83">
        <v>35</v>
      </c>
      <c r="M83" t="s">
        <v>323</v>
      </c>
      <c r="N83">
        <v>1</v>
      </c>
      <c r="O83" s="105">
        <v>43439</v>
      </c>
      <c r="P83">
        <f t="shared" si="4"/>
        <v>4</v>
      </c>
      <c r="Q83">
        <f t="shared" si="5"/>
        <v>3</v>
      </c>
    </row>
    <row r="84" spans="1:17" x14ac:dyDescent="0.2">
      <c r="A84">
        <v>559436</v>
      </c>
      <c r="B84" t="str">
        <f t="shared" si="3"/>
        <v>559436 - 4</v>
      </c>
      <c r="C84">
        <v>2466</v>
      </c>
      <c r="D84" t="s">
        <v>213</v>
      </c>
      <c r="E84" t="s">
        <v>214</v>
      </c>
      <c r="F84" t="s">
        <v>215</v>
      </c>
      <c r="G84" t="s">
        <v>216</v>
      </c>
      <c r="H84">
        <v>1</v>
      </c>
      <c r="I84" t="s">
        <v>194</v>
      </c>
      <c r="J84">
        <v>316</v>
      </c>
      <c r="K84" t="s">
        <v>248</v>
      </c>
      <c r="L84">
        <v>130</v>
      </c>
      <c r="M84" t="s">
        <v>323</v>
      </c>
      <c r="N84">
        <v>1</v>
      </c>
      <c r="O84" s="105">
        <v>43439</v>
      </c>
      <c r="P84">
        <f t="shared" si="4"/>
        <v>4</v>
      </c>
      <c r="Q84">
        <f t="shared" si="5"/>
        <v>4</v>
      </c>
    </row>
    <row r="85" spans="1:17" x14ac:dyDescent="0.2">
      <c r="A85">
        <v>559437</v>
      </c>
      <c r="B85" t="str">
        <f t="shared" si="3"/>
        <v>559437 - 1</v>
      </c>
      <c r="C85">
        <v>2466</v>
      </c>
      <c r="D85" t="s">
        <v>213</v>
      </c>
      <c r="E85" t="s">
        <v>214</v>
      </c>
      <c r="F85" t="s">
        <v>215</v>
      </c>
      <c r="G85" t="s">
        <v>216</v>
      </c>
      <c r="H85">
        <v>1</v>
      </c>
      <c r="I85" t="s">
        <v>194</v>
      </c>
      <c r="J85">
        <v>70</v>
      </c>
      <c r="K85" t="s">
        <v>200</v>
      </c>
      <c r="L85">
        <v>1</v>
      </c>
      <c r="M85" t="s">
        <v>324</v>
      </c>
      <c r="N85">
        <v>1</v>
      </c>
      <c r="O85" s="105">
        <v>43439</v>
      </c>
      <c r="P85">
        <f t="shared" si="4"/>
        <v>2</v>
      </c>
      <c r="Q85">
        <f t="shared" si="5"/>
        <v>1</v>
      </c>
    </row>
    <row r="86" spans="1:17" x14ac:dyDescent="0.2">
      <c r="A86">
        <v>559437</v>
      </c>
      <c r="B86" t="str">
        <f t="shared" si="3"/>
        <v>559437 - 2</v>
      </c>
      <c r="C86">
        <v>2466</v>
      </c>
      <c r="D86" t="s">
        <v>213</v>
      </c>
      <c r="E86" t="s">
        <v>214</v>
      </c>
      <c r="F86" t="s">
        <v>215</v>
      </c>
      <c r="G86" t="s">
        <v>216</v>
      </c>
      <c r="H86">
        <v>1</v>
      </c>
      <c r="I86" t="s">
        <v>194</v>
      </c>
      <c r="J86">
        <v>305</v>
      </c>
      <c r="K86" t="s">
        <v>245</v>
      </c>
      <c r="L86">
        <v>100</v>
      </c>
      <c r="M86" t="s">
        <v>324</v>
      </c>
      <c r="N86">
        <v>1</v>
      </c>
      <c r="O86" s="105">
        <v>43439</v>
      </c>
      <c r="P86">
        <f t="shared" si="4"/>
        <v>2</v>
      </c>
      <c r="Q86">
        <f t="shared" si="5"/>
        <v>2</v>
      </c>
    </row>
    <row r="87" spans="1:17" x14ac:dyDescent="0.2">
      <c r="A87">
        <v>559439</v>
      </c>
      <c r="B87" t="str">
        <f t="shared" si="3"/>
        <v>559439 - 1</v>
      </c>
      <c r="C87">
        <v>2550</v>
      </c>
      <c r="D87" t="s">
        <v>325</v>
      </c>
      <c r="E87" t="s">
        <v>326</v>
      </c>
      <c r="F87" t="s">
        <v>327</v>
      </c>
      <c r="G87" t="s">
        <v>328</v>
      </c>
      <c r="H87">
        <v>22</v>
      </c>
      <c r="I87" t="s">
        <v>329</v>
      </c>
      <c r="J87">
        <v>61</v>
      </c>
      <c r="K87" t="s">
        <v>330</v>
      </c>
      <c r="L87">
        <v>43</v>
      </c>
      <c r="M87" t="s">
        <v>331</v>
      </c>
      <c r="N87">
        <v>1</v>
      </c>
      <c r="O87" s="105">
        <v>43439</v>
      </c>
      <c r="P87">
        <f t="shared" si="4"/>
        <v>2</v>
      </c>
      <c r="Q87">
        <f t="shared" si="5"/>
        <v>1</v>
      </c>
    </row>
    <row r="88" spans="1:17" x14ac:dyDescent="0.2">
      <c r="A88">
        <v>559439</v>
      </c>
      <c r="B88" t="str">
        <f t="shared" si="3"/>
        <v>559439 - 2</v>
      </c>
      <c r="C88">
        <v>2550</v>
      </c>
      <c r="D88" t="s">
        <v>325</v>
      </c>
      <c r="E88" t="s">
        <v>326</v>
      </c>
      <c r="F88" t="s">
        <v>327</v>
      </c>
      <c r="G88" t="s">
        <v>328</v>
      </c>
      <c r="H88">
        <v>22</v>
      </c>
      <c r="I88" t="s">
        <v>329</v>
      </c>
      <c r="J88">
        <v>78</v>
      </c>
      <c r="K88" t="s">
        <v>263</v>
      </c>
      <c r="L88">
        <v>4</v>
      </c>
      <c r="M88" t="s">
        <v>331</v>
      </c>
      <c r="N88">
        <v>1</v>
      </c>
      <c r="O88" s="105">
        <v>43439</v>
      </c>
      <c r="P88">
        <f t="shared" si="4"/>
        <v>2</v>
      </c>
      <c r="Q88">
        <f t="shared" si="5"/>
        <v>2</v>
      </c>
    </row>
    <row r="89" spans="1:17" x14ac:dyDescent="0.2">
      <c r="A89">
        <v>559441</v>
      </c>
      <c r="B89" t="str">
        <f t="shared" si="3"/>
        <v>559441 - 1</v>
      </c>
      <c r="C89">
        <v>539</v>
      </c>
      <c r="D89" t="s">
        <v>222</v>
      </c>
      <c r="E89" t="s">
        <v>223</v>
      </c>
      <c r="F89" t="s">
        <v>224</v>
      </c>
      <c r="G89" t="s">
        <v>225</v>
      </c>
      <c r="H89">
        <v>5</v>
      </c>
      <c r="I89" t="s">
        <v>226</v>
      </c>
      <c r="J89">
        <v>70</v>
      </c>
      <c r="K89" t="s">
        <v>200</v>
      </c>
      <c r="L89">
        <v>3</v>
      </c>
      <c r="M89" t="s">
        <v>221</v>
      </c>
      <c r="N89">
        <v>1</v>
      </c>
      <c r="O89" s="105">
        <v>43439</v>
      </c>
      <c r="P89">
        <f t="shared" si="4"/>
        <v>2</v>
      </c>
      <c r="Q89">
        <f t="shared" si="5"/>
        <v>1</v>
      </c>
    </row>
    <row r="90" spans="1:17" x14ac:dyDescent="0.2">
      <c r="A90">
        <v>559441</v>
      </c>
      <c r="B90" t="str">
        <f t="shared" si="3"/>
        <v>559441 - 2</v>
      </c>
      <c r="C90">
        <v>539</v>
      </c>
      <c r="D90" t="s">
        <v>222</v>
      </c>
      <c r="E90" t="s">
        <v>223</v>
      </c>
      <c r="F90" t="s">
        <v>224</v>
      </c>
      <c r="G90" t="s">
        <v>225</v>
      </c>
      <c r="H90">
        <v>5</v>
      </c>
      <c r="I90" t="s">
        <v>226</v>
      </c>
      <c r="J90">
        <v>289</v>
      </c>
      <c r="K90" t="s">
        <v>229</v>
      </c>
      <c r="L90">
        <v>396</v>
      </c>
      <c r="M90" t="s">
        <v>221</v>
      </c>
      <c r="N90">
        <v>1</v>
      </c>
      <c r="O90" s="105">
        <v>43439</v>
      </c>
      <c r="P90">
        <f t="shared" si="4"/>
        <v>2</v>
      </c>
      <c r="Q90">
        <f t="shared" si="5"/>
        <v>2</v>
      </c>
    </row>
    <row r="91" spans="1:17" x14ac:dyDescent="0.2">
      <c r="A91">
        <v>559442</v>
      </c>
      <c r="B91" t="str">
        <f t="shared" si="3"/>
        <v>559442 - 1</v>
      </c>
      <c r="C91">
        <v>2469</v>
      </c>
      <c r="D91" t="s">
        <v>249</v>
      </c>
      <c r="E91" t="s">
        <v>221</v>
      </c>
      <c r="F91" t="s">
        <v>221</v>
      </c>
      <c r="G91" t="s">
        <v>250</v>
      </c>
      <c r="H91">
        <v>1</v>
      </c>
      <c r="I91" t="s">
        <v>194</v>
      </c>
      <c r="J91">
        <v>70</v>
      </c>
      <c r="K91" t="s">
        <v>200</v>
      </c>
      <c r="L91">
        <v>5</v>
      </c>
      <c r="M91" t="s">
        <v>332</v>
      </c>
      <c r="N91">
        <v>1</v>
      </c>
      <c r="O91" s="105">
        <v>43439</v>
      </c>
      <c r="P91">
        <f t="shared" si="4"/>
        <v>3</v>
      </c>
      <c r="Q91">
        <f t="shared" si="5"/>
        <v>1</v>
      </c>
    </row>
    <row r="92" spans="1:17" x14ac:dyDescent="0.2">
      <c r="A92">
        <v>559442</v>
      </c>
      <c r="B92" t="str">
        <f t="shared" si="3"/>
        <v>559442 - 2</v>
      </c>
      <c r="C92">
        <v>2469</v>
      </c>
      <c r="D92" t="s">
        <v>249</v>
      </c>
      <c r="E92" t="s">
        <v>221</v>
      </c>
      <c r="F92" t="s">
        <v>221</v>
      </c>
      <c r="G92" t="s">
        <v>250</v>
      </c>
      <c r="H92">
        <v>1</v>
      </c>
      <c r="I92" t="s">
        <v>194</v>
      </c>
      <c r="J92">
        <v>304</v>
      </c>
      <c r="K92" t="s">
        <v>246</v>
      </c>
      <c r="L92">
        <v>180</v>
      </c>
      <c r="M92" t="s">
        <v>332</v>
      </c>
      <c r="N92">
        <v>1</v>
      </c>
      <c r="O92" s="105">
        <v>43439</v>
      </c>
      <c r="P92">
        <f t="shared" si="4"/>
        <v>3</v>
      </c>
      <c r="Q92">
        <f t="shared" si="5"/>
        <v>2</v>
      </c>
    </row>
    <row r="93" spans="1:17" x14ac:dyDescent="0.2">
      <c r="A93">
        <v>559442</v>
      </c>
      <c r="B93" t="str">
        <f t="shared" si="3"/>
        <v>559442 - 3</v>
      </c>
      <c r="C93">
        <v>2469</v>
      </c>
      <c r="D93" t="s">
        <v>249</v>
      </c>
      <c r="E93" t="s">
        <v>221</v>
      </c>
      <c r="F93" t="s">
        <v>221</v>
      </c>
      <c r="G93" t="s">
        <v>250</v>
      </c>
      <c r="H93">
        <v>1</v>
      </c>
      <c r="I93" t="s">
        <v>194</v>
      </c>
      <c r="J93">
        <v>316</v>
      </c>
      <c r="K93" t="s">
        <v>248</v>
      </c>
      <c r="L93">
        <v>216</v>
      </c>
      <c r="M93" t="s">
        <v>332</v>
      </c>
      <c r="N93">
        <v>1</v>
      </c>
      <c r="O93" s="105">
        <v>43439</v>
      </c>
      <c r="P93">
        <f t="shared" si="4"/>
        <v>3</v>
      </c>
      <c r="Q93">
        <f t="shared" si="5"/>
        <v>3</v>
      </c>
    </row>
    <row r="94" spans="1:17" x14ac:dyDescent="0.2">
      <c r="A94">
        <v>559443</v>
      </c>
      <c r="B94" t="str">
        <f t="shared" si="3"/>
        <v>559443 - 1</v>
      </c>
      <c r="C94">
        <v>2469</v>
      </c>
      <c r="D94" t="s">
        <v>249</v>
      </c>
      <c r="E94" t="s">
        <v>221</v>
      </c>
      <c r="F94" t="s">
        <v>221</v>
      </c>
      <c r="G94" t="s">
        <v>250</v>
      </c>
      <c r="H94">
        <v>1</v>
      </c>
      <c r="I94" t="s">
        <v>194</v>
      </c>
      <c r="J94">
        <v>70</v>
      </c>
      <c r="K94" t="s">
        <v>200</v>
      </c>
      <c r="L94">
        <v>2</v>
      </c>
      <c r="M94" t="s">
        <v>333</v>
      </c>
      <c r="N94">
        <v>1</v>
      </c>
      <c r="O94" s="105">
        <v>43439</v>
      </c>
      <c r="P94">
        <f t="shared" si="4"/>
        <v>2</v>
      </c>
      <c r="Q94">
        <f t="shared" si="5"/>
        <v>1</v>
      </c>
    </row>
    <row r="95" spans="1:17" x14ac:dyDescent="0.2">
      <c r="A95">
        <v>559443</v>
      </c>
      <c r="B95" t="str">
        <f t="shared" si="3"/>
        <v>559443 - 2</v>
      </c>
      <c r="C95">
        <v>2469</v>
      </c>
      <c r="D95" t="s">
        <v>249</v>
      </c>
      <c r="E95" t="s">
        <v>221</v>
      </c>
      <c r="F95" t="s">
        <v>221</v>
      </c>
      <c r="G95" t="s">
        <v>250</v>
      </c>
      <c r="H95">
        <v>1</v>
      </c>
      <c r="I95" t="s">
        <v>194</v>
      </c>
      <c r="J95">
        <v>305</v>
      </c>
      <c r="K95" t="s">
        <v>245</v>
      </c>
      <c r="L95">
        <v>504</v>
      </c>
      <c r="M95" t="s">
        <v>333</v>
      </c>
      <c r="N95">
        <v>1</v>
      </c>
      <c r="O95" s="105">
        <v>43439</v>
      </c>
      <c r="P95">
        <f t="shared" si="4"/>
        <v>2</v>
      </c>
      <c r="Q95">
        <f t="shared" si="5"/>
        <v>2</v>
      </c>
    </row>
    <row r="96" spans="1:17" x14ac:dyDescent="0.2">
      <c r="A96">
        <v>559444</v>
      </c>
      <c r="B96" t="str">
        <f t="shared" si="3"/>
        <v>559444 - 1</v>
      </c>
      <c r="C96">
        <v>8999</v>
      </c>
      <c r="D96" t="s">
        <v>209</v>
      </c>
      <c r="E96" t="s">
        <v>210</v>
      </c>
      <c r="F96" t="s">
        <v>211</v>
      </c>
      <c r="G96" t="s">
        <v>212</v>
      </c>
      <c r="H96">
        <v>1</v>
      </c>
      <c r="I96" t="s">
        <v>194</v>
      </c>
      <c r="J96">
        <v>26</v>
      </c>
      <c r="K96" t="s">
        <v>218</v>
      </c>
      <c r="L96">
        <v>5</v>
      </c>
      <c r="M96" t="s">
        <v>334</v>
      </c>
      <c r="N96">
        <v>1</v>
      </c>
      <c r="O96" s="105">
        <v>43439</v>
      </c>
      <c r="P96">
        <f t="shared" si="4"/>
        <v>4</v>
      </c>
      <c r="Q96">
        <f t="shared" si="5"/>
        <v>1</v>
      </c>
    </row>
    <row r="97" spans="1:17" x14ac:dyDescent="0.2">
      <c r="A97">
        <v>559444</v>
      </c>
      <c r="B97" t="str">
        <f t="shared" si="3"/>
        <v>559444 - 2</v>
      </c>
      <c r="C97">
        <v>8999</v>
      </c>
      <c r="D97" t="s">
        <v>209</v>
      </c>
      <c r="E97" t="s">
        <v>210</v>
      </c>
      <c r="F97" t="s">
        <v>211</v>
      </c>
      <c r="G97" t="s">
        <v>212</v>
      </c>
      <c r="H97">
        <v>1</v>
      </c>
      <c r="I97" t="s">
        <v>194</v>
      </c>
      <c r="J97">
        <v>240</v>
      </c>
      <c r="K97" t="s">
        <v>219</v>
      </c>
      <c r="L97">
        <v>34</v>
      </c>
      <c r="M97" t="s">
        <v>334</v>
      </c>
      <c r="N97">
        <v>1</v>
      </c>
      <c r="O97" s="105">
        <v>43439</v>
      </c>
      <c r="P97">
        <f t="shared" si="4"/>
        <v>4</v>
      </c>
      <c r="Q97">
        <f t="shared" si="5"/>
        <v>2</v>
      </c>
    </row>
    <row r="98" spans="1:17" x14ac:dyDescent="0.2">
      <c r="A98">
        <v>559444</v>
      </c>
      <c r="B98" t="str">
        <f t="shared" si="3"/>
        <v>559444 - 3</v>
      </c>
      <c r="C98">
        <v>8999</v>
      </c>
      <c r="D98" t="s">
        <v>209</v>
      </c>
      <c r="E98" t="s">
        <v>210</v>
      </c>
      <c r="F98" t="s">
        <v>211</v>
      </c>
      <c r="G98" t="s">
        <v>212</v>
      </c>
      <c r="H98">
        <v>1</v>
      </c>
      <c r="I98" t="s">
        <v>194</v>
      </c>
      <c r="J98">
        <v>242</v>
      </c>
      <c r="K98" t="s">
        <v>217</v>
      </c>
      <c r="L98">
        <v>112</v>
      </c>
      <c r="M98" t="s">
        <v>334</v>
      </c>
      <c r="N98">
        <v>1</v>
      </c>
      <c r="O98" s="105">
        <v>43439</v>
      </c>
      <c r="P98">
        <f t="shared" si="4"/>
        <v>4</v>
      </c>
      <c r="Q98">
        <f t="shared" si="5"/>
        <v>3</v>
      </c>
    </row>
    <row r="99" spans="1:17" x14ac:dyDescent="0.2">
      <c r="A99">
        <v>559444</v>
      </c>
      <c r="B99" t="str">
        <f t="shared" si="3"/>
        <v>559444 - 4</v>
      </c>
      <c r="C99">
        <v>8999</v>
      </c>
      <c r="D99" t="s">
        <v>209</v>
      </c>
      <c r="E99" t="s">
        <v>210</v>
      </c>
      <c r="F99" t="s">
        <v>211</v>
      </c>
      <c r="G99" t="s">
        <v>212</v>
      </c>
      <c r="H99">
        <v>1</v>
      </c>
      <c r="I99" t="s">
        <v>194</v>
      </c>
      <c r="J99">
        <v>243</v>
      </c>
      <c r="K99" t="s">
        <v>241</v>
      </c>
      <c r="L99">
        <v>163</v>
      </c>
      <c r="M99" t="s">
        <v>334</v>
      </c>
      <c r="N99">
        <v>1</v>
      </c>
      <c r="O99" s="105">
        <v>43439</v>
      </c>
      <c r="P99">
        <f t="shared" si="4"/>
        <v>4</v>
      </c>
      <c r="Q99">
        <f t="shared" si="5"/>
        <v>4</v>
      </c>
    </row>
    <row r="100" spans="1:17" x14ac:dyDescent="0.2">
      <c r="A100">
        <v>559454</v>
      </c>
      <c r="B100" t="str">
        <f t="shared" si="3"/>
        <v>559454 - 1</v>
      </c>
      <c r="C100">
        <v>8999</v>
      </c>
      <c r="D100" t="s">
        <v>209</v>
      </c>
      <c r="E100" t="s">
        <v>210</v>
      </c>
      <c r="F100" t="s">
        <v>211</v>
      </c>
      <c r="G100" t="s">
        <v>212</v>
      </c>
      <c r="H100">
        <v>1</v>
      </c>
      <c r="I100" t="s">
        <v>194</v>
      </c>
      <c r="J100">
        <v>70</v>
      </c>
      <c r="K100" t="s">
        <v>200</v>
      </c>
      <c r="L100">
        <v>38</v>
      </c>
      <c r="M100" t="s">
        <v>335</v>
      </c>
      <c r="N100">
        <v>1</v>
      </c>
      <c r="O100" s="105">
        <v>43439</v>
      </c>
      <c r="P100">
        <f t="shared" si="4"/>
        <v>3</v>
      </c>
      <c r="Q100">
        <f t="shared" si="5"/>
        <v>1</v>
      </c>
    </row>
    <row r="101" spans="1:17" x14ac:dyDescent="0.2">
      <c r="A101">
        <v>559454</v>
      </c>
      <c r="B101" t="str">
        <f t="shared" si="3"/>
        <v>559454 - 2</v>
      </c>
      <c r="C101">
        <v>8999</v>
      </c>
      <c r="D101" t="s">
        <v>209</v>
      </c>
      <c r="E101" t="s">
        <v>210</v>
      </c>
      <c r="F101" t="s">
        <v>211</v>
      </c>
      <c r="G101" t="s">
        <v>212</v>
      </c>
      <c r="H101">
        <v>1</v>
      </c>
      <c r="I101" t="s">
        <v>194</v>
      </c>
      <c r="J101">
        <v>301</v>
      </c>
      <c r="K101" t="s">
        <v>336</v>
      </c>
      <c r="L101">
        <v>825</v>
      </c>
      <c r="M101" t="s">
        <v>335</v>
      </c>
      <c r="N101">
        <v>1</v>
      </c>
      <c r="O101" s="105">
        <v>43439</v>
      </c>
      <c r="P101">
        <f t="shared" si="4"/>
        <v>3</v>
      </c>
      <c r="Q101">
        <f t="shared" si="5"/>
        <v>2</v>
      </c>
    </row>
    <row r="102" spans="1:17" x14ac:dyDescent="0.2">
      <c r="A102">
        <v>559454</v>
      </c>
      <c r="B102" t="str">
        <f t="shared" si="3"/>
        <v>559454 - 3</v>
      </c>
      <c r="C102">
        <v>8999</v>
      </c>
      <c r="D102" t="s">
        <v>209</v>
      </c>
      <c r="E102" t="s">
        <v>210</v>
      </c>
      <c r="F102" t="s">
        <v>211</v>
      </c>
      <c r="G102" t="s">
        <v>212</v>
      </c>
      <c r="H102">
        <v>1</v>
      </c>
      <c r="I102" t="s">
        <v>194</v>
      </c>
      <c r="J102">
        <v>302</v>
      </c>
      <c r="K102" t="s">
        <v>322</v>
      </c>
      <c r="L102">
        <v>890</v>
      </c>
      <c r="M102" t="s">
        <v>335</v>
      </c>
      <c r="N102">
        <v>1</v>
      </c>
      <c r="O102" s="105">
        <v>43439</v>
      </c>
      <c r="P102">
        <f t="shared" si="4"/>
        <v>3</v>
      </c>
      <c r="Q102">
        <f t="shared" si="5"/>
        <v>3</v>
      </c>
    </row>
    <row r="103" spans="1:17" x14ac:dyDescent="0.2">
      <c r="A103">
        <v>559459</v>
      </c>
      <c r="B103" t="str">
        <f t="shared" si="3"/>
        <v>559459 - 1</v>
      </c>
      <c r="C103">
        <v>8999</v>
      </c>
      <c r="D103" t="s">
        <v>209</v>
      </c>
      <c r="E103" t="s">
        <v>210</v>
      </c>
      <c r="F103" t="s">
        <v>211</v>
      </c>
      <c r="G103" t="s">
        <v>212</v>
      </c>
      <c r="H103">
        <v>1</v>
      </c>
      <c r="I103" t="s">
        <v>194</v>
      </c>
      <c r="J103">
        <v>1</v>
      </c>
      <c r="K103" t="s">
        <v>227</v>
      </c>
      <c r="L103">
        <v>191</v>
      </c>
      <c r="M103" t="s">
        <v>337</v>
      </c>
      <c r="N103">
        <v>1</v>
      </c>
      <c r="O103" s="105">
        <v>43439</v>
      </c>
      <c r="P103">
        <f t="shared" si="4"/>
        <v>6</v>
      </c>
      <c r="Q103">
        <f t="shared" si="5"/>
        <v>1</v>
      </c>
    </row>
    <row r="104" spans="1:17" x14ac:dyDescent="0.2">
      <c r="A104">
        <v>559459</v>
      </c>
      <c r="B104" t="str">
        <f t="shared" si="3"/>
        <v>559459 - 2</v>
      </c>
      <c r="C104">
        <v>8999</v>
      </c>
      <c r="D104" t="s">
        <v>209</v>
      </c>
      <c r="E104" t="s">
        <v>210</v>
      </c>
      <c r="F104" t="s">
        <v>211</v>
      </c>
      <c r="G104" t="s">
        <v>212</v>
      </c>
      <c r="H104">
        <v>1</v>
      </c>
      <c r="I104" t="s">
        <v>194</v>
      </c>
      <c r="J104">
        <v>17</v>
      </c>
      <c r="K104" t="s">
        <v>230</v>
      </c>
      <c r="L104">
        <v>406</v>
      </c>
      <c r="M104" t="s">
        <v>337</v>
      </c>
      <c r="N104">
        <v>1</v>
      </c>
      <c r="O104" s="105">
        <v>43439</v>
      </c>
      <c r="P104">
        <f t="shared" si="4"/>
        <v>6</v>
      </c>
      <c r="Q104">
        <f t="shared" si="5"/>
        <v>2</v>
      </c>
    </row>
    <row r="105" spans="1:17" x14ac:dyDescent="0.2">
      <c r="A105">
        <v>559459</v>
      </c>
      <c r="B105" t="str">
        <f t="shared" si="3"/>
        <v>559459 - 3</v>
      </c>
      <c r="C105">
        <v>8999</v>
      </c>
      <c r="D105" t="s">
        <v>209</v>
      </c>
      <c r="E105" t="s">
        <v>210</v>
      </c>
      <c r="F105" t="s">
        <v>211</v>
      </c>
      <c r="G105" t="s">
        <v>212</v>
      </c>
      <c r="H105">
        <v>1</v>
      </c>
      <c r="I105" t="s">
        <v>194</v>
      </c>
      <c r="J105">
        <v>18</v>
      </c>
      <c r="K105" t="s">
        <v>231</v>
      </c>
      <c r="L105">
        <v>14</v>
      </c>
      <c r="M105" t="s">
        <v>337</v>
      </c>
      <c r="N105">
        <v>1</v>
      </c>
      <c r="O105" s="105">
        <v>43439</v>
      </c>
      <c r="P105">
        <f t="shared" si="4"/>
        <v>6</v>
      </c>
      <c r="Q105">
        <f t="shared" si="5"/>
        <v>3</v>
      </c>
    </row>
    <row r="106" spans="1:17" x14ac:dyDescent="0.2">
      <c r="A106">
        <v>559459</v>
      </c>
      <c r="B106" t="str">
        <f t="shared" si="3"/>
        <v>559459 - 4</v>
      </c>
      <c r="C106">
        <v>8999</v>
      </c>
      <c r="D106" t="s">
        <v>209</v>
      </c>
      <c r="E106" t="s">
        <v>210</v>
      </c>
      <c r="F106" t="s">
        <v>211</v>
      </c>
      <c r="G106" t="s">
        <v>212</v>
      </c>
      <c r="H106">
        <v>1</v>
      </c>
      <c r="I106" t="s">
        <v>194</v>
      </c>
      <c r="J106">
        <v>26</v>
      </c>
      <c r="K106" t="s">
        <v>218</v>
      </c>
      <c r="L106">
        <v>13</v>
      </c>
      <c r="M106" t="s">
        <v>337</v>
      </c>
      <c r="N106">
        <v>1</v>
      </c>
      <c r="O106" s="105">
        <v>43439</v>
      </c>
      <c r="P106">
        <f t="shared" si="4"/>
        <v>6</v>
      </c>
      <c r="Q106">
        <f t="shared" si="5"/>
        <v>4</v>
      </c>
    </row>
    <row r="107" spans="1:17" x14ac:dyDescent="0.2">
      <c r="A107">
        <v>559459</v>
      </c>
      <c r="B107" t="str">
        <f t="shared" si="3"/>
        <v>559459 - 5</v>
      </c>
      <c r="C107">
        <v>8999</v>
      </c>
      <c r="D107" t="s">
        <v>209</v>
      </c>
      <c r="E107" t="s">
        <v>210</v>
      </c>
      <c r="F107" t="s">
        <v>211</v>
      </c>
      <c r="G107" t="s">
        <v>212</v>
      </c>
      <c r="H107">
        <v>1</v>
      </c>
      <c r="I107" t="s">
        <v>194</v>
      </c>
      <c r="J107">
        <v>240</v>
      </c>
      <c r="K107" t="s">
        <v>219</v>
      </c>
      <c r="L107">
        <v>53</v>
      </c>
      <c r="M107" t="s">
        <v>337</v>
      </c>
      <c r="N107">
        <v>1</v>
      </c>
      <c r="O107" s="105">
        <v>43439</v>
      </c>
      <c r="P107">
        <f t="shared" si="4"/>
        <v>6</v>
      </c>
      <c r="Q107">
        <f t="shared" si="5"/>
        <v>5</v>
      </c>
    </row>
    <row r="108" spans="1:17" x14ac:dyDescent="0.2">
      <c r="A108">
        <v>559459</v>
      </c>
      <c r="B108" t="str">
        <f t="shared" si="3"/>
        <v>559459 - 6</v>
      </c>
      <c r="C108">
        <v>8999</v>
      </c>
      <c r="D108" t="s">
        <v>209</v>
      </c>
      <c r="E108" t="s">
        <v>210</v>
      </c>
      <c r="F108" t="s">
        <v>211</v>
      </c>
      <c r="G108" t="s">
        <v>212</v>
      </c>
      <c r="H108">
        <v>1</v>
      </c>
      <c r="I108" t="s">
        <v>194</v>
      </c>
      <c r="J108">
        <v>242</v>
      </c>
      <c r="K108" t="s">
        <v>217</v>
      </c>
      <c r="L108">
        <v>168</v>
      </c>
      <c r="M108" t="s">
        <v>337</v>
      </c>
      <c r="N108">
        <v>1</v>
      </c>
      <c r="O108" s="105">
        <v>43439</v>
      </c>
      <c r="P108">
        <f t="shared" si="4"/>
        <v>6</v>
      </c>
      <c r="Q108">
        <f t="shared" si="5"/>
        <v>6</v>
      </c>
    </row>
    <row r="109" spans="1:17" x14ac:dyDescent="0.2">
      <c r="A109">
        <v>559460</v>
      </c>
      <c r="B109" t="str">
        <f t="shared" si="3"/>
        <v>559460 - 1</v>
      </c>
      <c r="C109">
        <v>539</v>
      </c>
      <c r="D109" t="s">
        <v>222</v>
      </c>
      <c r="E109" t="s">
        <v>223</v>
      </c>
      <c r="F109" t="s">
        <v>224</v>
      </c>
      <c r="G109" t="s">
        <v>225</v>
      </c>
      <c r="H109">
        <v>5</v>
      </c>
      <c r="I109" t="s">
        <v>226</v>
      </c>
      <c r="J109">
        <v>12</v>
      </c>
      <c r="K109" t="s">
        <v>228</v>
      </c>
      <c r="L109">
        <v>9</v>
      </c>
      <c r="M109" t="s">
        <v>221</v>
      </c>
      <c r="N109">
        <v>1</v>
      </c>
      <c r="O109" s="105">
        <v>43439</v>
      </c>
      <c r="P109">
        <f t="shared" si="4"/>
        <v>6</v>
      </c>
      <c r="Q109">
        <f t="shared" si="5"/>
        <v>1</v>
      </c>
    </row>
    <row r="110" spans="1:17" x14ac:dyDescent="0.2">
      <c r="A110">
        <v>559460</v>
      </c>
      <c r="B110" t="str">
        <f t="shared" si="3"/>
        <v>559460 - 2</v>
      </c>
      <c r="C110">
        <v>539</v>
      </c>
      <c r="D110" t="s">
        <v>222</v>
      </c>
      <c r="E110" t="s">
        <v>223</v>
      </c>
      <c r="F110" t="s">
        <v>224</v>
      </c>
      <c r="G110" t="s">
        <v>225</v>
      </c>
      <c r="H110">
        <v>5</v>
      </c>
      <c r="I110" t="s">
        <v>226</v>
      </c>
      <c r="J110">
        <v>12</v>
      </c>
      <c r="K110" t="s">
        <v>228</v>
      </c>
      <c r="L110">
        <v>0</v>
      </c>
      <c r="M110" t="s">
        <v>221</v>
      </c>
      <c r="N110">
        <v>1</v>
      </c>
      <c r="O110" s="105">
        <v>43441</v>
      </c>
      <c r="P110">
        <f t="shared" si="4"/>
        <v>6</v>
      </c>
      <c r="Q110">
        <f t="shared" si="5"/>
        <v>2</v>
      </c>
    </row>
    <row r="111" spans="1:17" x14ac:dyDescent="0.2">
      <c r="A111">
        <v>559460</v>
      </c>
      <c r="B111" t="str">
        <f t="shared" si="3"/>
        <v>559460 - 3</v>
      </c>
      <c r="C111">
        <v>539</v>
      </c>
      <c r="D111" t="s">
        <v>222</v>
      </c>
      <c r="E111" t="s">
        <v>223</v>
      </c>
      <c r="F111" t="s">
        <v>224</v>
      </c>
      <c r="G111" t="s">
        <v>225</v>
      </c>
      <c r="H111">
        <v>5</v>
      </c>
      <c r="I111" t="s">
        <v>226</v>
      </c>
      <c r="J111">
        <v>289</v>
      </c>
      <c r="K111" t="s">
        <v>229</v>
      </c>
      <c r="L111">
        <v>140</v>
      </c>
      <c r="M111" t="s">
        <v>221</v>
      </c>
      <c r="N111">
        <v>1</v>
      </c>
      <c r="O111" s="105">
        <v>43439</v>
      </c>
      <c r="P111">
        <f t="shared" si="4"/>
        <v>6</v>
      </c>
      <c r="Q111">
        <f t="shared" si="5"/>
        <v>3</v>
      </c>
    </row>
    <row r="112" spans="1:17" x14ac:dyDescent="0.2">
      <c r="A112">
        <v>559460</v>
      </c>
      <c r="B112" t="str">
        <f t="shared" si="3"/>
        <v>559460 - 4</v>
      </c>
      <c r="C112">
        <v>539</v>
      </c>
      <c r="D112" t="s">
        <v>222</v>
      </c>
      <c r="E112" t="s">
        <v>223</v>
      </c>
      <c r="F112" t="s">
        <v>224</v>
      </c>
      <c r="G112" t="s">
        <v>225</v>
      </c>
      <c r="H112">
        <v>5</v>
      </c>
      <c r="I112" t="s">
        <v>226</v>
      </c>
      <c r="J112">
        <v>289</v>
      </c>
      <c r="K112" t="s">
        <v>229</v>
      </c>
      <c r="L112">
        <v>0</v>
      </c>
      <c r="M112" t="s">
        <v>221</v>
      </c>
      <c r="N112">
        <v>1</v>
      </c>
      <c r="O112" s="105">
        <v>43441</v>
      </c>
      <c r="P112">
        <f t="shared" si="4"/>
        <v>6</v>
      </c>
      <c r="Q112">
        <f t="shared" si="5"/>
        <v>4</v>
      </c>
    </row>
    <row r="113" spans="1:17" x14ac:dyDescent="0.2">
      <c r="A113">
        <v>559460</v>
      </c>
      <c r="B113" t="str">
        <f t="shared" si="3"/>
        <v>559460 - 5</v>
      </c>
      <c r="C113">
        <v>539</v>
      </c>
      <c r="D113" t="s">
        <v>222</v>
      </c>
      <c r="E113" t="s">
        <v>223</v>
      </c>
      <c r="F113" t="s">
        <v>224</v>
      </c>
      <c r="G113" t="s">
        <v>225</v>
      </c>
      <c r="H113">
        <v>5</v>
      </c>
      <c r="I113" t="s">
        <v>226</v>
      </c>
      <c r="J113">
        <v>317</v>
      </c>
      <c r="K113" t="s">
        <v>243</v>
      </c>
      <c r="L113">
        <v>1000</v>
      </c>
      <c r="M113" t="s">
        <v>221</v>
      </c>
      <c r="N113">
        <v>1</v>
      </c>
      <c r="O113" s="105">
        <v>43439</v>
      </c>
      <c r="P113">
        <f t="shared" si="4"/>
        <v>6</v>
      </c>
      <c r="Q113">
        <f t="shared" si="5"/>
        <v>5</v>
      </c>
    </row>
    <row r="114" spans="1:17" x14ac:dyDescent="0.2">
      <c r="A114">
        <v>559460</v>
      </c>
      <c r="B114" t="str">
        <f t="shared" si="3"/>
        <v>559460 - 6</v>
      </c>
      <c r="C114">
        <v>539</v>
      </c>
      <c r="D114" t="s">
        <v>222</v>
      </c>
      <c r="E114" t="s">
        <v>223</v>
      </c>
      <c r="F114" t="s">
        <v>224</v>
      </c>
      <c r="G114" t="s">
        <v>225</v>
      </c>
      <c r="H114">
        <v>5</v>
      </c>
      <c r="I114" t="s">
        <v>226</v>
      </c>
      <c r="J114">
        <v>317</v>
      </c>
      <c r="K114" t="s">
        <v>243</v>
      </c>
      <c r="L114">
        <v>0</v>
      </c>
      <c r="M114" t="s">
        <v>221</v>
      </c>
      <c r="N114">
        <v>1</v>
      </c>
      <c r="O114" s="105">
        <v>43441</v>
      </c>
      <c r="P114">
        <f t="shared" si="4"/>
        <v>6</v>
      </c>
      <c r="Q114">
        <f t="shared" si="5"/>
        <v>6</v>
      </c>
    </row>
    <row r="115" spans="1:17" x14ac:dyDescent="0.2">
      <c r="A115">
        <v>559467</v>
      </c>
      <c r="B115" t="str">
        <f t="shared" si="3"/>
        <v>559467 - 1</v>
      </c>
      <c r="C115">
        <v>8999</v>
      </c>
      <c r="D115" t="s">
        <v>209</v>
      </c>
      <c r="E115" t="s">
        <v>210</v>
      </c>
      <c r="F115" t="s">
        <v>211</v>
      </c>
      <c r="G115" t="s">
        <v>212</v>
      </c>
      <c r="H115">
        <v>1</v>
      </c>
      <c r="I115" t="s">
        <v>194</v>
      </c>
      <c r="J115">
        <v>1</v>
      </c>
      <c r="K115" t="s">
        <v>227</v>
      </c>
      <c r="L115">
        <v>180</v>
      </c>
      <c r="M115" t="s">
        <v>338</v>
      </c>
      <c r="N115">
        <v>1</v>
      </c>
      <c r="O115" s="105">
        <v>43439</v>
      </c>
      <c r="P115">
        <f t="shared" si="4"/>
        <v>5</v>
      </c>
      <c r="Q115">
        <f t="shared" si="5"/>
        <v>1</v>
      </c>
    </row>
    <row r="116" spans="1:17" x14ac:dyDescent="0.2">
      <c r="A116">
        <v>559467</v>
      </c>
      <c r="B116" t="str">
        <f t="shared" si="3"/>
        <v>559467 - 2</v>
      </c>
      <c r="C116">
        <v>8999</v>
      </c>
      <c r="D116" t="s">
        <v>209</v>
      </c>
      <c r="E116" t="s">
        <v>210</v>
      </c>
      <c r="F116" t="s">
        <v>211</v>
      </c>
      <c r="G116" t="s">
        <v>212</v>
      </c>
      <c r="H116">
        <v>1</v>
      </c>
      <c r="I116" t="s">
        <v>194</v>
      </c>
      <c r="J116">
        <v>17</v>
      </c>
      <c r="K116" t="s">
        <v>230</v>
      </c>
      <c r="L116">
        <v>1064</v>
      </c>
      <c r="M116" t="s">
        <v>338</v>
      </c>
      <c r="N116">
        <v>1</v>
      </c>
      <c r="O116" s="105">
        <v>43439</v>
      </c>
      <c r="P116">
        <f t="shared" si="4"/>
        <v>5</v>
      </c>
      <c r="Q116">
        <f t="shared" si="5"/>
        <v>2</v>
      </c>
    </row>
    <row r="117" spans="1:17" x14ac:dyDescent="0.2">
      <c r="A117">
        <v>559467</v>
      </c>
      <c r="B117" t="str">
        <f t="shared" si="3"/>
        <v>559467 - 3</v>
      </c>
      <c r="C117">
        <v>8999</v>
      </c>
      <c r="D117" t="s">
        <v>209</v>
      </c>
      <c r="E117" t="s">
        <v>210</v>
      </c>
      <c r="F117" t="s">
        <v>211</v>
      </c>
      <c r="G117" t="s">
        <v>212</v>
      </c>
      <c r="H117">
        <v>1</v>
      </c>
      <c r="I117" t="s">
        <v>194</v>
      </c>
      <c r="J117">
        <v>18</v>
      </c>
      <c r="K117" t="s">
        <v>231</v>
      </c>
      <c r="L117">
        <v>120</v>
      </c>
      <c r="M117" t="s">
        <v>338</v>
      </c>
      <c r="N117">
        <v>1</v>
      </c>
      <c r="O117" s="105">
        <v>43439</v>
      </c>
      <c r="P117">
        <f t="shared" si="4"/>
        <v>5</v>
      </c>
      <c r="Q117">
        <f t="shared" si="5"/>
        <v>3</v>
      </c>
    </row>
    <row r="118" spans="1:17" x14ac:dyDescent="0.2">
      <c r="A118">
        <v>559467</v>
      </c>
      <c r="B118" t="str">
        <f t="shared" si="3"/>
        <v>559467 - 4</v>
      </c>
      <c r="C118">
        <v>8999</v>
      </c>
      <c r="D118" t="s">
        <v>209</v>
      </c>
      <c r="E118" t="s">
        <v>210</v>
      </c>
      <c r="F118" t="s">
        <v>211</v>
      </c>
      <c r="G118" t="s">
        <v>212</v>
      </c>
      <c r="H118">
        <v>1</v>
      </c>
      <c r="I118" t="s">
        <v>194</v>
      </c>
      <c r="J118">
        <v>26</v>
      </c>
      <c r="K118" t="s">
        <v>218</v>
      </c>
      <c r="L118">
        <v>18</v>
      </c>
      <c r="M118" t="s">
        <v>338</v>
      </c>
      <c r="N118">
        <v>1</v>
      </c>
      <c r="O118" s="105">
        <v>43439</v>
      </c>
      <c r="P118">
        <f t="shared" si="4"/>
        <v>5</v>
      </c>
      <c r="Q118">
        <f t="shared" si="5"/>
        <v>4</v>
      </c>
    </row>
    <row r="119" spans="1:17" x14ac:dyDescent="0.2">
      <c r="A119">
        <v>559467</v>
      </c>
      <c r="B119" t="str">
        <f t="shared" si="3"/>
        <v>559467 - 5</v>
      </c>
      <c r="C119">
        <v>8999</v>
      </c>
      <c r="D119" t="s">
        <v>209</v>
      </c>
      <c r="E119" t="s">
        <v>210</v>
      </c>
      <c r="F119" t="s">
        <v>211</v>
      </c>
      <c r="G119" t="s">
        <v>212</v>
      </c>
      <c r="H119">
        <v>1</v>
      </c>
      <c r="I119" t="s">
        <v>194</v>
      </c>
      <c r="J119">
        <v>242</v>
      </c>
      <c r="K119" t="s">
        <v>217</v>
      </c>
      <c r="L119">
        <v>371</v>
      </c>
      <c r="M119" t="s">
        <v>338</v>
      </c>
      <c r="N119">
        <v>1</v>
      </c>
      <c r="O119" s="105">
        <v>43439</v>
      </c>
      <c r="P119">
        <f t="shared" si="4"/>
        <v>5</v>
      </c>
      <c r="Q119">
        <f t="shared" si="5"/>
        <v>5</v>
      </c>
    </row>
    <row r="120" spans="1:17" x14ac:dyDescent="0.2">
      <c r="A120">
        <v>559468</v>
      </c>
      <c r="B120" t="str">
        <f t="shared" si="3"/>
        <v>559468 - 1</v>
      </c>
      <c r="C120">
        <v>8999</v>
      </c>
      <c r="D120" t="s">
        <v>209</v>
      </c>
      <c r="E120" t="s">
        <v>210</v>
      </c>
      <c r="F120" t="s">
        <v>211</v>
      </c>
      <c r="G120" t="s">
        <v>212</v>
      </c>
      <c r="H120">
        <v>1</v>
      </c>
      <c r="I120" t="s">
        <v>194</v>
      </c>
      <c r="J120">
        <v>1</v>
      </c>
      <c r="K120" t="s">
        <v>227</v>
      </c>
      <c r="L120">
        <v>952</v>
      </c>
      <c r="M120" t="s">
        <v>339</v>
      </c>
      <c r="N120">
        <v>1</v>
      </c>
      <c r="O120" s="105">
        <v>43439</v>
      </c>
      <c r="P120">
        <f t="shared" si="4"/>
        <v>2</v>
      </c>
      <c r="Q120">
        <f t="shared" si="5"/>
        <v>1</v>
      </c>
    </row>
    <row r="121" spans="1:17" x14ac:dyDescent="0.2">
      <c r="A121">
        <v>559468</v>
      </c>
      <c r="B121" t="str">
        <f t="shared" si="3"/>
        <v>559468 - 2</v>
      </c>
      <c r="C121">
        <v>8999</v>
      </c>
      <c r="D121" t="s">
        <v>209</v>
      </c>
      <c r="E121" t="s">
        <v>210</v>
      </c>
      <c r="F121" t="s">
        <v>211</v>
      </c>
      <c r="G121" t="s">
        <v>212</v>
      </c>
      <c r="H121">
        <v>1</v>
      </c>
      <c r="I121" t="s">
        <v>194</v>
      </c>
      <c r="J121">
        <v>26</v>
      </c>
      <c r="K121" t="s">
        <v>218</v>
      </c>
      <c r="L121">
        <v>12</v>
      </c>
      <c r="M121" t="s">
        <v>339</v>
      </c>
      <c r="N121">
        <v>1</v>
      </c>
      <c r="O121" s="105">
        <v>43439</v>
      </c>
      <c r="P121">
        <f t="shared" si="4"/>
        <v>2</v>
      </c>
      <c r="Q121">
        <f t="shared" si="5"/>
        <v>2</v>
      </c>
    </row>
    <row r="122" spans="1:17" x14ac:dyDescent="0.2">
      <c r="A122">
        <v>559469</v>
      </c>
      <c r="B122" t="str">
        <f t="shared" si="3"/>
        <v>559469 - 1</v>
      </c>
      <c r="C122">
        <v>1728</v>
      </c>
      <c r="D122" t="s">
        <v>232</v>
      </c>
      <c r="E122" t="s">
        <v>233</v>
      </c>
      <c r="F122" t="s">
        <v>234</v>
      </c>
      <c r="G122" t="s">
        <v>235</v>
      </c>
      <c r="H122">
        <v>1</v>
      </c>
      <c r="I122" t="s">
        <v>194</v>
      </c>
      <c r="J122">
        <v>1</v>
      </c>
      <c r="K122" t="s">
        <v>227</v>
      </c>
      <c r="L122">
        <v>146</v>
      </c>
      <c r="M122" t="s">
        <v>340</v>
      </c>
      <c r="N122">
        <v>1</v>
      </c>
      <c r="O122" s="105">
        <v>43439</v>
      </c>
      <c r="P122">
        <f t="shared" si="4"/>
        <v>4</v>
      </c>
      <c r="Q122">
        <f t="shared" si="5"/>
        <v>1</v>
      </c>
    </row>
    <row r="123" spans="1:17" x14ac:dyDescent="0.2">
      <c r="A123">
        <v>559469</v>
      </c>
      <c r="B123" t="str">
        <f t="shared" si="3"/>
        <v>559469 - 2</v>
      </c>
      <c r="C123">
        <v>1728</v>
      </c>
      <c r="D123" t="s">
        <v>232</v>
      </c>
      <c r="E123" t="s">
        <v>233</v>
      </c>
      <c r="F123" t="s">
        <v>234</v>
      </c>
      <c r="G123" t="s">
        <v>235</v>
      </c>
      <c r="H123">
        <v>1</v>
      </c>
      <c r="I123" t="s">
        <v>194</v>
      </c>
      <c r="J123">
        <v>26</v>
      </c>
      <c r="K123" t="s">
        <v>218</v>
      </c>
      <c r="L123">
        <v>3</v>
      </c>
      <c r="M123" t="s">
        <v>340</v>
      </c>
      <c r="N123">
        <v>1</v>
      </c>
      <c r="O123" s="105">
        <v>43439</v>
      </c>
      <c r="P123">
        <f t="shared" si="4"/>
        <v>4</v>
      </c>
      <c r="Q123">
        <f t="shared" si="5"/>
        <v>2</v>
      </c>
    </row>
    <row r="124" spans="1:17" x14ac:dyDescent="0.2">
      <c r="A124">
        <v>559469</v>
      </c>
      <c r="B124" t="str">
        <f t="shared" si="3"/>
        <v>559469 - 3</v>
      </c>
      <c r="C124">
        <v>1728</v>
      </c>
      <c r="D124" t="s">
        <v>232</v>
      </c>
      <c r="E124" t="s">
        <v>233</v>
      </c>
      <c r="F124" t="s">
        <v>234</v>
      </c>
      <c r="G124" t="s">
        <v>235</v>
      </c>
      <c r="H124">
        <v>1</v>
      </c>
      <c r="I124" t="s">
        <v>194</v>
      </c>
      <c r="J124">
        <v>212</v>
      </c>
      <c r="K124" t="s">
        <v>341</v>
      </c>
      <c r="L124">
        <v>51</v>
      </c>
      <c r="M124" t="s">
        <v>340</v>
      </c>
      <c r="N124">
        <v>1</v>
      </c>
      <c r="O124" s="105">
        <v>43439</v>
      </c>
      <c r="P124">
        <f t="shared" si="4"/>
        <v>4</v>
      </c>
      <c r="Q124">
        <f t="shared" si="5"/>
        <v>3</v>
      </c>
    </row>
    <row r="125" spans="1:17" x14ac:dyDescent="0.2">
      <c r="A125">
        <v>559469</v>
      </c>
      <c r="B125" t="str">
        <f t="shared" si="3"/>
        <v>559469 - 4</v>
      </c>
      <c r="C125">
        <v>1728</v>
      </c>
      <c r="D125" t="s">
        <v>232</v>
      </c>
      <c r="E125" t="s">
        <v>233</v>
      </c>
      <c r="F125" t="s">
        <v>234</v>
      </c>
      <c r="G125" t="s">
        <v>235</v>
      </c>
      <c r="H125">
        <v>1</v>
      </c>
      <c r="I125" t="s">
        <v>194</v>
      </c>
      <c r="J125">
        <v>213</v>
      </c>
      <c r="K125" t="s">
        <v>342</v>
      </c>
      <c r="L125">
        <v>9</v>
      </c>
      <c r="M125" t="s">
        <v>340</v>
      </c>
      <c r="N125">
        <v>1</v>
      </c>
      <c r="O125" s="105">
        <v>43439</v>
      </c>
      <c r="P125">
        <f t="shared" si="4"/>
        <v>4</v>
      </c>
      <c r="Q125">
        <f t="shared" si="5"/>
        <v>4</v>
      </c>
    </row>
    <row r="126" spans="1:17" x14ac:dyDescent="0.2">
      <c r="A126">
        <v>559470</v>
      </c>
      <c r="B126" t="str">
        <f t="shared" si="3"/>
        <v>559470 - 1</v>
      </c>
      <c r="C126">
        <v>8999</v>
      </c>
      <c r="D126" t="s">
        <v>209</v>
      </c>
      <c r="E126" t="s">
        <v>210</v>
      </c>
      <c r="F126" t="s">
        <v>211</v>
      </c>
      <c r="G126" t="s">
        <v>212</v>
      </c>
      <c r="H126">
        <v>1</v>
      </c>
      <c r="I126" t="s">
        <v>194</v>
      </c>
      <c r="J126">
        <v>1</v>
      </c>
      <c r="K126" t="s">
        <v>227</v>
      </c>
      <c r="L126">
        <v>25</v>
      </c>
      <c r="M126" t="s">
        <v>343</v>
      </c>
      <c r="N126">
        <v>1</v>
      </c>
      <c r="O126" s="105">
        <v>43439</v>
      </c>
      <c r="P126">
        <f t="shared" si="4"/>
        <v>3</v>
      </c>
      <c r="Q126">
        <f t="shared" si="5"/>
        <v>1</v>
      </c>
    </row>
    <row r="127" spans="1:17" x14ac:dyDescent="0.2">
      <c r="A127">
        <v>559470</v>
      </c>
      <c r="B127" t="str">
        <f t="shared" si="3"/>
        <v>559470 - 2</v>
      </c>
      <c r="C127">
        <v>8999</v>
      </c>
      <c r="D127" t="s">
        <v>209</v>
      </c>
      <c r="E127" t="s">
        <v>210</v>
      </c>
      <c r="F127" t="s">
        <v>211</v>
      </c>
      <c r="G127" t="s">
        <v>212</v>
      </c>
      <c r="H127">
        <v>1</v>
      </c>
      <c r="I127" t="s">
        <v>194</v>
      </c>
      <c r="J127">
        <v>26</v>
      </c>
      <c r="K127" t="s">
        <v>218</v>
      </c>
      <c r="L127">
        <v>3</v>
      </c>
      <c r="M127" t="s">
        <v>343</v>
      </c>
      <c r="N127">
        <v>1</v>
      </c>
      <c r="O127" s="105">
        <v>43439</v>
      </c>
      <c r="P127">
        <f t="shared" si="4"/>
        <v>3</v>
      </c>
      <c r="Q127">
        <f t="shared" si="5"/>
        <v>2</v>
      </c>
    </row>
    <row r="128" spans="1:17" x14ac:dyDescent="0.2">
      <c r="A128">
        <v>559470</v>
      </c>
      <c r="B128" t="str">
        <f t="shared" si="3"/>
        <v>559470 - 3</v>
      </c>
      <c r="C128">
        <v>8999</v>
      </c>
      <c r="D128" t="s">
        <v>209</v>
      </c>
      <c r="E128" t="s">
        <v>210</v>
      </c>
      <c r="F128" t="s">
        <v>211</v>
      </c>
      <c r="G128" t="s">
        <v>212</v>
      </c>
      <c r="H128">
        <v>1</v>
      </c>
      <c r="I128" t="s">
        <v>194</v>
      </c>
      <c r="J128">
        <v>241</v>
      </c>
      <c r="K128" t="s">
        <v>344</v>
      </c>
      <c r="L128">
        <v>76</v>
      </c>
      <c r="M128" t="s">
        <v>343</v>
      </c>
      <c r="N128">
        <v>1</v>
      </c>
      <c r="O128" s="105">
        <v>43439</v>
      </c>
      <c r="P128">
        <f t="shared" si="4"/>
        <v>3</v>
      </c>
      <c r="Q128">
        <f t="shared" si="5"/>
        <v>3</v>
      </c>
    </row>
    <row r="129" spans="1:17" x14ac:dyDescent="0.2">
      <c r="A129">
        <v>559471</v>
      </c>
      <c r="B129" t="str">
        <f t="shared" si="3"/>
        <v>559471 - 1</v>
      </c>
      <c r="C129">
        <v>8999</v>
      </c>
      <c r="D129" t="s">
        <v>209</v>
      </c>
      <c r="E129" t="s">
        <v>210</v>
      </c>
      <c r="F129" t="s">
        <v>211</v>
      </c>
      <c r="G129" t="s">
        <v>212</v>
      </c>
      <c r="H129">
        <v>1</v>
      </c>
      <c r="I129" t="s">
        <v>194</v>
      </c>
      <c r="J129">
        <v>1</v>
      </c>
      <c r="K129" t="s">
        <v>227</v>
      </c>
      <c r="L129">
        <v>403</v>
      </c>
      <c r="M129" t="s">
        <v>345</v>
      </c>
      <c r="N129">
        <v>1</v>
      </c>
      <c r="O129" s="105">
        <v>43439</v>
      </c>
      <c r="P129">
        <f t="shared" si="4"/>
        <v>5</v>
      </c>
      <c r="Q129">
        <f t="shared" si="5"/>
        <v>1</v>
      </c>
    </row>
    <row r="130" spans="1:17" x14ac:dyDescent="0.2">
      <c r="A130">
        <v>559471</v>
      </c>
      <c r="B130" t="str">
        <f t="shared" si="3"/>
        <v>559471 - 2</v>
      </c>
      <c r="C130">
        <v>8999</v>
      </c>
      <c r="D130" t="s">
        <v>209</v>
      </c>
      <c r="E130" t="s">
        <v>210</v>
      </c>
      <c r="F130" t="s">
        <v>211</v>
      </c>
      <c r="G130" t="s">
        <v>212</v>
      </c>
      <c r="H130">
        <v>1</v>
      </c>
      <c r="I130" t="s">
        <v>194</v>
      </c>
      <c r="J130">
        <v>17</v>
      </c>
      <c r="K130" t="s">
        <v>230</v>
      </c>
      <c r="L130">
        <v>1027</v>
      </c>
      <c r="M130" t="s">
        <v>345</v>
      </c>
      <c r="N130">
        <v>1</v>
      </c>
      <c r="O130" s="105">
        <v>43439</v>
      </c>
      <c r="P130">
        <f t="shared" si="4"/>
        <v>5</v>
      </c>
      <c r="Q130">
        <f t="shared" si="5"/>
        <v>2</v>
      </c>
    </row>
    <row r="131" spans="1:17" x14ac:dyDescent="0.2">
      <c r="A131">
        <v>559471</v>
      </c>
      <c r="B131" t="str">
        <f t="shared" si="3"/>
        <v>559471 - 3</v>
      </c>
      <c r="C131">
        <v>8999</v>
      </c>
      <c r="D131" t="s">
        <v>209</v>
      </c>
      <c r="E131" t="s">
        <v>210</v>
      </c>
      <c r="F131" t="s">
        <v>211</v>
      </c>
      <c r="G131" t="s">
        <v>212</v>
      </c>
      <c r="H131">
        <v>1</v>
      </c>
      <c r="I131" t="s">
        <v>194</v>
      </c>
      <c r="J131">
        <v>18</v>
      </c>
      <c r="K131" t="s">
        <v>231</v>
      </c>
      <c r="L131">
        <v>50</v>
      </c>
      <c r="M131" t="s">
        <v>345</v>
      </c>
      <c r="N131">
        <v>1</v>
      </c>
      <c r="O131" s="105">
        <v>43439</v>
      </c>
      <c r="P131">
        <f t="shared" si="4"/>
        <v>5</v>
      </c>
      <c r="Q131">
        <f t="shared" si="5"/>
        <v>3</v>
      </c>
    </row>
    <row r="132" spans="1:17" x14ac:dyDescent="0.2">
      <c r="A132">
        <v>559471</v>
      </c>
      <c r="B132" t="str">
        <f t="shared" si="3"/>
        <v>559471 - 4</v>
      </c>
      <c r="C132">
        <v>8999</v>
      </c>
      <c r="D132" t="s">
        <v>209</v>
      </c>
      <c r="E132" t="s">
        <v>210</v>
      </c>
      <c r="F132" t="s">
        <v>211</v>
      </c>
      <c r="G132" t="s">
        <v>212</v>
      </c>
      <c r="H132">
        <v>1</v>
      </c>
      <c r="I132" t="s">
        <v>194</v>
      </c>
      <c r="J132">
        <v>26</v>
      </c>
      <c r="K132" t="s">
        <v>218</v>
      </c>
      <c r="L132">
        <v>17</v>
      </c>
      <c r="M132" t="s">
        <v>345</v>
      </c>
      <c r="N132">
        <v>1</v>
      </c>
      <c r="O132" s="105">
        <v>43439</v>
      </c>
      <c r="P132">
        <f t="shared" si="4"/>
        <v>5</v>
      </c>
      <c r="Q132">
        <f t="shared" si="5"/>
        <v>4</v>
      </c>
    </row>
    <row r="133" spans="1:17" x14ac:dyDescent="0.2">
      <c r="A133">
        <v>559471</v>
      </c>
      <c r="B133" t="str">
        <f t="shared" ref="B133:B196" si="6">CONCATENATE(A133," - ",Q133)</f>
        <v>559471 - 5</v>
      </c>
      <c r="C133">
        <v>8999</v>
      </c>
      <c r="D133" t="s">
        <v>209</v>
      </c>
      <c r="E133" t="s">
        <v>210</v>
      </c>
      <c r="F133" t="s">
        <v>211</v>
      </c>
      <c r="G133" t="s">
        <v>212</v>
      </c>
      <c r="H133">
        <v>1</v>
      </c>
      <c r="I133" t="s">
        <v>194</v>
      </c>
      <c r="J133">
        <v>240</v>
      </c>
      <c r="K133" t="s">
        <v>219</v>
      </c>
      <c r="L133">
        <v>17</v>
      </c>
      <c r="M133" t="s">
        <v>345</v>
      </c>
      <c r="N133">
        <v>1</v>
      </c>
      <c r="O133" s="105">
        <v>43439</v>
      </c>
      <c r="P133">
        <f t="shared" ref="P133:P196" si="7">+COUNTIF(A:A,A133)</f>
        <v>5</v>
      </c>
      <c r="Q133">
        <f t="shared" ref="Q133:Q196" si="8">IF(A133=A132,Q132+1,1)</f>
        <v>5</v>
      </c>
    </row>
    <row r="134" spans="1:17" x14ac:dyDescent="0.2">
      <c r="A134">
        <v>559472</v>
      </c>
      <c r="B134" t="str">
        <f t="shared" si="6"/>
        <v>559472 - 1</v>
      </c>
      <c r="C134">
        <v>8999</v>
      </c>
      <c r="D134" t="s">
        <v>209</v>
      </c>
      <c r="E134" t="s">
        <v>210</v>
      </c>
      <c r="F134" t="s">
        <v>211</v>
      </c>
      <c r="G134" t="s">
        <v>212</v>
      </c>
      <c r="H134">
        <v>1</v>
      </c>
      <c r="I134" t="s">
        <v>194</v>
      </c>
      <c r="J134">
        <v>1</v>
      </c>
      <c r="K134" t="s">
        <v>227</v>
      </c>
      <c r="L134">
        <v>360</v>
      </c>
      <c r="M134" t="s">
        <v>346</v>
      </c>
      <c r="N134">
        <v>1</v>
      </c>
      <c r="O134" s="105">
        <v>43439</v>
      </c>
      <c r="P134">
        <f t="shared" si="7"/>
        <v>6</v>
      </c>
      <c r="Q134">
        <f t="shared" si="8"/>
        <v>1</v>
      </c>
    </row>
    <row r="135" spans="1:17" x14ac:dyDescent="0.2">
      <c r="A135">
        <v>559472</v>
      </c>
      <c r="B135" t="str">
        <f t="shared" si="6"/>
        <v>559472 - 2</v>
      </c>
      <c r="C135">
        <v>8999</v>
      </c>
      <c r="D135" t="s">
        <v>209</v>
      </c>
      <c r="E135" t="s">
        <v>210</v>
      </c>
      <c r="F135" t="s">
        <v>211</v>
      </c>
      <c r="G135" t="s">
        <v>212</v>
      </c>
      <c r="H135">
        <v>1</v>
      </c>
      <c r="I135" t="s">
        <v>194</v>
      </c>
      <c r="J135">
        <v>17</v>
      </c>
      <c r="K135" t="s">
        <v>230</v>
      </c>
      <c r="L135">
        <v>250</v>
      </c>
      <c r="M135" t="s">
        <v>346</v>
      </c>
      <c r="N135">
        <v>1</v>
      </c>
      <c r="O135" s="105">
        <v>43439</v>
      </c>
      <c r="P135">
        <f t="shared" si="7"/>
        <v>6</v>
      </c>
      <c r="Q135">
        <f t="shared" si="8"/>
        <v>2</v>
      </c>
    </row>
    <row r="136" spans="1:17" x14ac:dyDescent="0.2">
      <c r="A136">
        <v>559472</v>
      </c>
      <c r="B136" t="str">
        <f t="shared" si="6"/>
        <v>559472 - 3</v>
      </c>
      <c r="C136">
        <v>8999</v>
      </c>
      <c r="D136" t="s">
        <v>209</v>
      </c>
      <c r="E136" t="s">
        <v>210</v>
      </c>
      <c r="F136" t="s">
        <v>211</v>
      </c>
      <c r="G136" t="s">
        <v>212</v>
      </c>
      <c r="H136">
        <v>1</v>
      </c>
      <c r="I136" t="s">
        <v>194</v>
      </c>
      <c r="J136">
        <v>26</v>
      </c>
      <c r="K136" t="s">
        <v>218</v>
      </c>
      <c r="L136">
        <v>42</v>
      </c>
      <c r="M136" t="s">
        <v>346</v>
      </c>
      <c r="N136">
        <v>1</v>
      </c>
      <c r="O136" s="105">
        <v>43439</v>
      </c>
      <c r="P136">
        <f t="shared" si="7"/>
        <v>6</v>
      </c>
      <c r="Q136">
        <f t="shared" si="8"/>
        <v>3</v>
      </c>
    </row>
    <row r="137" spans="1:17" x14ac:dyDescent="0.2">
      <c r="A137">
        <v>559472</v>
      </c>
      <c r="B137" t="str">
        <f t="shared" si="6"/>
        <v>559472 - 4</v>
      </c>
      <c r="C137">
        <v>8999</v>
      </c>
      <c r="D137" t="s">
        <v>209</v>
      </c>
      <c r="E137" t="s">
        <v>210</v>
      </c>
      <c r="F137" t="s">
        <v>211</v>
      </c>
      <c r="G137" t="s">
        <v>212</v>
      </c>
      <c r="H137">
        <v>1</v>
      </c>
      <c r="I137" t="s">
        <v>194</v>
      </c>
      <c r="J137">
        <v>240</v>
      </c>
      <c r="K137" t="s">
        <v>219</v>
      </c>
      <c r="L137">
        <v>667</v>
      </c>
      <c r="M137" t="s">
        <v>346</v>
      </c>
      <c r="N137">
        <v>1</v>
      </c>
      <c r="O137" s="105">
        <v>43439</v>
      </c>
      <c r="P137">
        <f t="shared" si="7"/>
        <v>6</v>
      </c>
      <c r="Q137">
        <f t="shared" si="8"/>
        <v>4</v>
      </c>
    </row>
    <row r="138" spans="1:17" x14ac:dyDescent="0.2">
      <c r="A138">
        <v>559472</v>
      </c>
      <c r="B138" t="str">
        <f t="shared" si="6"/>
        <v>559472 - 5</v>
      </c>
      <c r="C138">
        <v>8999</v>
      </c>
      <c r="D138" t="s">
        <v>209</v>
      </c>
      <c r="E138" t="s">
        <v>210</v>
      </c>
      <c r="F138" t="s">
        <v>211</v>
      </c>
      <c r="G138" t="s">
        <v>212</v>
      </c>
      <c r="H138">
        <v>1</v>
      </c>
      <c r="I138" t="s">
        <v>194</v>
      </c>
      <c r="J138">
        <v>242</v>
      </c>
      <c r="K138" t="s">
        <v>217</v>
      </c>
      <c r="L138">
        <v>1586</v>
      </c>
      <c r="M138" t="s">
        <v>346</v>
      </c>
      <c r="N138">
        <v>1</v>
      </c>
      <c r="O138" s="105">
        <v>43439</v>
      </c>
      <c r="P138">
        <f t="shared" si="7"/>
        <v>6</v>
      </c>
      <c r="Q138">
        <f t="shared" si="8"/>
        <v>5</v>
      </c>
    </row>
    <row r="139" spans="1:17" x14ac:dyDescent="0.2">
      <c r="A139">
        <v>559472</v>
      </c>
      <c r="B139" t="str">
        <f t="shared" si="6"/>
        <v>559472 - 6</v>
      </c>
      <c r="C139">
        <v>8999</v>
      </c>
      <c r="D139" t="s">
        <v>209</v>
      </c>
      <c r="E139" t="s">
        <v>210</v>
      </c>
      <c r="F139" t="s">
        <v>211</v>
      </c>
      <c r="G139" t="s">
        <v>212</v>
      </c>
      <c r="H139">
        <v>1</v>
      </c>
      <c r="I139" t="s">
        <v>194</v>
      </c>
      <c r="J139">
        <v>244</v>
      </c>
      <c r="K139" t="s">
        <v>244</v>
      </c>
      <c r="L139">
        <v>950</v>
      </c>
      <c r="M139" t="s">
        <v>346</v>
      </c>
      <c r="N139">
        <v>1</v>
      </c>
      <c r="O139" s="105">
        <v>43439</v>
      </c>
      <c r="P139">
        <f t="shared" si="7"/>
        <v>6</v>
      </c>
      <c r="Q139">
        <f t="shared" si="8"/>
        <v>6</v>
      </c>
    </row>
    <row r="140" spans="1:17" x14ac:dyDescent="0.2">
      <c r="A140">
        <v>559473</v>
      </c>
      <c r="B140" t="str">
        <f t="shared" si="6"/>
        <v>559473 - 1</v>
      </c>
      <c r="C140">
        <v>8999</v>
      </c>
      <c r="D140" t="s">
        <v>209</v>
      </c>
      <c r="E140" t="s">
        <v>210</v>
      </c>
      <c r="F140" t="s">
        <v>211</v>
      </c>
      <c r="G140" t="s">
        <v>212</v>
      </c>
      <c r="H140">
        <v>1</v>
      </c>
      <c r="I140" t="s">
        <v>194</v>
      </c>
      <c r="J140">
        <v>26</v>
      </c>
      <c r="K140" t="s">
        <v>218</v>
      </c>
      <c r="L140">
        <v>5</v>
      </c>
      <c r="M140" t="s">
        <v>347</v>
      </c>
      <c r="N140">
        <v>1</v>
      </c>
      <c r="O140" s="105">
        <v>43439</v>
      </c>
      <c r="P140">
        <f t="shared" si="7"/>
        <v>2</v>
      </c>
      <c r="Q140">
        <f t="shared" si="8"/>
        <v>1</v>
      </c>
    </row>
    <row r="141" spans="1:17" x14ac:dyDescent="0.2">
      <c r="A141">
        <v>559473</v>
      </c>
      <c r="B141" t="str">
        <f t="shared" si="6"/>
        <v>559473 - 2</v>
      </c>
      <c r="C141">
        <v>8999</v>
      </c>
      <c r="D141" t="s">
        <v>209</v>
      </c>
      <c r="E141" t="s">
        <v>210</v>
      </c>
      <c r="F141" t="s">
        <v>211</v>
      </c>
      <c r="G141" t="s">
        <v>212</v>
      </c>
      <c r="H141">
        <v>1</v>
      </c>
      <c r="I141" t="s">
        <v>194</v>
      </c>
      <c r="J141">
        <v>240</v>
      </c>
      <c r="K141" t="s">
        <v>219</v>
      </c>
      <c r="L141">
        <v>39</v>
      </c>
      <c r="M141" t="s">
        <v>347</v>
      </c>
      <c r="N141">
        <v>1</v>
      </c>
      <c r="O141" s="105">
        <v>43439</v>
      </c>
      <c r="P141">
        <f t="shared" si="7"/>
        <v>2</v>
      </c>
      <c r="Q141">
        <f t="shared" si="8"/>
        <v>2</v>
      </c>
    </row>
    <row r="142" spans="1:17" x14ac:dyDescent="0.2">
      <c r="A142">
        <v>559474</v>
      </c>
      <c r="B142" t="str">
        <f t="shared" si="6"/>
        <v>559474 - 1</v>
      </c>
      <c r="C142">
        <v>8999</v>
      </c>
      <c r="D142" t="s">
        <v>209</v>
      </c>
      <c r="E142" t="s">
        <v>210</v>
      </c>
      <c r="F142" t="s">
        <v>211</v>
      </c>
      <c r="G142" t="s">
        <v>212</v>
      </c>
      <c r="H142">
        <v>1</v>
      </c>
      <c r="I142" t="s">
        <v>194</v>
      </c>
      <c r="J142">
        <v>1</v>
      </c>
      <c r="K142" t="s">
        <v>227</v>
      </c>
      <c r="L142">
        <v>7</v>
      </c>
      <c r="M142" t="s">
        <v>348</v>
      </c>
      <c r="N142">
        <v>1</v>
      </c>
      <c r="O142" s="105">
        <v>43439</v>
      </c>
      <c r="P142">
        <f t="shared" si="7"/>
        <v>1</v>
      </c>
      <c r="Q142">
        <f t="shared" si="8"/>
        <v>1</v>
      </c>
    </row>
    <row r="143" spans="1:17" x14ac:dyDescent="0.2">
      <c r="A143">
        <v>559475</v>
      </c>
      <c r="B143" t="str">
        <f t="shared" si="6"/>
        <v>559475 - 1</v>
      </c>
      <c r="C143">
        <v>8999</v>
      </c>
      <c r="D143" t="s">
        <v>209</v>
      </c>
      <c r="E143" t="s">
        <v>210</v>
      </c>
      <c r="F143" t="s">
        <v>211</v>
      </c>
      <c r="G143" t="s">
        <v>212</v>
      </c>
      <c r="H143">
        <v>1</v>
      </c>
      <c r="I143" t="s">
        <v>194</v>
      </c>
      <c r="J143">
        <v>26</v>
      </c>
      <c r="K143" t="s">
        <v>218</v>
      </c>
      <c r="L143">
        <v>2</v>
      </c>
      <c r="M143" t="s">
        <v>349</v>
      </c>
      <c r="N143">
        <v>1</v>
      </c>
      <c r="O143" s="105">
        <v>43439</v>
      </c>
      <c r="P143">
        <f t="shared" si="7"/>
        <v>2</v>
      </c>
      <c r="Q143">
        <f t="shared" si="8"/>
        <v>1</v>
      </c>
    </row>
    <row r="144" spans="1:17" x14ac:dyDescent="0.2">
      <c r="A144">
        <v>559475</v>
      </c>
      <c r="B144" t="str">
        <f t="shared" si="6"/>
        <v>559475 - 2</v>
      </c>
      <c r="C144">
        <v>8999</v>
      </c>
      <c r="D144" t="s">
        <v>209</v>
      </c>
      <c r="E144" t="s">
        <v>210</v>
      </c>
      <c r="F144" t="s">
        <v>211</v>
      </c>
      <c r="G144" t="s">
        <v>212</v>
      </c>
      <c r="H144">
        <v>1</v>
      </c>
      <c r="I144" t="s">
        <v>194</v>
      </c>
      <c r="J144">
        <v>240</v>
      </c>
      <c r="K144" t="s">
        <v>219</v>
      </c>
      <c r="L144">
        <v>4</v>
      </c>
      <c r="M144" t="s">
        <v>349</v>
      </c>
      <c r="N144">
        <v>1</v>
      </c>
      <c r="O144" s="105">
        <v>43439</v>
      </c>
      <c r="P144">
        <f t="shared" si="7"/>
        <v>2</v>
      </c>
      <c r="Q144">
        <f t="shared" si="8"/>
        <v>2</v>
      </c>
    </row>
    <row r="145" spans="1:17" x14ac:dyDescent="0.2">
      <c r="A145">
        <v>559477</v>
      </c>
      <c r="B145" t="str">
        <f t="shared" si="6"/>
        <v>559477 - 1</v>
      </c>
      <c r="C145">
        <v>8999</v>
      </c>
      <c r="D145" t="s">
        <v>209</v>
      </c>
      <c r="E145" t="s">
        <v>210</v>
      </c>
      <c r="F145" t="s">
        <v>211</v>
      </c>
      <c r="G145" t="s">
        <v>212</v>
      </c>
      <c r="H145">
        <v>1</v>
      </c>
      <c r="I145" t="s">
        <v>194</v>
      </c>
      <c r="J145">
        <v>1</v>
      </c>
      <c r="K145" t="s">
        <v>227</v>
      </c>
      <c r="L145">
        <v>110</v>
      </c>
      <c r="M145" t="s">
        <v>338</v>
      </c>
      <c r="N145">
        <v>1</v>
      </c>
      <c r="O145" s="105">
        <v>43439</v>
      </c>
      <c r="P145">
        <f t="shared" si="7"/>
        <v>6</v>
      </c>
      <c r="Q145">
        <f t="shared" si="8"/>
        <v>1</v>
      </c>
    </row>
    <row r="146" spans="1:17" x14ac:dyDescent="0.2">
      <c r="A146">
        <v>559477</v>
      </c>
      <c r="B146" t="str">
        <f t="shared" si="6"/>
        <v>559477 - 2</v>
      </c>
      <c r="C146">
        <v>8999</v>
      </c>
      <c r="D146" t="s">
        <v>209</v>
      </c>
      <c r="E146" t="s">
        <v>210</v>
      </c>
      <c r="F146" t="s">
        <v>211</v>
      </c>
      <c r="G146" t="s">
        <v>212</v>
      </c>
      <c r="H146">
        <v>1</v>
      </c>
      <c r="I146" t="s">
        <v>194</v>
      </c>
      <c r="J146">
        <v>17</v>
      </c>
      <c r="K146" t="s">
        <v>230</v>
      </c>
      <c r="L146">
        <v>90</v>
      </c>
      <c r="M146" t="s">
        <v>338</v>
      </c>
      <c r="N146">
        <v>1</v>
      </c>
      <c r="O146" s="105">
        <v>43439</v>
      </c>
      <c r="P146">
        <f t="shared" si="7"/>
        <v>6</v>
      </c>
      <c r="Q146">
        <f t="shared" si="8"/>
        <v>2</v>
      </c>
    </row>
    <row r="147" spans="1:17" x14ac:dyDescent="0.2">
      <c r="A147">
        <v>559477</v>
      </c>
      <c r="B147" t="str">
        <f t="shared" si="6"/>
        <v>559477 - 3</v>
      </c>
      <c r="C147">
        <v>8999</v>
      </c>
      <c r="D147" t="s">
        <v>209</v>
      </c>
      <c r="E147" t="s">
        <v>210</v>
      </c>
      <c r="F147" t="s">
        <v>211</v>
      </c>
      <c r="G147" t="s">
        <v>212</v>
      </c>
      <c r="H147">
        <v>1</v>
      </c>
      <c r="I147" t="s">
        <v>194</v>
      </c>
      <c r="J147">
        <v>18</v>
      </c>
      <c r="K147" t="s">
        <v>231</v>
      </c>
      <c r="L147">
        <v>97</v>
      </c>
      <c r="M147" t="s">
        <v>338</v>
      </c>
      <c r="N147">
        <v>1</v>
      </c>
      <c r="O147" s="105">
        <v>43439</v>
      </c>
      <c r="P147">
        <f t="shared" si="7"/>
        <v>6</v>
      </c>
      <c r="Q147">
        <f t="shared" si="8"/>
        <v>3</v>
      </c>
    </row>
    <row r="148" spans="1:17" x14ac:dyDescent="0.2">
      <c r="A148">
        <v>559477</v>
      </c>
      <c r="B148" t="str">
        <f t="shared" si="6"/>
        <v>559477 - 4</v>
      </c>
      <c r="C148">
        <v>8999</v>
      </c>
      <c r="D148" t="s">
        <v>209</v>
      </c>
      <c r="E148" t="s">
        <v>210</v>
      </c>
      <c r="F148" t="s">
        <v>211</v>
      </c>
      <c r="G148" t="s">
        <v>212</v>
      </c>
      <c r="H148">
        <v>1</v>
      </c>
      <c r="I148" t="s">
        <v>194</v>
      </c>
      <c r="J148">
        <v>26</v>
      </c>
      <c r="K148" t="s">
        <v>218</v>
      </c>
      <c r="L148">
        <v>12</v>
      </c>
      <c r="M148" t="s">
        <v>338</v>
      </c>
      <c r="N148">
        <v>1</v>
      </c>
      <c r="O148" s="105">
        <v>43439</v>
      </c>
      <c r="P148">
        <f t="shared" si="7"/>
        <v>6</v>
      </c>
      <c r="Q148">
        <f t="shared" si="8"/>
        <v>4</v>
      </c>
    </row>
    <row r="149" spans="1:17" x14ac:dyDescent="0.2">
      <c r="A149">
        <v>559477</v>
      </c>
      <c r="B149" t="str">
        <f t="shared" si="6"/>
        <v>559477 - 5</v>
      </c>
      <c r="C149">
        <v>8999</v>
      </c>
      <c r="D149" t="s">
        <v>209</v>
      </c>
      <c r="E149" t="s">
        <v>210</v>
      </c>
      <c r="F149" t="s">
        <v>211</v>
      </c>
      <c r="G149" t="s">
        <v>212</v>
      </c>
      <c r="H149">
        <v>1</v>
      </c>
      <c r="I149" t="s">
        <v>194</v>
      </c>
      <c r="J149">
        <v>240</v>
      </c>
      <c r="K149" t="s">
        <v>219</v>
      </c>
      <c r="L149">
        <v>573</v>
      </c>
      <c r="M149" t="s">
        <v>338</v>
      </c>
      <c r="N149">
        <v>1</v>
      </c>
      <c r="O149" s="105">
        <v>43439</v>
      </c>
      <c r="P149">
        <f t="shared" si="7"/>
        <v>6</v>
      </c>
      <c r="Q149">
        <f t="shared" si="8"/>
        <v>5</v>
      </c>
    </row>
    <row r="150" spans="1:17" x14ac:dyDescent="0.2">
      <c r="A150">
        <v>559477</v>
      </c>
      <c r="B150" t="str">
        <f t="shared" si="6"/>
        <v>559477 - 6</v>
      </c>
      <c r="C150">
        <v>8999</v>
      </c>
      <c r="D150" t="s">
        <v>209</v>
      </c>
      <c r="E150" t="s">
        <v>210</v>
      </c>
      <c r="F150" t="s">
        <v>211</v>
      </c>
      <c r="G150" t="s">
        <v>212</v>
      </c>
      <c r="H150">
        <v>1</v>
      </c>
      <c r="I150" t="s">
        <v>194</v>
      </c>
      <c r="J150">
        <v>242</v>
      </c>
      <c r="K150" t="s">
        <v>217</v>
      </c>
      <c r="L150">
        <v>160</v>
      </c>
      <c r="M150" t="s">
        <v>338</v>
      </c>
      <c r="N150">
        <v>1</v>
      </c>
      <c r="O150" s="105">
        <v>43439</v>
      </c>
      <c r="P150">
        <f t="shared" si="7"/>
        <v>6</v>
      </c>
      <c r="Q150">
        <f t="shared" si="8"/>
        <v>6</v>
      </c>
    </row>
    <row r="151" spans="1:17" x14ac:dyDescent="0.2">
      <c r="A151">
        <v>559478</v>
      </c>
      <c r="B151" t="str">
        <f t="shared" si="6"/>
        <v>559478 - 1</v>
      </c>
      <c r="C151">
        <v>8999</v>
      </c>
      <c r="D151" t="s">
        <v>209</v>
      </c>
      <c r="E151" t="s">
        <v>210</v>
      </c>
      <c r="F151" t="s">
        <v>211</v>
      </c>
      <c r="G151" t="s">
        <v>212</v>
      </c>
      <c r="H151">
        <v>1</v>
      </c>
      <c r="I151" t="s">
        <v>194</v>
      </c>
      <c r="J151">
        <v>26</v>
      </c>
      <c r="K151" t="s">
        <v>218</v>
      </c>
      <c r="L151">
        <v>6</v>
      </c>
      <c r="M151" t="s">
        <v>339</v>
      </c>
      <c r="N151">
        <v>1</v>
      </c>
      <c r="O151" s="105">
        <v>43439</v>
      </c>
      <c r="P151">
        <f t="shared" si="7"/>
        <v>2</v>
      </c>
      <c r="Q151">
        <f t="shared" si="8"/>
        <v>1</v>
      </c>
    </row>
    <row r="152" spans="1:17" x14ac:dyDescent="0.2">
      <c r="A152">
        <v>559478</v>
      </c>
      <c r="B152" t="str">
        <f t="shared" si="6"/>
        <v>559478 - 2</v>
      </c>
      <c r="C152">
        <v>8999</v>
      </c>
      <c r="D152" t="s">
        <v>209</v>
      </c>
      <c r="E152" t="s">
        <v>210</v>
      </c>
      <c r="F152" t="s">
        <v>211</v>
      </c>
      <c r="G152" t="s">
        <v>212</v>
      </c>
      <c r="H152">
        <v>1</v>
      </c>
      <c r="I152" t="s">
        <v>194</v>
      </c>
      <c r="J152">
        <v>242</v>
      </c>
      <c r="K152" t="s">
        <v>217</v>
      </c>
      <c r="L152">
        <v>474</v>
      </c>
      <c r="M152" t="s">
        <v>339</v>
      </c>
      <c r="N152">
        <v>1</v>
      </c>
      <c r="O152" s="105">
        <v>43439</v>
      </c>
      <c r="P152">
        <f t="shared" si="7"/>
        <v>2</v>
      </c>
      <c r="Q152">
        <f t="shared" si="8"/>
        <v>2</v>
      </c>
    </row>
    <row r="153" spans="1:17" x14ac:dyDescent="0.2">
      <c r="A153">
        <v>559479</v>
      </c>
      <c r="B153" t="str">
        <f t="shared" si="6"/>
        <v>559479 - 1</v>
      </c>
      <c r="C153">
        <v>8999</v>
      </c>
      <c r="D153" t="s">
        <v>209</v>
      </c>
      <c r="E153" t="s">
        <v>210</v>
      </c>
      <c r="F153" t="s">
        <v>211</v>
      </c>
      <c r="G153" t="s">
        <v>212</v>
      </c>
      <c r="H153">
        <v>1</v>
      </c>
      <c r="I153" t="s">
        <v>194</v>
      </c>
      <c r="J153">
        <v>1</v>
      </c>
      <c r="K153" t="s">
        <v>227</v>
      </c>
      <c r="L153">
        <v>133</v>
      </c>
      <c r="M153" t="s">
        <v>346</v>
      </c>
      <c r="N153">
        <v>1</v>
      </c>
      <c r="O153" s="105">
        <v>43439</v>
      </c>
      <c r="P153">
        <f t="shared" si="7"/>
        <v>7</v>
      </c>
      <c r="Q153">
        <f t="shared" si="8"/>
        <v>1</v>
      </c>
    </row>
    <row r="154" spans="1:17" x14ac:dyDescent="0.2">
      <c r="A154">
        <v>559479</v>
      </c>
      <c r="B154" t="str">
        <f t="shared" si="6"/>
        <v>559479 - 2</v>
      </c>
      <c r="C154">
        <v>8999</v>
      </c>
      <c r="D154" t="s">
        <v>209</v>
      </c>
      <c r="E154" t="s">
        <v>210</v>
      </c>
      <c r="F154" t="s">
        <v>211</v>
      </c>
      <c r="G154" t="s">
        <v>212</v>
      </c>
      <c r="H154">
        <v>1</v>
      </c>
      <c r="I154" t="s">
        <v>194</v>
      </c>
      <c r="J154">
        <v>17</v>
      </c>
      <c r="K154" t="s">
        <v>230</v>
      </c>
      <c r="L154">
        <v>83</v>
      </c>
      <c r="M154" t="s">
        <v>346</v>
      </c>
      <c r="N154">
        <v>1</v>
      </c>
      <c r="O154" s="105">
        <v>43439</v>
      </c>
      <c r="P154">
        <f t="shared" si="7"/>
        <v>7</v>
      </c>
      <c r="Q154">
        <f t="shared" si="8"/>
        <v>2</v>
      </c>
    </row>
    <row r="155" spans="1:17" x14ac:dyDescent="0.2">
      <c r="A155">
        <v>559479</v>
      </c>
      <c r="B155" t="str">
        <f t="shared" si="6"/>
        <v>559479 - 3</v>
      </c>
      <c r="C155">
        <v>8999</v>
      </c>
      <c r="D155" t="s">
        <v>209</v>
      </c>
      <c r="E155" t="s">
        <v>210</v>
      </c>
      <c r="F155" t="s">
        <v>211</v>
      </c>
      <c r="G155" t="s">
        <v>212</v>
      </c>
      <c r="H155">
        <v>1</v>
      </c>
      <c r="I155" t="s">
        <v>194</v>
      </c>
      <c r="J155">
        <v>18</v>
      </c>
      <c r="K155" t="s">
        <v>231</v>
      </c>
      <c r="L155">
        <v>168</v>
      </c>
      <c r="M155" t="s">
        <v>346</v>
      </c>
      <c r="N155">
        <v>1</v>
      </c>
      <c r="O155" s="105">
        <v>43439</v>
      </c>
      <c r="P155">
        <f t="shared" si="7"/>
        <v>7</v>
      </c>
      <c r="Q155">
        <f t="shared" si="8"/>
        <v>3</v>
      </c>
    </row>
    <row r="156" spans="1:17" x14ac:dyDescent="0.2">
      <c r="A156">
        <v>559479</v>
      </c>
      <c r="B156" t="str">
        <f t="shared" si="6"/>
        <v>559479 - 4</v>
      </c>
      <c r="C156">
        <v>8999</v>
      </c>
      <c r="D156" t="s">
        <v>209</v>
      </c>
      <c r="E156" t="s">
        <v>210</v>
      </c>
      <c r="F156" t="s">
        <v>211</v>
      </c>
      <c r="G156" t="s">
        <v>212</v>
      </c>
      <c r="H156">
        <v>1</v>
      </c>
      <c r="I156" t="s">
        <v>194</v>
      </c>
      <c r="J156">
        <v>26</v>
      </c>
      <c r="K156" t="s">
        <v>218</v>
      </c>
      <c r="L156">
        <v>29</v>
      </c>
      <c r="M156" t="s">
        <v>346</v>
      </c>
      <c r="N156">
        <v>1</v>
      </c>
      <c r="O156" s="105">
        <v>43439</v>
      </c>
      <c r="P156">
        <f t="shared" si="7"/>
        <v>7</v>
      </c>
      <c r="Q156">
        <f t="shared" si="8"/>
        <v>4</v>
      </c>
    </row>
    <row r="157" spans="1:17" x14ac:dyDescent="0.2">
      <c r="A157">
        <v>559479</v>
      </c>
      <c r="B157" t="str">
        <f t="shared" si="6"/>
        <v>559479 - 5</v>
      </c>
      <c r="C157">
        <v>8999</v>
      </c>
      <c r="D157" t="s">
        <v>209</v>
      </c>
      <c r="E157" t="s">
        <v>210</v>
      </c>
      <c r="F157" t="s">
        <v>211</v>
      </c>
      <c r="G157" t="s">
        <v>212</v>
      </c>
      <c r="H157">
        <v>1</v>
      </c>
      <c r="I157" t="s">
        <v>194</v>
      </c>
      <c r="J157">
        <v>240</v>
      </c>
      <c r="K157" t="s">
        <v>219</v>
      </c>
      <c r="L157">
        <v>1421</v>
      </c>
      <c r="M157" t="s">
        <v>346</v>
      </c>
      <c r="N157">
        <v>1</v>
      </c>
      <c r="O157" s="105">
        <v>43439</v>
      </c>
      <c r="P157">
        <f t="shared" si="7"/>
        <v>7</v>
      </c>
      <c r="Q157">
        <f t="shared" si="8"/>
        <v>5</v>
      </c>
    </row>
    <row r="158" spans="1:17" x14ac:dyDescent="0.2">
      <c r="A158">
        <v>559479</v>
      </c>
      <c r="B158" t="str">
        <f t="shared" si="6"/>
        <v>559479 - 6</v>
      </c>
      <c r="C158">
        <v>8999</v>
      </c>
      <c r="D158" t="s">
        <v>209</v>
      </c>
      <c r="E158" t="s">
        <v>210</v>
      </c>
      <c r="F158" t="s">
        <v>211</v>
      </c>
      <c r="G158" t="s">
        <v>212</v>
      </c>
      <c r="H158">
        <v>1</v>
      </c>
      <c r="I158" t="s">
        <v>194</v>
      </c>
      <c r="J158">
        <v>242</v>
      </c>
      <c r="K158" t="s">
        <v>217</v>
      </c>
      <c r="L158">
        <v>1197</v>
      </c>
      <c r="M158" t="s">
        <v>346</v>
      </c>
      <c r="N158">
        <v>1</v>
      </c>
      <c r="O158" s="105">
        <v>43439</v>
      </c>
      <c r="P158">
        <f t="shared" si="7"/>
        <v>7</v>
      </c>
      <c r="Q158">
        <f t="shared" si="8"/>
        <v>6</v>
      </c>
    </row>
    <row r="159" spans="1:17" x14ac:dyDescent="0.2">
      <c r="A159">
        <v>559479</v>
      </c>
      <c r="B159" t="str">
        <f t="shared" si="6"/>
        <v>559479 - 7</v>
      </c>
      <c r="C159">
        <v>8999</v>
      </c>
      <c r="D159" t="s">
        <v>209</v>
      </c>
      <c r="E159" t="s">
        <v>210</v>
      </c>
      <c r="F159" t="s">
        <v>211</v>
      </c>
      <c r="G159" t="s">
        <v>212</v>
      </c>
      <c r="H159">
        <v>1</v>
      </c>
      <c r="I159" t="s">
        <v>194</v>
      </c>
      <c r="J159">
        <v>244</v>
      </c>
      <c r="K159" t="s">
        <v>244</v>
      </c>
      <c r="L159">
        <v>180</v>
      </c>
      <c r="M159" t="s">
        <v>346</v>
      </c>
      <c r="N159">
        <v>1</v>
      </c>
      <c r="O159" s="105">
        <v>43439</v>
      </c>
      <c r="P159">
        <f t="shared" si="7"/>
        <v>7</v>
      </c>
      <c r="Q159">
        <f t="shared" si="8"/>
        <v>7</v>
      </c>
    </row>
    <row r="160" spans="1:17" x14ac:dyDescent="0.2">
      <c r="A160">
        <v>559480</v>
      </c>
      <c r="B160" t="str">
        <f t="shared" si="6"/>
        <v>559480 - 1</v>
      </c>
      <c r="C160">
        <v>8999</v>
      </c>
      <c r="D160" t="s">
        <v>209</v>
      </c>
      <c r="E160" t="s">
        <v>210</v>
      </c>
      <c r="F160" t="s">
        <v>211</v>
      </c>
      <c r="G160" t="s">
        <v>212</v>
      </c>
      <c r="H160">
        <v>1</v>
      </c>
      <c r="I160" t="s">
        <v>194</v>
      </c>
      <c r="J160">
        <v>17</v>
      </c>
      <c r="K160" t="s">
        <v>230</v>
      </c>
      <c r="L160">
        <v>34</v>
      </c>
      <c r="M160" t="s">
        <v>345</v>
      </c>
      <c r="N160">
        <v>1</v>
      </c>
      <c r="O160" s="105">
        <v>43439</v>
      </c>
      <c r="P160">
        <f t="shared" si="7"/>
        <v>5</v>
      </c>
      <c r="Q160">
        <f t="shared" si="8"/>
        <v>1</v>
      </c>
    </row>
    <row r="161" spans="1:17" x14ac:dyDescent="0.2">
      <c r="A161">
        <v>559480</v>
      </c>
      <c r="B161" t="str">
        <f t="shared" si="6"/>
        <v>559480 - 2</v>
      </c>
      <c r="C161">
        <v>8999</v>
      </c>
      <c r="D161" t="s">
        <v>209</v>
      </c>
      <c r="E161" t="s">
        <v>210</v>
      </c>
      <c r="F161" t="s">
        <v>211</v>
      </c>
      <c r="G161" t="s">
        <v>212</v>
      </c>
      <c r="H161">
        <v>1</v>
      </c>
      <c r="I161" t="s">
        <v>194</v>
      </c>
      <c r="J161">
        <v>18</v>
      </c>
      <c r="K161" t="s">
        <v>231</v>
      </c>
      <c r="L161">
        <v>132</v>
      </c>
      <c r="M161" t="s">
        <v>345</v>
      </c>
      <c r="N161">
        <v>1</v>
      </c>
      <c r="O161" s="105">
        <v>43439</v>
      </c>
      <c r="P161">
        <f t="shared" si="7"/>
        <v>5</v>
      </c>
      <c r="Q161">
        <f t="shared" si="8"/>
        <v>2</v>
      </c>
    </row>
    <row r="162" spans="1:17" x14ac:dyDescent="0.2">
      <c r="A162">
        <v>559480</v>
      </c>
      <c r="B162" t="str">
        <f t="shared" si="6"/>
        <v>559480 - 3</v>
      </c>
      <c r="C162">
        <v>8999</v>
      </c>
      <c r="D162" t="s">
        <v>209</v>
      </c>
      <c r="E162" t="s">
        <v>210</v>
      </c>
      <c r="F162" t="s">
        <v>211</v>
      </c>
      <c r="G162" t="s">
        <v>212</v>
      </c>
      <c r="H162">
        <v>1</v>
      </c>
      <c r="I162" t="s">
        <v>194</v>
      </c>
      <c r="J162">
        <v>26</v>
      </c>
      <c r="K162" t="s">
        <v>218</v>
      </c>
      <c r="L162">
        <v>13</v>
      </c>
      <c r="M162" t="s">
        <v>345</v>
      </c>
      <c r="N162">
        <v>1</v>
      </c>
      <c r="O162" s="105">
        <v>43439</v>
      </c>
      <c r="P162">
        <f t="shared" si="7"/>
        <v>5</v>
      </c>
      <c r="Q162">
        <f t="shared" si="8"/>
        <v>3</v>
      </c>
    </row>
    <row r="163" spans="1:17" x14ac:dyDescent="0.2">
      <c r="A163">
        <v>559480</v>
      </c>
      <c r="B163" t="str">
        <f t="shared" si="6"/>
        <v>559480 - 4</v>
      </c>
      <c r="C163">
        <v>8999</v>
      </c>
      <c r="D163" t="s">
        <v>209</v>
      </c>
      <c r="E163" t="s">
        <v>210</v>
      </c>
      <c r="F163" t="s">
        <v>211</v>
      </c>
      <c r="G163" t="s">
        <v>212</v>
      </c>
      <c r="H163">
        <v>1</v>
      </c>
      <c r="I163" t="s">
        <v>194</v>
      </c>
      <c r="J163">
        <v>240</v>
      </c>
      <c r="K163" t="s">
        <v>219</v>
      </c>
      <c r="L163">
        <v>471</v>
      </c>
      <c r="M163" t="s">
        <v>345</v>
      </c>
      <c r="N163">
        <v>1</v>
      </c>
      <c r="O163" s="105">
        <v>43439</v>
      </c>
      <c r="P163">
        <f t="shared" si="7"/>
        <v>5</v>
      </c>
      <c r="Q163">
        <f t="shared" si="8"/>
        <v>4</v>
      </c>
    </row>
    <row r="164" spans="1:17" x14ac:dyDescent="0.2">
      <c r="A164">
        <v>559480</v>
      </c>
      <c r="B164" t="str">
        <f t="shared" si="6"/>
        <v>559480 - 5</v>
      </c>
      <c r="C164">
        <v>8999</v>
      </c>
      <c r="D164" t="s">
        <v>209</v>
      </c>
      <c r="E164" t="s">
        <v>210</v>
      </c>
      <c r="F164" t="s">
        <v>211</v>
      </c>
      <c r="G164" t="s">
        <v>212</v>
      </c>
      <c r="H164">
        <v>1</v>
      </c>
      <c r="I164" t="s">
        <v>194</v>
      </c>
      <c r="J164">
        <v>242</v>
      </c>
      <c r="K164" t="s">
        <v>217</v>
      </c>
      <c r="L164">
        <v>446</v>
      </c>
      <c r="M164" t="s">
        <v>345</v>
      </c>
      <c r="N164">
        <v>1</v>
      </c>
      <c r="O164" s="105">
        <v>43439</v>
      </c>
      <c r="P164">
        <f t="shared" si="7"/>
        <v>5</v>
      </c>
      <c r="Q164">
        <f t="shared" si="8"/>
        <v>5</v>
      </c>
    </row>
    <row r="165" spans="1:17" x14ac:dyDescent="0.2">
      <c r="A165">
        <v>559481</v>
      </c>
      <c r="B165" t="str">
        <f t="shared" si="6"/>
        <v>559481 - 1</v>
      </c>
      <c r="C165">
        <v>8999</v>
      </c>
      <c r="D165" t="s">
        <v>209</v>
      </c>
      <c r="E165" t="s">
        <v>210</v>
      </c>
      <c r="F165" t="s">
        <v>211</v>
      </c>
      <c r="G165" t="s">
        <v>212</v>
      </c>
      <c r="H165">
        <v>1</v>
      </c>
      <c r="I165" t="s">
        <v>194</v>
      </c>
      <c r="J165">
        <v>26</v>
      </c>
      <c r="K165" t="s">
        <v>218</v>
      </c>
      <c r="L165">
        <v>3</v>
      </c>
      <c r="M165" t="s">
        <v>334</v>
      </c>
      <c r="N165">
        <v>1</v>
      </c>
      <c r="O165" s="105">
        <v>43439</v>
      </c>
      <c r="P165">
        <f t="shared" si="7"/>
        <v>2</v>
      </c>
      <c r="Q165">
        <f t="shared" si="8"/>
        <v>1</v>
      </c>
    </row>
    <row r="166" spans="1:17" x14ac:dyDescent="0.2">
      <c r="A166">
        <v>559481</v>
      </c>
      <c r="B166" t="str">
        <f t="shared" si="6"/>
        <v>559481 - 2</v>
      </c>
      <c r="C166">
        <v>8999</v>
      </c>
      <c r="D166" t="s">
        <v>209</v>
      </c>
      <c r="E166" t="s">
        <v>210</v>
      </c>
      <c r="F166" t="s">
        <v>211</v>
      </c>
      <c r="G166" t="s">
        <v>212</v>
      </c>
      <c r="H166">
        <v>1</v>
      </c>
      <c r="I166" t="s">
        <v>194</v>
      </c>
      <c r="J166">
        <v>242</v>
      </c>
      <c r="K166" t="s">
        <v>217</v>
      </c>
      <c r="L166">
        <v>167</v>
      </c>
      <c r="M166" t="s">
        <v>334</v>
      </c>
      <c r="N166">
        <v>1</v>
      </c>
      <c r="O166" s="105">
        <v>43439</v>
      </c>
      <c r="P166">
        <f t="shared" si="7"/>
        <v>2</v>
      </c>
      <c r="Q166">
        <f t="shared" si="8"/>
        <v>2</v>
      </c>
    </row>
    <row r="167" spans="1:17" x14ac:dyDescent="0.2">
      <c r="A167">
        <v>559482</v>
      </c>
      <c r="B167" t="str">
        <f t="shared" si="6"/>
        <v>559482 - 1</v>
      </c>
      <c r="C167">
        <v>8999</v>
      </c>
      <c r="D167" t="s">
        <v>209</v>
      </c>
      <c r="E167" t="s">
        <v>210</v>
      </c>
      <c r="F167" t="s">
        <v>211</v>
      </c>
      <c r="G167" t="s">
        <v>212</v>
      </c>
      <c r="H167">
        <v>1</v>
      </c>
      <c r="I167" t="s">
        <v>194</v>
      </c>
      <c r="J167">
        <v>1</v>
      </c>
      <c r="K167" t="s">
        <v>227</v>
      </c>
      <c r="L167">
        <v>59</v>
      </c>
      <c r="M167" t="s">
        <v>337</v>
      </c>
      <c r="N167">
        <v>1</v>
      </c>
      <c r="O167" s="105">
        <v>43439</v>
      </c>
      <c r="P167">
        <f t="shared" si="7"/>
        <v>5</v>
      </c>
      <c r="Q167">
        <f t="shared" si="8"/>
        <v>1</v>
      </c>
    </row>
    <row r="168" spans="1:17" x14ac:dyDescent="0.2">
      <c r="A168">
        <v>559482</v>
      </c>
      <c r="B168" t="str">
        <f t="shared" si="6"/>
        <v>559482 - 2</v>
      </c>
      <c r="C168">
        <v>8999</v>
      </c>
      <c r="D168" t="s">
        <v>209</v>
      </c>
      <c r="E168" t="s">
        <v>210</v>
      </c>
      <c r="F168" t="s">
        <v>211</v>
      </c>
      <c r="G168" t="s">
        <v>212</v>
      </c>
      <c r="H168">
        <v>1</v>
      </c>
      <c r="I168" t="s">
        <v>194</v>
      </c>
      <c r="J168">
        <v>18</v>
      </c>
      <c r="K168" t="s">
        <v>231</v>
      </c>
      <c r="L168">
        <v>32</v>
      </c>
      <c r="M168" t="s">
        <v>337</v>
      </c>
      <c r="N168">
        <v>1</v>
      </c>
      <c r="O168" s="105">
        <v>43439</v>
      </c>
      <c r="P168">
        <f t="shared" si="7"/>
        <v>5</v>
      </c>
      <c r="Q168">
        <f t="shared" si="8"/>
        <v>2</v>
      </c>
    </row>
    <row r="169" spans="1:17" x14ac:dyDescent="0.2">
      <c r="A169">
        <v>559482</v>
      </c>
      <c r="B169" t="str">
        <f t="shared" si="6"/>
        <v>559482 - 3</v>
      </c>
      <c r="C169">
        <v>8999</v>
      </c>
      <c r="D169" t="s">
        <v>209</v>
      </c>
      <c r="E169" t="s">
        <v>210</v>
      </c>
      <c r="F169" t="s">
        <v>211</v>
      </c>
      <c r="G169" t="s">
        <v>212</v>
      </c>
      <c r="H169">
        <v>1</v>
      </c>
      <c r="I169" t="s">
        <v>194</v>
      </c>
      <c r="J169">
        <v>26</v>
      </c>
      <c r="K169" t="s">
        <v>218</v>
      </c>
      <c r="L169">
        <v>9</v>
      </c>
      <c r="M169" t="s">
        <v>337</v>
      </c>
      <c r="N169">
        <v>1</v>
      </c>
      <c r="O169" s="105">
        <v>43439</v>
      </c>
      <c r="P169">
        <f t="shared" si="7"/>
        <v>5</v>
      </c>
      <c r="Q169">
        <f t="shared" si="8"/>
        <v>3</v>
      </c>
    </row>
    <row r="170" spans="1:17" x14ac:dyDescent="0.2">
      <c r="A170">
        <v>559482</v>
      </c>
      <c r="B170" t="str">
        <f t="shared" si="6"/>
        <v>559482 - 4</v>
      </c>
      <c r="C170">
        <v>8999</v>
      </c>
      <c r="D170" t="s">
        <v>209</v>
      </c>
      <c r="E170" t="s">
        <v>210</v>
      </c>
      <c r="F170" t="s">
        <v>211</v>
      </c>
      <c r="G170" t="s">
        <v>212</v>
      </c>
      <c r="H170">
        <v>1</v>
      </c>
      <c r="I170" t="s">
        <v>194</v>
      </c>
      <c r="J170">
        <v>240</v>
      </c>
      <c r="K170" t="s">
        <v>219</v>
      </c>
      <c r="L170">
        <v>145</v>
      </c>
      <c r="M170" t="s">
        <v>337</v>
      </c>
      <c r="N170">
        <v>1</v>
      </c>
      <c r="O170" s="105">
        <v>43439</v>
      </c>
      <c r="P170">
        <f t="shared" si="7"/>
        <v>5</v>
      </c>
      <c r="Q170">
        <f t="shared" si="8"/>
        <v>4</v>
      </c>
    </row>
    <row r="171" spans="1:17" x14ac:dyDescent="0.2">
      <c r="A171">
        <v>559482</v>
      </c>
      <c r="B171" t="str">
        <f t="shared" si="6"/>
        <v>559482 - 5</v>
      </c>
      <c r="C171">
        <v>8999</v>
      </c>
      <c r="D171" t="s">
        <v>209</v>
      </c>
      <c r="E171" t="s">
        <v>210</v>
      </c>
      <c r="F171" t="s">
        <v>211</v>
      </c>
      <c r="G171" t="s">
        <v>212</v>
      </c>
      <c r="H171">
        <v>1</v>
      </c>
      <c r="I171" t="s">
        <v>194</v>
      </c>
      <c r="J171">
        <v>242</v>
      </c>
      <c r="K171" t="s">
        <v>217</v>
      </c>
      <c r="L171">
        <v>13</v>
      </c>
      <c r="M171" t="s">
        <v>337</v>
      </c>
      <c r="N171">
        <v>1</v>
      </c>
      <c r="O171" s="105">
        <v>43439</v>
      </c>
      <c r="P171">
        <f t="shared" si="7"/>
        <v>5</v>
      </c>
      <c r="Q171">
        <f t="shared" si="8"/>
        <v>5</v>
      </c>
    </row>
    <row r="172" spans="1:17" x14ac:dyDescent="0.2">
      <c r="A172">
        <v>559483</v>
      </c>
      <c r="B172" t="str">
        <f t="shared" si="6"/>
        <v>559483 - 1</v>
      </c>
      <c r="C172">
        <v>8999</v>
      </c>
      <c r="D172" t="s">
        <v>209</v>
      </c>
      <c r="E172" t="s">
        <v>210</v>
      </c>
      <c r="F172" t="s">
        <v>211</v>
      </c>
      <c r="G172" t="s">
        <v>212</v>
      </c>
      <c r="H172">
        <v>1</v>
      </c>
      <c r="I172" t="s">
        <v>194</v>
      </c>
      <c r="J172">
        <v>17</v>
      </c>
      <c r="K172" t="s">
        <v>230</v>
      </c>
      <c r="L172">
        <v>71</v>
      </c>
      <c r="M172" t="s">
        <v>346</v>
      </c>
      <c r="N172">
        <v>1</v>
      </c>
      <c r="O172" s="105">
        <v>43439</v>
      </c>
      <c r="P172">
        <f t="shared" si="7"/>
        <v>5</v>
      </c>
      <c r="Q172">
        <f t="shared" si="8"/>
        <v>1</v>
      </c>
    </row>
    <row r="173" spans="1:17" x14ac:dyDescent="0.2">
      <c r="A173">
        <v>559483</v>
      </c>
      <c r="B173" t="str">
        <f t="shared" si="6"/>
        <v>559483 - 2</v>
      </c>
      <c r="C173">
        <v>8999</v>
      </c>
      <c r="D173" t="s">
        <v>209</v>
      </c>
      <c r="E173" t="s">
        <v>210</v>
      </c>
      <c r="F173" t="s">
        <v>211</v>
      </c>
      <c r="G173" t="s">
        <v>212</v>
      </c>
      <c r="H173">
        <v>1</v>
      </c>
      <c r="I173" t="s">
        <v>194</v>
      </c>
      <c r="J173">
        <v>26</v>
      </c>
      <c r="K173" t="s">
        <v>218</v>
      </c>
      <c r="L173">
        <v>29</v>
      </c>
      <c r="M173" t="s">
        <v>346</v>
      </c>
      <c r="N173">
        <v>1</v>
      </c>
      <c r="O173" s="105">
        <v>43439</v>
      </c>
      <c r="P173">
        <f t="shared" si="7"/>
        <v>5</v>
      </c>
      <c r="Q173">
        <f t="shared" si="8"/>
        <v>2</v>
      </c>
    </row>
    <row r="174" spans="1:17" x14ac:dyDescent="0.2">
      <c r="A174">
        <v>559483</v>
      </c>
      <c r="B174" t="str">
        <f t="shared" si="6"/>
        <v>559483 - 3</v>
      </c>
      <c r="C174">
        <v>8999</v>
      </c>
      <c r="D174" t="s">
        <v>209</v>
      </c>
      <c r="E174" t="s">
        <v>210</v>
      </c>
      <c r="F174" t="s">
        <v>211</v>
      </c>
      <c r="G174" t="s">
        <v>212</v>
      </c>
      <c r="H174">
        <v>1</v>
      </c>
      <c r="I174" t="s">
        <v>194</v>
      </c>
      <c r="J174">
        <v>240</v>
      </c>
      <c r="K174" t="s">
        <v>219</v>
      </c>
      <c r="L174">
        <v>1315</v>
      </c>
      <c r="M174" t="s">
        <v>346</v>
      </c>
      <c r="N174">
        <v>1</v>
      </c>
      <c r="O174" s="105">
        <v>43439</v>
      </c>
      <c r="P174">
        <f t="shared" si="7"/>
        <v>5</v>
      </c>
      <c r="Q174">
        <f t="shared" si="8"/>
        <v>3</v>
      </c>
    </row>
    <row r="175" spans="1:17" x14ac:dyDescent="0.2">
      <c r="A175">
        <v>559483</v>
      </c>
      <c r="B175" t="str">
        <f t="shared" si="6"/>
        <v>559483 - 4</v>
      </c>
      <c r="C175">
        <v>8999</v>
      </c>
      <c r="D175" t="s">
        <v>209</v>
      </c>
      <c r="E175" t="s">
        <v>210</v>
      </c>
      <c r="F175" t="s">
        <v>211</v>
      </c>
      <c r="G175" t="s">
        <v>212</v>
      </c>
      <c r="H175">
        <v>1</v>
      </c>
      <c r="I175" t="s">
        <v>194</v>
      </c>
      <c r="J175">
        <v>242</v>
      </c>
      <c r="K175" t="s">
        <v>217</v>
      </c>
      <c r="L175">
        <v>1500</v>
      </c>
      <c r="M175" t="s">
        <v>346</v>
      </c>
      <c r="N175">
        <v>1</v>
      </c>
      <c r="O175" s="105">
        <v>43439</v>
      </c>
      <c r="P175">
        <f t="shared" si="7"/>
        <v>5</v>
      </c>
      <c r="Q175">
        <f t="shared" si="8"/>
        <v>4</v>
      </c>
    </row>
    <row r="176" spans="1:17" x14ac:dyDescent="0.2">
      <c r="A176">
        <v>559483</v>
      </c>
      <c r="B176" t="str">
        <f t="shared" si="6"/>
        <v>559483 - 5</v>
      </c>
      <c r="C176">
        <v>8999</v>
      </c>
      <c r="D176" t="s">
        <v>209</v>
      </c>
      <c r="E176" t="s">
        <v>210</v>
      </c>
      <c r="F176" t="s">
        <v>211</v>
      </c>
      <c r="G176" t="s">
        <v>212</v>
      </c>
      <c r="H176">
        <v>1</v>
      </c>
      <c r="I176" t="s">
        <v>194</v>
      </c>
      <c r="J176">
        <v>244</v>
      </c>
      <c r="K176" t="s">
        <v>244</v>
      </c>
      <c r="L176">
        <v>180</v>
      </c>
      <c r="M176" t="s">
        <v>346</v>
      </c>
      <c r="N176">
        <v>1</v>
      </c>
      <c r="O176" s="105">
        <v>43439</v>
      </c>
      <c r="P176">
        <f t="shared" si="7"/>
        <v>5</v>
      </c>
      <c r="Q176">
        <f t="shared" si="8"/>
        <v>5</v>
      </c>
    </row>
    <row r="177" spans="1:17" x14ac:dyDescent="0.2">
      <c r="A177">
        <v>559486</v>
      </c>
      <c r="B177" t="str">
        <f t="shared" si="6"/>
        <v>559486 - 1</v>
      </c>
      <c r="C177">
        <v>8999</v>
      </c>
      <c r="D177" t="s">
        <v>209</v>
      </c>
      <c r="E177" t="s">
        <v>210</v>
      </c>
      <c r="F177" t="s">
        <v>211</v>
      </c>
      <c r="G177" t="s">
        <v>212</v>
      </c>
      <c r="H177">
        <v>1</v>
      </c>
      <c r="I177" t="s">
        <v>194</v>
      </c>
      <c r="J177">
        <v>26</v>
      </c>
      <c r="K177" t="s">
        <v>218</v>
      </c>
      <c r="L177">
        <v>29</v>
      </c>
      <c r="M177" t="s">
        <v>346</v>
      </c>
      <c r="N177">
        <v>1</v>
      </c>
      <c r="O177" s="105">
        <v>43439</v>
      </c>
      <c r="P177">
        <f t="shared" si="7"/>
        <v>4</v>
      </c>
      <c r="Q177">
        <f t="shared" si="8"/>
        <v>1</v>
      </c>
    </row>
    <row r="178" spans="1:17" x14ac:dyDescent="0.2">
      <c r="A178">
        <v>559486</v>
      </c>
      <c r="B178" t="str">
        <f t="shared" si="6"/>
        <v>559486 - 2</v>
      </c>
      <c r="C178">
        <v>8999</v>
      </c>
      <c r="D178" t="s">
        <v>209</v>
      </c>
      <c r="E178" t="s">
        <v>210</v>
      </c>
      <c r="F178" t="s">
        <v>211</v>
      </c>
      <c r="G178" t="s">
        <v>212</v>
      </c>
      <c r="H178">
        <v>1</v>
      </c>
      <c r="I178" t="s">
        <v>194</v>
      </c>
      <c r="J178">
        <v>240</v>
      </c>
      <c r="K178" t="s">
        <v>219</v>
      </c>
      <c r="L178">
        <v>726</v>
      </c>
      <c r="M178" t="s">
        <v>346</v>
      </c>
      <c r="N178">
        <v>1</v>
      </c>
      <c r="O178" s="105">
        <v>43439</v>
      </c>
      <c r="P178">
        <f t="shared" si="7"/>
        <v>4</v>
      </c>
      <c r="Q178">
        <f t="shared" si="8"/>
        <v>2</v>
      </c>
    </row>
    <row r="179" spans="1:17" x14ac:dyDescent="0.2">
      <c r="A179">
        <v>559486</v>
      </c>
      <c r="B179" t="str">
        <f t="shared" si="6"/>
        <v>559486 - 3</v>
      </c>
      <c r="C179">
        <v>8999</v>
      </c>
      <c r="D179" t="s">
        <v>209</v>
      </c>
      <c r="E179" t="s">
        <v>210</v>
      </c>
      <c r="F179" t="s">
        <v>211</v>
      </c>
      <c r="G179" t="s">
        <v>212</v>
      </c>
      <c r="H179">
        <v>1</v>
      </c>
      <c r="I179" t="s">
        <v>194</v>
      </c>
      <c r="J179">
        <v>242</v>
      </c>
      <c r="K179" t="s">
        <v>217</v>
      </c>
      <c r="L179">
        <v>1625</v>
      </c>
      <c r="M179" t="s">
        <v>346</v>
      </c>
      <c r="N179">
        <v>1</v>
      </c>
      <c r="O179" s="105">
        <v>43439</v>
      </c>
      <c r="P179">
        <f t="shared" si="7"/>
        <v>4</v>
      </c>
      <c r="Q179">
        <f t="shared" si="8"/>
        <v>3</v>
      </c>
    </row>
    <row r="180" spans="1:17" x14ac:dyDescent="0.2">
      <c r="A180">
        <v>559486</v>
      </c>
      <c r="B180" t="str">
        <f t="shared" si="6"/>
        <v>559486 - 4</v>
      </c>
      <c r="C180">
        <v>8999</v>
      </c>
      <c r="D180" t="s">
        <v>209</v>
      </c>
      <c r="E180" t="s">
        <v>210</v>
      </c>
      <c r="F180" t="s">
        <v>211</v>
      </c>
      <c r="G180" t="s">
        <v>212</v>
      </c>
      <c r="H180">
        <v>1</v>
      </c>
      <c r="I180" t="s">
        <v>194</v>
      </c>
      <c r="J180">
        <v>244</v>
      </c>
      <c r="K180" t="s">
        <v>244</v>
      </c>
      <c r="L180">
        <v>300</v>
      </c>
      <c r="M180" t="s">
        <v>346</v>
      </c>
      <c r="N180">
        <v>1</v>
      </c>
      <c r="O180" s="105">
        <v>43439</v>
      </c>
      <c r="P180">
        <f t="shared" si="7"/>
        <v>4</v>
      </c>
      <c r="Q180">
        <f t="shared" si="8"/>
        <v>4</v>
      </c>
    </row>
    <row r="181" spans="1:17" x14ac:dyDescent="0.2">
      <c r="A181">
        <v>559487</v>
      </c>
      <c r="B181" t="str">
        <f t="shared" si="6"/>
        <v>559487 - 1</v>
      </c>
      <c r="C181">
        <v>2439</v>
      </c>
      <c r="D181" t="s">
        <v>350</v>
      </c>
      <c r="E181" t="s">
        <v>351</v>
      </c>
      <c r="F181" t="s">
        <v>352</v>
      </c>
      <c r="G181" t="s">
        <v>353</v>
      </c>
      <c r="H181">
        <v>20</v>
      </c>
      <c r="I181" t="s">
        <v>286</v>
      </c>
      <c r="J181">
        <v>5</v>
      </c>
      <c r="K181" t="s">
        <v>240</v>
      </c>
      <c r="L181">
        <v>1</v>
      </c>
      <c r="M181" t="s">
        <v>354</v>
      </c>
      <c r="N181">
        <v>1</v>
      </c>
      <c r="O181" s="105">
        <v>43439</v>
      </c>
      <c r="P181">
        <f t="shared" si="7"/>
        <v>1</v>
      </c>
      <c r="Q181">
        <f t="shared" si="8"/>
        <v>1</v>
      </c>
    </row>
    <row r="182" spans="1:17" x14ac:dyDescent="0.2">
      <c r="A182">
        <v>559488</v>
      </c>
      <c r="B182" t="str">
        <f t="shared" si="6"/>
        <v>559488 - 1</v>
      </c>
      <c r="C182">
        <v>2434</v>
      </c>
      <c r="D182" t="s">
        <v>355</v>
      </c>
      <c r="E182" t="s">
        <v>356</v>
      </c>
      <c r="F182" t="s">
        <v>357</v>
      </c>
      <c r="G182" t="s">
        <v>358</v>
      </c>
      <c r="H182">
        <v>20</v>
      </c>
      <c r="I182" t="s">
        <v>286</v>
      </c>
      <c r="J182">
        <v>5</v>
      </c>
      <c r="K182" t="s">
        <v>240</v>
      </c>
      <c r="L182">
        <v>5</v>
      </c>
      <c r="M182" t="s">
        <v>359</v>
      </c>
      <c r="N182">
        <v>1</v>
      </c>
      <c r="O182" s="105">
        <v>43439</v>
      </c>
      <c r="P182">
        <f t="shared" si="7"/>
        <v>1</v>
      </c>
      <c r="Q182">
        <f t="shared" si="8"/>
        <v>1</v>
      </c>
    </row>
    <row r="183" spans="1:17" x14ac:dyDescent="0.2">
      <c r="A183">
        <v>559489</v>
      </c>
      <c r="B183" t="str">
        <f t="shared" si="6"/>
        <v>559489 - 1</v>
      </c>
      <c r="C183">
        <v>2439</v>
      </c>
      <c r="D183" t="s">
        <v>350</v>
      </c>
      <c r="E183" t="s">
        <v>351</v>
      </c>
      <c r="F183" t="s">
        <v>352</v>
      </c>
      <c r="G183" t="s">
        <v>353</v>
      </c>
      <c r="H183">
        <v>20</v>
      </c>
      <c r="I183" t="s">
        <v>286</v>
      </c>
      <c r="J183">
        <v>5</v>
      </c>
      <c r="K183" t="s">
        <v>240</v>
      </c>
      <c r="L183">
        <v>6</v>
      </c>
      <c r="M183" t="s">
        <v>360</v>
      </c>
      <c r="N183">
        <v>1</v>
      </c>
      <c r="O183" s="105">
        <v>43439</v>
      </c>
      <c r="P183">
        <f t="shared" si="7"/>
        <v>1</v>
      </c>
      <c r="Q183">
        <f t="shared" si="8"/>
        <v>1</v>
      </c>
    </row>
    <row r="184" spans="1:17" x14ac:dyDescent="0.2">
      <c r="A184">
        <v>559490</v>
      </c>
      <c r="B184" t="str">
        <f t="shared" si="6"/>
        <v>559490 - 1</v>
      </c>
      <c r="C184">
        <v>2439</v>
      </c>
      <c r="D184" t="s">
        <v>350</v>
      </c>
      <c r="E184" t="s">
        <v>351</v>
      </c>
      <c r="F184" t="s">
        <v>352</v>
      </c>
      <c r="G184" t="s">
        <v>353</v>
      </c>
      <c r="H184">
        <v>20</v>
      </c>
      <c r="I184" t="s">
        <v>286</v>
      </c>
      <c r="J184">
        <v>71</v>
      </c>
      <c r="K184" t="s">
        <v>256</v>
      </c>
      <c r="L184">
        <v>2</v>
      </c>
      <c r="M184" t="s">
        <v>361</v>
      </c>
      <c r="N184">
        <v>1</v>
      </c>
      <c r="O184" s="105">
        <v>43439</v>
      </c>
      <c r="P184">
        <f t="shared" si="7"/>
        <v>1</v>
      </c>
      <c r="Q184">
        <f t="shared" si="8"/>
        <v>1</v>
      </c>
    </row>
    <row r="185" spans="1:17" x14ac:dyDescent="0.2">
      <c r="A185">
        <v>559491</v>
      </c>
      <c r="B185" t="str">
        <f t="shared" si="6"/>
        <v>559491 - 1</v>
      </c>
      <c r="C185">
        <v>2434</v>
      </c>
      <c r="D185" t="s">
        <v>355</v>
      </c>
      <c r="E185" t="s">
        <v>356</v>
      </c>
      <c r="F185" t="s">
        <v>357</v>
      </c>
      <c r="G185" t="s">
        <v>358</v>
      </c>
      <c r="H185">
        <v>20</v>
      </c>
      <c r="I185" t="s">
        <v>286</v>
      </c>
      <c r="J185">
        <v>5</v>
      </c>
      <c r="K185" t="s">
        <v>240</v>
      </c>
      <c r="L185">
        <v>1</v>
      </c>
      <c r="M185" t="s">
        <v>362</v>
      </c>
      <c r="N185">
        <v>1</v>
      </c>
      <c r="O185" s="105">
        <v>43439</v>
      </c>
      <c r="P185">
        <f t="shared" si="7"/>
        <v>1</v>
      </c>
      <c r="Q185">
        <f t="shared" si="8"/>
        <v>1</v>
      </c>
    </row>
    <row r="186" spans="1:17" x14ac:dyDescent="0.2">
      <c r="A186">
        <v>559492</v>
      </c>
      <c r="B186" t="str">
        <f t="shared" si="6"/>
        <v>559492 - 1</v>
      </c>
      <c r="C186">
        <v>2439</v>
      </c>
      <c r="D186" t="s">
        <v>350</v>
      </c>
      <c r="E186" t="s">
        <v>351</v>
      </c>
      <c r="F186" t="s">
        <v>352</v>
      </c>
      <c r="G186" t="s">
        <v>353</v>
      </c>
      <c r="H186">
        <v>20</v>
      </c>
      <c r="I186" t="s">
        <v>286</v>
      </c>
      <c r="J186">
        <v>5</v>
      </c>
      <c r="K186" t="s">
        <v>240</v>
      </c>
      <c r="L186">
        <v>1</v>
      </c>
      <c r="M186" t="s">
        <v>363</v>
      </c>
      <c r="N186">
        <v>1</v>
      </c>
      <c r="O186" s="105">
        <v>43439</v>
      </c>
      <c r="P186">
        <f t="shared" si="7"/>
        <v>1</v>
      </c>
      <c r="Q186">
        <f t="shared" si="8"/>
        <v>1</v>
      </c>
    </row>
    <row r="187" spans="1:17" x14ac:dyDescent="0.2">
      <c r="A187">
        <v>559493</v>
      </c>
      <c r="B187" t="str">
        <f t="shared" si="6"/>
        <v>559493 - 1</v>
      </c>
      <c r="C187">
        <v>2439</v>
      </c>
      <c r="D187" t="s">
        <v>350</v>
      </c>
      <c r="E187" t="s">
        <v>351</v>
      </c>
      <c r="F187" t="s">
        <v>352</v>
      </c>
      <c r="G187" t="s">
        <v>353</v>
      </c>
      <c r="H187">
        <v>20</v>
      </c>
      <c r="I187" t="s">
        <v>286</v>
      </c>
      <c r="J187">
        <v>5</v>
      </c>
      <c r="K187" t="s">
        <v>240</v>
      </c>
      <c r="L187">
        <v>5</v>
      </c>
      <c r="M187" t="s">
        <v>364</v>
      </c>
      <c r="N187">
        <v>1</v>
      </c>
      <c r="O187" s="105">
        <v>43439</v>
      </c>
      <c r="P187">
        <f t="shared" si="7"/>
        <v>1</v>
      </c>
      <c r="Q187">
        <f t="shared" si="8"/>
        <v>1</v>
      </c>
    </row>
    <row r="188" spans="1:17" x14ac:dyDescent="0.2">
      <c r="A188">
        <v>559494</v>
      </c>
      <c r="B188" t="str">
        <f t="shared" si="6"/>
        <v>559494 - 1</v>
      </c>
      <c r="C188">
        <v>2434</v>
      </c>
      <c r="D188" t="s">
        <v>355</v>
      </c>
      <c r="E188" t="s">
        <v>356</v>
      </c>
      <c r="F188" t="s">
        <v>357</v>
      </c>
      <c r="G188" t="s">
        <v>358</v>
      </c>
      <c r="H188">
        <v>20</v>
      </c>
      <c r="I188" t="s">
        <v>286</v>
      </c>
      <c r="J188">
        <v>5</v>
      </c>
      <c r="K188" t="s">
        <v>240</v>
      </c>
      <c r="L188">
        <v>1</v>
      </c>
      <c r="M188" t="s">
        <v>365</v>
      </c>
      <c r="N188">
        <v>1</v>
      </c>
      <c r="O188" s="105">
        <v>43439</v>
      </c>
      <c r="P188">
        <f t="shared" si="7"/>
        <v>1</v>
      </c>
      <c r="Q188">
        <f t="shared" si="8"/>
        <v>1</v>
      </c>
    </row>
    <row r="189" spans="1:17" x14ac:dyDescent="0.2">
      <c r="A189">
        <v>559495</v>
      </c>
      <c r="B189" t="str">
        <f t="shared" si="6"/>
        <v>559495 - 1</v>
      </c>
      <c r="C189">
        <v>2439</v>
      </c>
      <c r="D189" t="s">
        <v>350</v>
      </c>
      <c r="E189" t="s">
        <v>351</v>
      </c>
      <c r="F189" t="s">
        <v>352</v>
      </c>
      <c r="G189" t="s">
        <v>353</v>
      </c>
      <c r="H189">
        <v>20</v>
      </c>
      <c r="I189" t="s">
        <v>286</v>
      </c>
      <c r="J189">
        <v>5</v>
      </c>
      <c r="K189" t="s">
        <v>240</v>
      </c>
      <c r="L189">
        <v>8</v>
      </c>
      <c r="M189" t="s">
        <v>366</v>
      </c>
      <c r="N189">
        <v>1</v>
      </c>
      <c r="O189" s="105">
        <v>43439</v>
      </c>
      <c r="P189">
        <f t="shared" si="7"/>
        <v>1</v>
      </c>
      <c r="Q189">
        <f t="shared" si="8"/>
        <v>1</v>
      </c>
    </row>
    <row r="190" spans="1:17" x14ac:dyDescent="0.2">
      <c r="A190">
        <v>559496</v>
      </c>
      <c r="B190" t="str">
        <f t="shared" si="6"/>
        <v>559496 - 1</v>
      </c>
      <c r="C190">
        <v>2439</v>
      </c>
      <c r="D190" t="s">
        <v>350</v>
      </c>
      <c r="E190" t="s">
        <v>351</v>
      </c>
      <c r="F190" t="s">
        <v>352</v>
      </c>
      <c r="G190" t="s">
        <v>353</v>
      </c>
      <c r="H190">
        <v>20</v>
      </c>
      <c r="I190" t="s">
        <v>286</v>
      </c>
      <c r="J190">
        <v>72</v>
      </c>
      <c r="K190" t="s">
        <v>367</v>
      </c>
      <c r="L190">
        <v>2</v>
      </c>
      <c r="M190" t="s">
        <v>368</v>
      </c>
      <c r="N190">
        <v>1</v>
      </c>
      <c r="O190" s="105">
        <v>43439</v>
      </c>
      <c r="P190">
        <f t="shared" si="7"/>
        <v>1</v>
      </c>
      <c r="Q190">
        <f t="shared" si="8"/>
        <v>1</v>
      </c>
    </row>
    <row r="191" spans="1:17" x14ac:dyDescent="0.2">
      <c r="A191">
        <v>559497</v>
      </c>
      <c r="B191" t="str">
        <f t="shared" si="6"/>
        <v>559497 - 1</v>
      </c>
      <c r="C191">
        <v>2434</v>
      </c>
      <c r="D191" t="s">
        <v>355</v>
      </c>
      <c r="E191" t="s">
        <v>356</v>
      </c>
      <c r="F191" t="s">
        <v>357</v>
      </c>
      <c r="G191" t="s">
        <v>358</v>
      </c>
      <c r="H191">
        <v>20</v>
      </c>
      <c r="I191" t="s">
        <v>286</v>
      </c>
      <c r="J191">
        <v>5</v>
      </c>
      <c r="K191" t="s">
        <v>240</v>
      </c>
      <c r="L191">
        <v>2</v>
      </c>
      <c r="M191" t="s">
        <v>369</v>
      </c>
      <c r="N191">
        <v>1</v>
      </c>
      <c r="O191" s="105">
        <v>43439</v>
      </c>
      <c r="P191">
        <f t="shared" si="7"/>
        <v>1</v>
      </c>
      <c r="Q191">
        <f t="shared" si="8"/>
        <v>1</v>
      </c>
    </row>
    <row r="192" spans="1:17" x14ac:dyDescent="0.2">
      <c r="A192">
        <v>559498</v>
      </c>
      <c r="B192" t="str">
        <f t="shared" si="6"/>
        <v>559498 - 1</v>
      </c>
      <c r="C192">
        <v>2434</v>
      </c>
      <c r="D192" t="s">
        <v>355</v>
      </c>
      <c r="E192" t="s">
        <v>356</v>
      </c>
      <c r="F192" t="s">
        <v>357</v>
      </c>
      <c r="G192" t="s">
        <v>358</v>
      </c>
      <c r="H192">
        <v>20</v>
      </c>
      <c r="I192" t="s">
        <v>286</v>
      </c>
      <c r="J192">
        <v>5</v>
      </c>
      <c r="K192" t="s">
        <v>240</v>
      </c>
      <c r="L192">
        <v>1</v>
      </c>
      <c r="M192" t="s">
        <v>370</v>
      </c>
      <c r="N192">
        <v>1</v>
      </c>
      <c r="O192" s="105">
        <v>43439</v>
      </c>
      <c r="P192">
        <f t="shared" si="7"/>
        <v>1</v>
      </c>
      <c r="Q192">
        <f t="shared" si="8"/>
        <v>1</v>
      </c>
    </row>
    <row r="193" spans="1:17" x14ac:dyDescent="0.2">
      <c r="A193">
        <v>559499</v>
      </c>
      <c r="B193" t="str">
        <f t="shared" si="6"/>
        <v>559499 - 1</v>
      </c>
      <c r="C193">
        <v>2439</v>
      </c>
      <c r="D193" t="s">
        <v>350</v>
      </c>
      <c r="E193" t="s">
        <v>351</v>
      </c>
      <c r="F193" t="s">
        <v>352</v>
      </c>
      <c r="G193" t="s">
        <v>353</v>
      </c>
      <c r="H193">
        <v>20</v>
      </c>
      <c r="I193" t="s">
        <v>286</v>
      </c>
      <c r="J193">
        <v>5</v>
      </c>
      <c r="K193" t="s">
        <v>240</v>
      </c>
      <c r="L193">
        <v>2</v>
      </c>
      <c r="M193" t="s">
        <v>371</v>
      </c>
      <c r="N193">
        <v>1</v>
      </c>
      <c r="O193" s="105">
        <v>43439</v>
      </c>
      <c r="P193">
        <f t="shared" si="7"/>
        <v>1</v>
      </c>
      <c r="Q193">
        <f t="shared" si="8"/>
        <v>1</v>
      </c>
    </row>
    <row r="194" spans="1:17" x14ac:dyDescent="0.2">
      <c r="A194">
        <v>559500</v>
      </c>
      <c r="B194" t="str">
        <f t="shared" si="6"/>
        <v>559500 - 1</v>
      </c>
      <c r="C194">
        <v>2439</v>
      </c>
      <c r="D194" t="s">
        <v>350</v>
      </c>
      <c r="E194" t="s">
        <v>351</v>
      </c>
      <c r="F194" t="s">
        <v>352</v>
      </c>
      <c r="G194" t="s">
        <v>353</v>
      </c>
      <c r="H194">
        <v>20</v>
      </c>
      <c r="I194" t="s">
        <v>286</v>
      </c>
      <c r="J194">
        <v>5</v>
      </c>
      <c r="K194" t="s">
        <v>240</v>
      </c>
      <c r="L194">
        <v>1</v>
      </c>
      <c r="M194" t="s">
        <v>372</v>
      </c>
      <c r="N194">
        <v>1</v>
      </c>
      <c r="O194" s="105">
        <v>43439</v>
      </c>
      <c r="P194">
        <f t="shared" si="7"/>
        <v>1</v>
      </c>
      <c r="Q194">
        <f t="shared" si="8"/>
        <v>1</v>
      </c>
    </row>
    <row r="195" spans="1:17" x14ac:dyDescent="0.2">
      <c r="A195">
        <v>559501</v>
      </c>
      <c r="B195" t="str">
        <f t="shared" si="6"/>
        <v>559501 - 1</v>
      </c>
      <c r="C195">
        <v>2439</v>
      </c>
      <c r="D195" t="s">
        <v>350</v>
      </c>
      <c r="E195" t="s">
        <v>351</v>
      </c>
      <c r="F195" t="s">
        <v>352</v>
      </c>
      <c r="G195" t="s">
        <v>353</v>
      </c>
      <c r="H195">
        <v>20</v>
      </c>
      <c r="I195" t="s">
        <v>286</v>
      </c>
      <c r="J195">
        <v>5</v>
      </c>
      <c r="K195" t="s">
        <v>240</v>
      </c>
      <c r="L195">
        <v>2</v>
      </c>
      <c r="M195" t="s">
        <v>373</v>
      </c>
      <c r="N195">
        <v>1</v>
      </c>
      <c r="O195" s="105">
        <v>43439</v>
      </c>
      <c r="P195">
        <f t="shared" si="7"/>
        <v>2</v>
      </c>
      <c r="Q195">
        <f t="shared" si="8"/>
        <v>1</v>
      </c>
    </row>
    <row r="196" spans="1:17" x14ac:dyDescent="0.2">
      <c r="A196">
        <v>559501</v>
      </c>
      <c r="B196" t="str">
        <f t="shared" si="6"/>
        <v>559501 - 2</v>
      </c>
      <c r="C196">
        <v>2439</v>
      </c>
      <c r="D196" t="s">
        <v>350</v>
      </c>
      <c r="E196" t="s">
        <v>351</v>
      </c>
      <c r="F196" t="s">
        <v>352</v>
      </c>
      <c r="G196" t="s">
        <v>353</v>
      </c>
      <c r="H196">
        <v>20</v>
      </c>
      <c r="I196" t="s">
        <v>286</v>
      </c>
      <c r="J196">
        <v>72</v>
      </c>
      <c r="K196" t="s">
        <v>367</v>
      </c>
      <c r="L196">
        <v>1</v>
      </c>
      <c r="M196" t="s">
        <v>373</v>
      </c>
      <c r="N196">
        <v>1</v>
      </c>
      <c r="O196" s="105">
        <v>43439</v>
      </c>
      <c r="P196">
        <f t="shared" si="7"/>
        <v>2</v>
      </c>
      <c r="Q196">
        <f t="shared" si="8"/>
        <v>2</v>
      </c>
    </row>
    <row r="197" spans="1:17" x14ac:dyDescent="0.2">
      <c r="A197">
        <v>559502</v>
      </c>
      <c r="B197" t="str">
        <f t="shared" ref="B197:B260" si="9">CONCATENATE(A197," - ",Q197)</f>
        <v>559502 - 1</v>
      </c>
      <c r="C197">
        <v>2439</v>
      </c>
      <c r="D197" t="s">
        <v>350</v>
      </c>
      <c r="E197" t="s">
        <v>351</v>
      </c>
      <c r="F197" t="s">
        <v>352</v>
      </c>
      <c r="G197" t="s">
        <v>353</v>
      </c>
      <c r="H197">
        <v>20</v>
      </c>
      <c r="I197" t="s">
        <v>286</v>
      </c>
      <c r="J197">
        <v>72</v>
      </c>
      <c r="K197" t="s">
        <v>367</v>
      </c>
      <c r="L197">
        <v>1</v>
      </c>
      <c r="M197" t="s">
        <v>374</v>
      </c>
      <c r="N197">
        <v>1</v>
      </c>
      <c r="O197" s="105">
        <v>43439</v>
      </c>
      <c r="P197">
        <f t="shared" ref="P197:P260" si="10">+COUNTIF(A:A,A197)</f>
        <v>1</v>
      </c>
      <c r="Q197">
        <f t="shared" ref="Q197:Q260" si="11">IF(A197=A196,Q196+1,1)</f>
        <v>1</v>
      </c>
    </row>
    <row r="198" spans="1:17" x14ac:dyDescent="0.2">
      <c r="A198">
        <v>559503</v>
      </c>
      <c r="B198" t="str">
        <f t="shared" si="9"/>
        <v>559503 - 1</v>
      </c>
      <c r="C198">
        <v>2439</v>
      </c>
      <c r="D198" t="s">
        <v>350</v>
      </c>
      <c r="E198" t="s">
        <v>351</v>
      </c>
      <c r="F198" t="s">
        <v>352</v>
      </c>
      <c r="G198" t="s">
        <v>353</v>
      </c>
      <c r="H198">
        <v>20</v>
      </c>
      <c r="I198" t="s">
        <v>286</v>
      </c>
      <c r="J198">
        <v>72</v>
      </c>
      <c r="K198" t="s">
        <v>367</v>
      </c>
      <c r="L198">
        <v>1</v>
      </c>
      <c r="M198" t="s">
        <v>375</v>
      </c>
      <c r="N198">
        <v>1</v>
      </c>
      <c r="O198" s="105">
        <v>43439</v>
      </c>
      <c r="P198">
        <f t="shared" si="10"/>
        <v>1</v>
      </c>
      <c r="Q198">
        <f t="shared" si="11"/>
        <v>1</v>
      </c>
    </row>
    <row r="199" spans="1:17" x14ac:dyDescent="0.2">
      <c r="A199">
        <v>559504</v>
      </c>
      <c r="B199" t="str">
        <f t="shared" si="9"/>
        <v>559504 - 1</v>
      </c>
      <c r="C199">
        <v>2439</v>
      </c>
      <c r="D199" t="s">
        <v>350</v>
      </c>
      <c r="E199" t="s">
        <v>351</v>
      </c>
      <c r="F199" t="s">
        <v>352</v>
      </c>
      <c r="G199" t="s">
        <v>353</v>
      </c>
      <c r="H199">
        <v>20</v>
      </c>
      <c r="I199" t="s">
        <v>286</v>
      </c>
      <c r="J199">
        <v>72</v>
      </c>
      <c r="K199" t="s">
        <v>367</v>
      </c>
      <c r="L199">
        <v>2</v>
      </c>
      <c r="M199" t="s">
        <v>376</v>
      </c>
      <c r="N199">
        <v>1</v>
      </c>
      <c r="O199" s="105">
        <v>43439</v>
      </c>
      <c r="P199">
        <f t="shared" si="10"/>
        <v>1</v>
      </c>
      <c r="Q199">
        <f t="shared" si="11"/>
        <v>1</v>
      </c>
    </row>
    <row r="200" spans="1:17" x14ac:dyDescent="0.2">
      <c r="A200">
        <v>559505</v>
      </c>
      <c r="B200" t="str">
        <f t="shared" si="9"/>
        <v>559505 - 1</v>
      </c>
      <c r="C200">
        <v>2439</v>
      </c>
      <c r="D200" t="s">
        <v>350</v>
      </c>
      <c r="E200" t="s">
        <v>351</v>
      </c>
      <c r="F200" t="s">
        <v>352</v>
      </c>
      <c r="G200" t="s">
        <v>353</v>
      </c>
      <c r="H200">
        <v>20</v>
      </c>
      <c r="I200" t="s">
        <v>286</v>
      </c>
      <c r="J200">
        <v>5</v>
      </c>
      <c r="K200" t="s">
        <v>240</v>
      </c>
      <c r="L200">
        <v>2</v>
      </c>
      <c r="M200" t="s">
        <v>377</v>
      </c>
      <c r="N200">
        <v>1</v>
      </c>
      <c r="O200" s="105">
        <v>43439</v>
      </c>
      <c r="P200">
        <f t="shared" si="10"/>
        <v>1</v>
      </c>
      <c r="Q200">
        <f t="shared" si="11"/>
        <v>1</v>
      </c>
    </row>
    <row r="201" spans="1:17" x14ac:dyDescent="0.2">
      <c r="A201">
        <v>559506</v>
      </c>
      <c r="B201" t="str">
        <f t="shared" si="9"/>
        <v>559506 - 1</v>
      </c>
      <c r="C201">
        <v>2439</v>
      </c>
      <c r="D201" t="s">
        <v>350</v>
      </c>
      <c r="E201" t="s">
        <v>351</v>
      </c>
      <c r="F201" t="s">
        <v>352</v>
      </c>
      <c r="G201" t="s">
        <v>353</v>
      </c>
      <c r="H201">
        <v>20</v>
      </c>
      <c r="I201" t="s">
        <v>286</v>
      </c>
      <c r="J201">
        <v>5</v>
      </c>
      <c r="K201" t="s">
        <v>240</v>
      </c>
      <c r="L201">
        <v>1</v>
      </c>
      <c r="M201" t="s">
        <v>378</v>
      </c>
      <c r="N201">
        <v>1</v>
      </c>
      <c r="O201" s="105">
        <v>43439</v>
      </c>
      <c r="P201">
        <f t="shared" si="10"/>
        <v>1</v>
      </c>
      <c r="Q201">
        <f t="shared" si="11"/>
        <v>1</v>
      </c>
    </row>
    <row r="202" spans="1:17" x14ac:dyDescent="0.2">
      <c r="A202">
        <v>559507</v>
      </c>
      <c r="B202" t="str">
        <f t="shared" si="9"/>
        <v>559507 - 1</v>
      </c>
      <c r="C202">
        <v>2439</v>
      </c>
      <c r="D202" t="s">
        <v>350</v>
      </c>
      <c r="E202" t="s">
        <v>351</v>
      </c>
      <c r="F202" t="s">
        <v>352</v>
      </c>
      <c r="G202" t="s">
        <v>353</v>
      </c>
      <c r="H202">
        <v>20</v>
      </c>
      <c r="I202" t="s">
        <v>286</v>
      </c>
      <c r="J202">
        <v>72</v>
      </c>
      <c r="K202" t="s">
        <v>367</v>
      </c>
      <c r="L202">
        <v>1</v>
      </c>
      <c r="M202" t="s">
        <v>379</v>
      </c>
      <c r="N202">
        <v>1</v>
      </c>
      <c r="O202" s="105">
        <v>43439</v>
      </c>
      <c r="P202">
        <f t="shared" si="10"/>
        <v>1</v>
      </c>
      <c r="Q202">
        <f t="shared" si="11"/>
        <v>1</v>
      </c>
    </row>
    <row r="203" spans="1:17" x14ac:dyDescent="0.2">
      <c r="A203">
        <v>559508</v>
      </c>
      <c r="B203" t="str">
        <f t="shared" si="9"/>
        <v>559508 - 1</v>
      </c>
      <c r="C203">
        <v>2439</v>
      </c>
      <c r="D203" t="s">
        <v>350</v>
      </c>
      <c r="E203" t="s">
        <v>351</v>
      </c>
      <c r="F203" t="s">
        <v>352</v>
      </c>
      <c r="G203" t="s">
        <v>353</v>
      </c>
      <c r="H203">
        <v>20</v>
      </c>
      <c r="I203" t="s">
        <v>286</v>
      </c>
      <c r="J203">
        <v>5</v>
      </c>
      <c r="K203" t="s">
        <v>240</v>
      </c>
      <c r="L203">
        <v>2</v>
      </c>
      <c r="M203" t="s">
        <v>380</v>
      </c>
      <c r="N203">
        <v>1</v>
      </c>
      <c r="O203" s="105">
        <v>43439</v>
      </c>
      <c r="P203">
        <f t="shared" si="10"/>
        <v>2</v>
      </c>
      <c r="Q203">
        <f t="shared" si="11"/>
        <v>1</v>
      </c>
    </row>
    <row r="204" spans="1:17" x14ac:dyDescent="0.2">
      <c r="A204">
        <v>559508</v>
      </c>
      <c r="B204" t="str">
        <f t="shared" si="9"/>
        <v>559508 - 2</v>
      </c>
      <c r="C204">
        <v>2439</v>
      </c>
      <c r="D204" t="s">
        <v>350</v>
      </c>
      <c r="E204" t="s">
        <v>351</v>
      </c>
      <c r="F204" t="s">
        <v>352</v>
      </c>
      <c r="G204" t="s">
        <v>353</v>
      </c>
      <c r="H204">
        <v>20</v>
      </c>
      <c r="I204" t="s">
        <v>286</v>
      </c>
      <c r="J204">
        <v>12</v>
      </c>
      <c r="K204" t="s">
        <v>228</v>
      </c>
      <c r="L204">
        <v>2</v>
      </c>
      <c r="M204" t="s">
        <v>380</v>
      </c>
      <c r="N204">
        <v>1</v>
      </c>
      <c r="O204" s="105">
        <v>43439</v>
      </c>
      <c r="P204">
        <f t="shared" si="10"/>
        <v>2</v>
      </c>
      <c r="Q204">
        <f t="shared" si="11"/>
        <v>2</v>
      </c>
    </row>
    <row r="205" spans="1:17" x14ac:dyDescent="0.2">
      <c r="A205">
        <v>559509</v>
      </c>
      <c r="B205" t="str">
        <f t="shared" si="9"/>
        <v>559509 - 1</v>
      </c>
      <c r="C205">
        <v>2439</v>
      </c>
      <c r="D205" t="s">
        <v>350</v>
      </c>
      <c r="E205" t="s">
        <v>351</v>
      </c>
      <c r="F205" t="s">
        <v>352</v>
      </c>
      <c r="G205" t="s">
        <v>353</v>
      </c>
      <c r="H205">
        <v>20</v>
      </c>
      <c r="I205" t="s">
        <v>286</v>
      </c>
      <c r="J205">
        <v>5</v>
      </c>
      <c r="K205" t="s">
        <v>240</v>
      </c>
      <c r="L205">
        <v>1</v>
      </c>
      <c r="M205" t="s">
        <v>381</v>
      </c>
      <c r="N205">
        <v>1</v>
      </c>
      <c r="O205" s="105">
        <v>43439</v>
      </c>
      <c r="P205">
        <f t="shared" si="10"/>
        <v>2</v>
      </c>
      <c r="Q205">
        <f t="shared" si="11"/>
        <v>1</v>
      </c>
    </row>
    <row r="206" spans="1:17" x14ac:dyDescent="0.2">
      <c r="A206">
        <v>559509</v>
      </c>
      <c r="B206" t="str">
        <f t="shared" si="9"/>
        <v>559509 - 2</v>
      </c>
      <c r="C206">
        <v>2439</v>
      </c>
      <c r="D206" t="s">
        <v>350</v>
      </c>
      <c r="E206" t="s">
        <v>351</v>
      </c>
      <c r="F206" t="s">
        <v>352</v>
      </c>
      <c r="G206" t="s">
        <v>353</v>
      </c>
      <c r="H206">
        <v>20</v>
      </c>
      <c r="I206" t="s">
        <v>286</v>
      </c>
      <c r="J206">
        <v>72</v>
      </c>
      <c r="K206" t="s">
        <v>367</v>
      </c>
      <c r="L206">
        <v>1</v>
      </c>
      <c r="M206" t="s">
        <v>381</v>
      </c>
      <c r="N206">
        <v>1</v>
      </c>
      <c r="O206" s="105">
        <v>43439</v>
      </c>
      <c r="P206">
        <f t="shared" si="10"/>
        <v>2</v>
      </c>
      <c r="Q206">
        <f t="shared" si="11"/>
        <v>2</v>
      </c>
    </row>
    <row r="207" spans="1:17" x14ac:dyDescent="0.2">
      <c r="A207">
        <v>559510</v>
      </c>
      <c r="B207" t="str">
        <f t="shared" si="9"/>
        <v>559510 - 1</v>
      </c>
      <c r="C207">
        <v>2439</v>
      </c>
      <c r="D207" t="s">
        <v>350</v>
      </c>
      <c r="E207" t="s">
        <v>351</v>
      </c>
      <c r="F207" t="s">
        <v>352</v>
      </c>
      <c r="G207" t="s">
        <v>353</v>
      </c>
      <c r="H207">
        <v>20</v>
      </c>
      <c r="I207" t="s">
        <v>286</v>
      </c>
      <c r="J207">
        <v>5</v>
      </c>
      <c r="K207" t="s">
        <v>240</v>
      </c>
      <c r="L207">
        <v>2</v>
      </c>
      <c r="M207" t="s">
        <v>382</v>
      </c>
      <c r="N207">
        <v>1</v>
      </c>
      <c r="O207" s="105">
        <v>43439</v>
      </c>
      <c r="P207">
        <f t="shared" si="10"/>
        <v>1</v>
      </c>
      <c r="Q207">
        <f t="shared" si="11"/>
        <v>1</v>
      </c>
    </row>
    <row r="208" spans="1:17" x14ac:dyDescent="0.2">
      <c r="A208">
        <v>559511</v>
      </c>
      <c r="B208" t="str">
        <f t="shared" si="9"/>
        <v>559511 - 1</v>
      </c>
      <c r="C208">
        <v>2439</v>
      </c>
      <c r="D208" t="s">
        <v>350</v>
      </c>
      <c r="E208" t="s">
        <v>351</v>
      </c>
      <c r="F208" t="s">
        <v>352</v>
      </c>
      <c r="G208" t="s">
        <v>353</v>
      </c>
      <c r="H208">
        <v>20</v>
      </c>
      <c r="I208" t="s">
        <v>286</v>
      </c>
      <c r="J208">
        <v>5</v>
      </c>
      <c r="K208" t="s">
        <v>240</v>
      </c>
      <c r="L208">
        <v>2</v>
      </c>
      <c r="M208" t="s">
        <v>383</v>
      </c>
      <c r="N208">
        <v>1</v>
      </c>
      <c r="O208" s="105">
        <v>43439</v>
      </c>
      <c r="P208">
        <f t="shared" si="10"/>
        <v>1</v>
      </c>
      <c r="Q208">
        <f t="shared" si="11"/>
        <v>1</v>
      </c>
    </row>
    <row r="209" spans="1:17" x14ac:dyDescent="0.2">
      <c r="A209">
        <v>559512</v>
      </c>
      <c r="B209" t="str">
        <f t="shared" si="9"/>
        <v>559512 - 1</v>
      </c>
      <c r="C209">
        <v>2439</v>
      </c>
      <c r="D209" t="s">
        <v>350</v>
      </c>
      <c r="E209" t="s">
        <v>351</v>
      </c>
      <c r="F209" t="s">
        <v>352</v>
      </c>
      <c r="G209" t="s">
        <v>353</v>
      </c>
      <c r="H209">
        <v>20</v>
      </c>
      <c r="I209" t="s">
        <v>286</v>
      </c>
      <c r="J209">
        <v>72</v>
      </c>
      <c r="K209" t="s">
        <v>367</v>
      </c>
      <c r="L209">
        <v>2</v>
      </c>
      <c r="M209" t="s">
        <v>384</v>
      </c>
      <c r="N209">
        <v>1</v>
      </c>
      <c r="O209" s="105">
        <v>43439</v>
      </c>
      <c r="P209">
        <f t="shared" si="10"/>
        <v>1</v>
      </c>
      <c r="Q209">
        <f t="shared" si="11"/>
        <v>1</v>
      </c>
    </row>
    <row r="210" spans="1:17" x14ac:dyDescent="0.2">
      <c r="A210">
        <v>559513</v>
      </c>
      <c r="B210" t="str">
        <f t="shared" si="9"/>
        <v>559513 - 1</v>
      </c>
      <c r="C210">
        <v>2439</v>
      </c>
      <c r="D210" t="s">
        <v>350</v>
      </c>
      <c r="E210" t="s">
        <v>351</v>
      </c>
      <c r="F210" t="s">
        <v>352</v>
      </c>
      <c r="G210" t="s">
        <v>353</v>
      </c>
      <c r="H210">
        <v>20</v>
      </c>
      <c r="I210" t="s">
        <v>286</v>
      </c>
      <c r="J210">
        <v>5</v>
      </c>
      <c r="K210" t="s">
        <v>240</v>
      </c>
      <c r="L210">
        <v>2</v>
      </c>
      <c r="M210" t="s">
        <v>385</v>
      </c>
      <c r="N210">
        <v>1</v>
      </c>
      <c r="O210" s="105">
        <v>43439</v>
      </c>
      <c r="P210">
        <f t="shared" si="10"/>
        <v>1</v>
      </c>
      <c r="Q210">
        <f t="shared" si="11"/>
        <v>1</v>
      </c>
    </row>
    <row r="211" spans="1:17" x14ac:dyDescent="0.2">
      <c r="A211">
        <v>559514</v>
      </c>
      <c r="B211" t="str">
        <f t="shared" si="9"/>
        <v>559514 - 1</v>
      </c>
      <c r="C211">
        <v>2439</v>
      </c>
      <c r="D211" t="s">
        <v>350</v>
      </c>
      <c r="E211" t="s">
        <v>351</v>
      </c>
      <c r="F211" t="s">
        <v>352</v>
      </c>
      <c r="G211" t="s">
        <v>353</v>
      </c>
      <c r="H211">
        <v>20</v>
      </c>
      <c r="I211" t="s">
        <v>286</v>
      </c>
      <c r="J211">
        <v>72</v>
      </c>
      <c r="K211" t="s">
        <v>367</v>
      </c>
      <c r="L211">
        <v>1</v>
      </c>
      <c r="M211" t="s">
        <v>386</v>
      </c>
      <c r="N211">
        <v>1</v>
      </c>
      <c r="O211" s="105">
        <v>43439</v>
      </c>
      <c r="P211">
        <f t="shared" si="10"/>
        <v>1</v>
      </c>
      <c r="Q211">
        <f t="shared" si="11"/>
        <v>1</v>
      </c>
    </row>
    <row r="212" spans="1:17" x14ac:dyDescent="0.2">
      <c r="A212">
        <v>559515</v>
      </c>
      <c r="B212" t="str">
        <f t="shared" si="9"/>
        <v>559515 - 1</v>
      </c>
      <c r="C212">
        <v>2439</v>
      </c>
      <c r="D212" t="s">
        <v>350</v>
      </c>
      <c r="E212" t="s">
        <v>351</v>
      </c>
      <c r="F212" t="s">
        <v>352</v>
      </c>
      <c r="G212" t="s">
        <v>353</v>
      </c>
      <c r="H212">
        <v>20</v>
      </c>
      <c r="I212" t="s">
        <v>286</v>
      </c>
      <c r="J212">
        <v>72</v>
      </c>
      <c r="K212" t="s">
        <v>367</v>
      </c>
      <c r="L212">
        <v>1</v>
      </c>
      <c r="M212" t="s">
        <v>387</v>
      </c>
      <c r="N212">
        <v>1</v>
      </c>
      <c r="O212" s="105">
        <v>43439</v>
      </c>
      <c r="P212">
        <f t="shared" si="10"/>
        <v>1</v>
      </c>
      <c r="Q212">
        <f t="shared" si="11"/>
        <v>1</v>
      </c>
    </row>
    <row r="213" spans="1:17" x14ac:dyDescent="0.2">
      <c r="A213">
        <v>559516</v>
      </c>
      <c r="B213" t="str">
        <f t="shared" si="9"/>
        <v>559516 - 1</v>
      </c>
      <c r="C213">
        <v>2439</v>
      </c>
      <c r="D213" t="s">
        <v>350</v>
      </c>
      <c r="E213" t="s">
        <v>351</v>
      </c>
      <c r="F213" t="s">
        <v>352</v>
      </c>
      <c r="G213" t="s">
        <v>353</v>
      </c>
      <c r="H213">
        <v>20</v>
      </c>
      <c r="I213" t="s">
        <v>286</v>
      </c>
      <c r="J213">
        <v>5</v>
      </c>
      <c r="K213" t="s">
        <v>240</v>
      </c>
      <c r="L213">
        <v>13</v>
      </c>
      <c r="M213" t="s">
        <v>388</v>
      </c>
      <c r="N213">
        <v>1</v>
      </c>
      <c r="O213" s="105">
        <v>43439</v>
      </c>
      <c r="P213">
        <f t="shared" si="10"/>
        <v>1</v>
      </c>
      <c r="Q213">
        <f t="shared" si="11"/>
        <v>1</v>
      </c>
    </row>
    <row r="214" spans="1:17" x14ac:dyDescent="0.2">
      <c r="A214">
        <v>559517</v>
      </c>
      <c r="B214" t="str">
        <f t="shared" si="9"/>
        <v>559517 - 1</v>
      </c>
      <c r="C214">
        <v>3257</v>
      </c>
      <c r="D214" t="s">
        <v>389</v>
      </c>
      <c r="E214" t="s">
        <v>390</v>
      </c>
      <c r="F214" t="s">
        <v>391</v>
      </c>
      <c r="G214" t="s">
        <v>392</v>
      </c>
      <c r="H214">
        <v>22</v>
      </c>
      <c r="I214" t="s">
        <v>329</v>
      </c>
      <c r="J214">
        <v>61</v>
      </c>
      <c r="K214" t="s">
        <v>330</v>
      </c>
      <c r="L214">
        <v>216</v>
      </c>
      <c r="M214" t="s">
        <v>393</v>
      </c>
      <c r="N214">
        <v>1</v>
      </c>
      <c r="O214" s="105">
        <v>43439</v>
      </c>
      <c r="P214">
        <f t="shared" si="10"/>
        <v>2</v>
      </c>
      <c r="Q214">
        <f t="shared" si="11"/>
        <v>1</v>
      </c>
    </row>
    <row r="215" spans="1:17" x14ac:dyDescent="0.2">
      <c r="A215">
        <v>559517</v>
      </c>
      <c r="B215" t="str">
        <f t="shared" si="9"/>
        <v>559517 - 2</v>
      </c>
      <c r="C215">
        <v>3257</v>
      </c>
      <c r="D215" t="s">
        <v>389</v>
      </c>
      <c r="E215" t="s">
        <v>390</v>
      </c>
      <c r="F215" t="s">
        <v>391</v>
      </c>
      <c r="G215" t="s">
        <v>392</v>
      </c>
      <c r="H215">
        <v>22</v>
      </c>
      <c r="I215" t="s">
        <v>329</v>
      </c>
      <c r="J215">
        <v>70</v>
      </c>
      <c r="K215" t="s">
        <v>200</v>
      </c>
      <c r="L215">
        <v>6</v>
      </c>
      <c r="M215" t="s">
        <v>393</v>
      </c>
      <c r="N215">
        <v>1</v>
      </c>
      <c r="O215" s="105">
        <v>43439</v>
      </c>
      <c r="P215">
        <f t="shared" si="10"/>
        <v>2</v>
      </c>
      <c r="Q215">
        <f t="shared" si="11"/>
        <v>2</v>
      </c>
    </row>
    <row r="216" spans="1:17" x14ac:dyDescent="0.2">
      <c r="A216">
        <v>559518</v>
      </c>
      <c r="B216" t="str">
        <f t="shared" si="9"/>
        <v>559518 - 1</v>
      </c>
      <c r="C216">
        <v>8999</v>
      </c>
      <c r="D216" t="s">
        <v>209</v>
      </c>
      <c r="E216" t="s">
        <v>210</v>
      </c>
      <c r="F216" t="s">
        <v>211</v>
      </c>
      <c r="G216" t="s">
        <v>212</v>
      </c>
      <c r="H216">
        <v>1</v>
      </c>
      <c r="I216" t="s">
        <v>194</v>
      </c>
      <c r="J216">
        <v>26</v>
      </c>
      <c r="K216" t="s">
        <v>218</v>
      </c>
      <c r="L216">
        <v>2</v>
      </c>
      <c r="M216" t="s">
        <v>338</v>
      </c>
      <c r="N216">
        <v>1</v>
      </c>
      <c r="O216" s="105">
        <v>43439</v>
      </c>
      <c r="P216">
        <f t="shared" si="10"/>
        <v>2</v>
      </c>
      <c r="Q216">
        <f t="shared" si="11"/>
        <v>1</v>
      </c>
    </row>
    <row r="217" spans="1:17" x14ac:dyDescent="0.2">
      <c r="A217">
        <v>559518</v>
      </c>
      <c r="B217" t="str">
        <f t="shared" si="9"/>
        <v>559518 - 2</v>
      </c>
      <c r="C217">
        <v>8999</v>
      </c>
      <c r="D217" t="s">
        <v>209</v>
      </c>
      <c r="E217" t="s">
        <v>210</v>
      </c>
      <c r="F217" t="s">
        <v>211</v>
      </c>
      <c r="G217" t="s">
        <v>212</v>
      </c>
      <c r="H217">
        <v>1</v>
      </c>
      <c r="I217" t="s">
        <v>194</v>
      </c>
      <c r="J217">
        <v>240</v>
      </c>
      <c r="K217" t="s">
        <v>219</v>
      </c>
      <c r="L217">
        <v>260</v>
      </c>
      <c r="M217" t="s">
        <v>338</v>
      </c>
      <c r="N217">
        <v>1</v>
      </c>
      <c r="O217" s="105">
        <v>43439</v>
      </c>
      <c r="P217">
        <f t="shared" si="10"/>
        <v>2</v>
      </c>
      <c r="Q217">
        <f t="shared" si="11"/>
        <v>2</v>
      </c>
    </row>
    <row r="218" spans="1:17" x14ac:dyDescent="0.2">
      <c r="A218">
        <v>559519</v>
      </c>
      <c r="B218" t="str">
        <f t="shared" si="9"/>
        <v>559519 - 1</v>
      </c>
      <c r="C218">
        <v>8999</v>
      </c>
      <c r="D218" t="s">
        <v>209</v>
      </c>
      <c r="E218" t="s">
        <v>210</v>
      </c>
      <c r="F218" t="s">
        <v>211</v>
      </c>
      <c r="G218" t="s">
        <v>212</v>
      </c>
      <c r="H218">
        <v>1</v>
      </c>
      <c r="I218" t="s">
        <v>194</v>
      </c>
      <c r="J218">
        <v>1</v>
      </c>
      <c r="K218" t="s">
        <v>227</v>
      </c>
      <c r="L218">
        <v>90</v>
      </c>
      <c r="M218" t="s">
        <v>339</v>
      </c>
      <c r="N218">
        <v>1</v>
      </c>
      <c r="O218" s="105">
        <v>43439</v>
      </c>
      <c r="P218">
        <f t="shared" si="10"/>
        <v>3</v>
      </c>
      <c r="Q218">
        <f t="shared" si="11"/>
        <v>1</v>
      </c>
    </row>
    <row r="219" spans="1:17" x14ac:dyDescent="0.2">
      <c r="A219">
        <v>559519</v>
      </c>
      <c r="B219" t="str">
        <f t="shared" si="9"/>
        <v>559519 - 2</v>
      </c>
      <c r="C219">
        <v>8999</v>
      </c>
      <c r="D219" t="s">
        <v>209</v>
      </c>
      <c r="E219" t="s">
        <v>210</v>
      </c>
      <c r="F219" t="s">
        <v>211</v>
      </c>
      <c r="G219" t="s">
        <v>212</v>
      </c>
      <c r="H219">
        <v>1</v>
      </c>
      <c r="I219" t="s">
        <v>194</v>
      </c>
      <c r="J219">
        <v>26</v>
      </c>
      <c r="K219" t="s">
        <v>218</v>
      </c>
      <c r="L219">
        <v>4</v>
      </c>
      <c r="M219" t="s">
        <v>339</v>
      </c>
      <c r="N219">
        <v>1</v>
      </c>
      <c r="O219" s="105">
        <v>43439</v>
      </c>
      <c r="P219">
        <f t="shared" si="10"/>
        <v>3</v>
      </c>
      <c r="Q219">
        <f t="shared" si="11"/>
        <v>2</v>
      </c>
    </row>
    <row r="220" spans="1:17" x14ac:dyDescent="0.2">
      <c r="A220">
        <v>559519</v>
      </c>
      <c r="B220" t="str">
        <f t="shared" si="9"/>
        <v>559519 - 3</v>
      </c>
      <c r="C220">
        <v>8999</v>
      </c>
      <c r="D220" t="s">
        <v>209</v>
      </c>
      <c r="E220" t="s">
        <v>210</v>
      </c>
      <c r="F220" t="s">
        <v>211</v>
      </c>
      <c r="G220" t="s">
        <v>212</v>
      </c>
      <c r="H220">
        <v>1</v>
      </c>
      <c r="I220" t="s">
        <v>194</v>
      </c>
      <c r="J220">
        <v>240</v>
      </c>
      <c r="K220" t="s">
        <v>219</v>
      </c>
      <c r="L220">
        <v>517</v>
      </c>
      <c r="M220" t="s">
        <v>339</v>
      </c>
      <c r="N220">
        <v>1</v>
      </c>
      <c r="O220" s="105">
        <v>43439</v>
      </c>
      <c r="P220">
        <f t="shared" si="10"/>
        <v>3</v>
      </c>
      <c r="Q220">
        <f t="shared" si="11"/>
        <v>3</v>
      </c>
    </row>
    <row r="221" spans="1:17" x14ac:dyDescent="0.2">
      <c r="A221">
        <v>559520</v>
      </c>
      <c r="B221" t="str">
        <f t="shared" si="9"/>
        <v>559520 - 1</v>
      </c>
      <c r="C221">
        <v>8999</v>
      </c>
      <c r="D221" t="s">
        <v>209</v>
      </c>
      <c r="E221" t="s">
        <v>210</v>
      </c>
      <c r="F221" t="s">
        <v>211</v>
      </c>
      <c r="G221" t="s">
        <v>212</v>
      </c>
      <c r="H221">
        <v>1</v>
      </c>
      <c r="I221" t="s">
        <v>194</v>
      </c>
      <c r="J221">
        <v>18</v>
      </c>
      <c r="K221" t="s">
        <v>231</v>
      </c>
      <c r="L221">
        <v>61</v>
      </c>
      <c r="M221" t="s">
        <v>345</v>
      </c>
      <c r="N221">
        <v>1</v>
      </c>
      <c r="O221" s="105">
        <v>43439</v>
      </c>
      <c r="P221">
        <f t="shared" si="10"/>
        <v>4</v>
      </c>
      <c r="Q221">
        <f t="shared" si="11"/>
        <v>1</v>
      </c>
    </row>
    <row r="222" spans="1:17" x14ac:dyDescent="0.2">
      <c r="A222">
        <v>559520</v>
      </c>
      <c r="B222" t="str">
        <f t="shared" si="9"/>
        <v>559520 - 2</v>
      </c>
      <c r="C222">
        <v>8999</v>
      </c>
      <c r="D222" t="s">
        <v>209</v>
      </c>
      <c r="E222" t="s">
        <v>210</v>
      </c>
      <c r="F222" t="s">
        <v>211</v>
      </c>
      <c r="G222" t="s">
        <v>212</v>
      </c>
      <c r="H222">
        <v>1</v>
      </c>
      <c r="I222" t="s">
        <v>194</v>
      </c>
      <c r="J222">
        <v>26</v>
      </c>
      <c r="K222" t="s">
        <v>218</v>
      </c>
      <c r="L222">
        <v>17</v>
      </c>
      <c r="M222" t="s">
        <v>345</v>
      </c>
      <c r="N222">
        <v>1</v>
      </c>
      <c r="O222" s="105">
        <v>43439</v>
      </c>
      <c r="P222">
        <f t="shared" si="10"/>
        <v>4</v>
      </c>
      <c r="Q222">
        <f t="shared" si="11"/>
        <v>2</v>
      </c>
    </row>
    <row r="223" spans="1:17" x14ac:dyDescent="0.2">
      <c r="A223">
        <v>559520</v>
      </c>
      <c r="B223" t="str">
        <f t="shared" si="9"/>
        <v>559520 - 3</v>
      </c>
      <c r="C223">
        <v>8999</v>
      </c>
      <c r="D223" t="s">
        <v>209</v>
      </c>
      <c r="E223" t="s">
        <v>210</v>
      </c>
      <c r="F223" t="s">
        <v>211</v>
      </c>
      <c r="G223" t="s">
        <v>212</v>
      </c>
      <c r="H223">
        <v>1</v>
      </c>
      <c r="I223" t="s">
        <v>194</v>
      </c>
      <c r="J223">
        <v>240</v>
      </c>
      <c r="K223" t="s">
        <v>219</v>
      </c>
      <c r="L223">
        <v>1325</v>
      </c>
      <c r="M223" t="s">
        <v>345</v>
      </c>
      <c r="N223">
        <v>1</v>
      </c>
      <c r="O223" s="105">
        <v>43439</v>
      </c>
      <c r="P223">
        <f t="shared" si="10"/>
        <v>4</v>
      </c>
      <c r="Q223">
        <f t="shared" si="11"/>
        <v>3</v>
      </c>
    </row>
    <row r="224" spans="1:17" x14ac:dyDescent="0.2">
      <c r="A224">
        <v>559520</v>
      </c>
      <c r="B224" t="str">
        <f t="shared" si="9"/>
        <v>559520 - 4</v>
      </c>
      <c r="C224">
        <v>8999</v>
      </c>
      <c r="D224" t="s">
        <v>209</v>
      </c>
      <c r="E224" t="s">
        <v>210</v>
      </c>
      <c r="F224" t="s">
        <v>211</v>
      </c>
      <c r="G224" t="s">
        <v>212</v>
      </c>
      <c r="H224">
        <v>1</v>
      </c>
      <c r="I224" t="s">
        <v>194</v>
      </c>
      <c r="J224">
        <v>242</v>
      </c>
      <c r="K224" t="s">
        <v>217</v>
      </c>
      <c r="L224">
        <v>200</v>
      </c>
      <c r="M224" t="s">
        <v>345</v>
      </c>
      <c r="N224">
        <v>1</v>
      </c>
      <c r="O224" s="105">
        <v>43439</v>
      </c>
      <c r="P224">
        <f t="shared" si="10"/>
        <v>4</v>
      </c>
      <c r="Q224">
        <f t="shared" si="11"/>
        <v>4</v>
      </c>
    </row>
    <row r="225" spans="1:17" x14ac:dyDescent="0.2">
      <c r="A225">
        <v>559521</v>
      </c>
      <c r="B225" t="str">
        <f t="shared" si="9"/>
        <v>559521 - 1</v>
      </c>
      <c r="C225">
        <v>8999</v>
      </c>
      <c r="D225" t="s">
        <v>209</v>
      </c>
      <c r="E225" t="s">
        <v>210</v>
      </c>
      <c r="F225" t="s">
        <v>211</v>
      </c>
      <c r="G225" t="s">
        <v>212</v>
      </c>
      <c r="H225">
        <v>1</v>
      </c>
      <c r="I225" t="s">
        <v>194</v>
      </c>
      <c r="J225">
        <v>26</v>
      </c>
      <c r="K225" t="s">
        <v>218</v>
      </c>
      <c r="L225">
        <v>6</v>
      </c>
      <c r="M225" t="s">
        <v>334</v>
      </c>
      <c r="N225">
        <v>1</v>
      </c>
      <c r="O225" s="105">
        <v>43439</v>
      </c>
      <c r="P225">
        <f t="shared" si="10"/>
        <v>3</v>
      </c>
      <c r="Q225">
        <f t="shared" si="11"/>
        <v>1</v>
      </c>
    </row>
    <row r="226" spans="1:17" x14ac:dyDescent="0.2">
      <c r="A226">
        <v>559521</v>
      </c>
      <c r="B226" t="str">
        <f t="shared" si="9"/>
        <v>559521 - 2</v>
      </c>
      <c r="C226">
        <v>8999</v>
      </c>
      <c r="D226" t="s">
        <v>209</v>
      </c>
      <c r="E226" t="s">
        <v>210</v>
      </c>
      <c r="F226" t="s">
        <v>211</v>
      </c>
      <c r="G226" t="s">
        <v>212</v>
      </c>
      <c r="H226">
        <v>1</v>
      </c>
      <c r="I226" t="s">
        <v>194</v>
      </c>
      <c r="J226">
        <v>240</v>
      </c>
      <c r="K226" t="s">
        <v>219</v>
      </c>
      <c r="L226">
        <v>152</v>
      </c>
      <c r="M226" t="s">
        <v>334</v>
      </c>
      <c r="N226">
        <v>1</v>
      </c>
      <c r="O226" s="105">
        <v>43439</v>
      </c>
      <c r="P226">
        <f t="shared" si="10"/>
        <v>3</v>
      </c>
      <c r="Q226">
        <f t="shared" si="11"/>
        <v>2</v>
      </c>
    </row>
    <row r="227" spans="1:17" x14ac:dyDescent="0.2">
      <c r="A227">
        <v>559521</v>
      </c>
      <c r="B227" t="str">
        <f t="shared" si="9"/>
        <v>559521 - 3</v>
      </c>
      <c r="C227">
        <v>8999</v>
      </c>
      <c r="D227" t="s">
        <v>209</v>
      </c>
      <c r="E227" t="s">
        <v>210</v>
      </c>
      <c r="F227" t="s">
        <v>211</v>
      </c>
      <c r="G227" t="s">
        <v>212</v>
      </c>
      <c r="H227">
        <v>1</v>
      </c>
      <c r="I227" t="s">
        <v>194</v>
      </c>
      <c r="J227">
        <v>242</v>
      </c>
      <c r="K227" t="s">
        <v>217</v>
      </c>
      <c r="L227">
        <v>177</v>
      </c>
      <c r="M227" t="s">
        <v>334</v>
      </c>
      <c r="N227">
        <v>1</v>
      </c>
      <c r="O227" s="105">
        <v>43439</v>
      </c>
      <c r="P227">
        <f t="shared" si="10"/>
        <v>3</v>
      </c>
      <c r="Q227">
        <f t="shared" si="11"/>
        <v>3</v>
      </c>
    </row>
    <row r="228" spans="1:17" x14ac:dyDescent="0.2">
      <c r="A228">
        <v>559522</v>
      </c>
      <c r="B228" t="str">
        <f t="shared" si="9"/>
        <v>559522 - 1</v>
      </c>
      <c r="C228">
        <v>8999</v>
      </c>
      <c r="D228" t="s">
        <v>209</v>
      </c>
      <c r="E228" t="s">
        <v>210</v>
      </c>
      <c r="F228" t="s">
        <v>211</v>
      </c>
      <c r="G228" t="s">
        <v>212</v>
      </c>
      <c r="H228">
        <v>1</v>
      </c>
      <c r="I228" t="s">
        <v>194</v>
      </c>
      <c r="J228">
        <v>26</v>
      </c>
      <c r="K228" t="s">
        <v>218</v>
      </c>
      <c r="L228">
        <v>5</v>
      </c>
      <c r="M228" t="s">
        <v>337</v>
      </c>
      <c r="N228">
        <v>1</v>
      </c>
      <c r="O228" s="105">
        <v>43439</v>
      </c>
      <c r="P228">
        <f t="shared" si="10"/>
        <v>2</v>
      </c>
      <c r="Q228">
        <f t="shared" si="11"/>
        <v>1</v>
      </c>
    </row>
    <row r="229" spans="1:17" x14ac:dyDescent="0.2">
      <c r="A229">
        <v>559522</v>
      </c>
      <c r="B229" t="str">
        <f t="shared" si="9"/>
        <v>559522 - 2</v>
      </c>
      <c r="C229">
        <v>8999</v>
      </c>
      <c r="D229" t="s">
        <v>209</v>
      </c>
      <c r="E229" t="s">
        <v>210</v>
      </c>
      <c r="F229" t="s">
        <v>211</v>
      </c>
      <c r="G229" t="s">
        <v>212</v>
      </c>
      <c r="H229">
        <v>1</v>
      </c>
      <c r="I229" t="s">
        <v>194</v>
      </c>
      <c r="J229">
        <v>240</v>
      </c>
      <c r="K229" t="s">
        <v>219</v>
      </c>
      <c r="L229">
        <v>372</v>
      </c>
      <c r="M229" t="s">
        <v>337</v>
      </c>
      <c r="N229">
        <v>1</v>
      </c>
      <c r="O229" s="105">
        <v>43439</v>
      </c>
      <c r="P229">
        <f t="shared" si="10"/>
        <v>2</v>
      </c>
      <c r="Q229">
        <f t="shared" si="11"/>
        <v>2</v>
      </c>
    </row>
    <row r="230" spans="1:17" x14ac:dyDescent="0.2">
      <c r="A230">
        <v>559523</v>
      </c>
      <c r="B230" t="str">
        <f t="shared" si="9"/>
        <v>559523 - 1</v>
      </c>
      <c r="C230">
        <v>2459</v>
      </c>
      <c r="D230" t="s">
        <v>394</v>
      </c>
      <c r="E230" t="s">
        <v>395</v>
      </c>
      <c r="F230" t="s">
        <v>396</v>
      </c>
      <c r="G230" t="s">
        <v>397</v>
      </c>
      <c r="H230">
        <v>23</v>
      </c>
      <c r="I230" t="s">
        <v>398</v>
      </c>
      <c r="J230">
        <v>5</v>
      </c>
      <c r="K230" t="s">
        <v>240</v>
      </c>
      <c r="L230">
        <v>2</v>
      </c>
      <c r="M230" t="s">
        <v>399</v>
      </c>
      <c r="N230">
        <v>1</v>
      </c>
      <c r="O230" s="105">
        <v>43439</v>
      </c>
      <c r="P230">
        <f t="shared" si="10"/>
        <v>1</v>
      </c>
      <c r="Q230">
        <f t="shared" si="11"/>
        <v>1</v>
      </c>
    </row>
    <row r="231" spans="1:17" x14ac:dyDescent="0.2">
      <c r="A231">
        <v>559524</v>
      </c>
      <c r="B231" t="str">
        <f t="shared" si="9"/>
        <v>559524 - 1</v>
      </c>
      <c r="C231">
        <v>2459</v>
      </c>
      <c r="D231" t="s">
        <v>394</v>
      </c>
      <c r="E231" t="s">
        <v>395</v>
      </c>
      <c r="F231" t="s">
        <v>396</v>
      </c>
      <c r="G231" t="s">
        <v>397</v>
      </c>
      <c r="H231">
        <v>23</v>
      </c>
      <c r="I231" t="s">
        <v>398</v>
      </c>
      <c r="J231">
        <v>5</v>
      </c>
      <c r="K231" t="s">
        <v>240</v>
      </c>
      <c r="L231">
        <v>233</v>
      </c>
      <c r="M231" t="s">
        <v>399</v>
      </c>
      <c r="N231">
        <v>1</v>
      </c>
      <c r="O231" s="105">
        <v>43439</v>
      </c>
      <c r="P231">
        <f t="shared" si="10"/>
        <v>2</v>
      </c>
      <c r="Q231">
        <f t="shared" si="11"/>
        <v>1</v>
      </c>
    </row>
    <row r="232" spans="1:17" x14ac:dyDescent="0.2">
      <c r="A232">
        <v>559524</v>
      </c>
      <c r="B232" t="str">
        <f t="shared" si="9"/>
        <v>559524 - 2</v>
      </c>
      <c r="C232">
        <v>2459</v>
      </c>
      <c r="D232" t="s">
        <v>394</v>
      </c>
      <c r="E232" t="s">
        <v>395</v>
      </c>
      <c r="F232" t="s">
        <v>396</v>
      </c>
      <c r="G232" t="s">
        <v>397</v>
      </c>
      <c r="H232">
        <v>23</v>
      </c>
      <c r="I232" t="s">
        <v>398</v>
      </c>
      <c r="J232">
        <v>215</v>
      </c>
      <c r="K232" t="s">
        <v>316</v>
      </c>
      <c r="L232">
        <v>8</v>
      </c>
      <c r="M232" t="s">
        <v>399</v>
      </c>
      <c r="N232">
        <v>1</v>
      </c>
      <c r="O232" s="105">
        <v>43439</v>
      </c>
      <c r="P232">
        <f t="shared" si="10"/>
        <v>2</v>
      </c>
      <c r="Q232">
        <f t="shared" si="11"/>
        <v>2</v>
      </c>
    </row>
    <row r="233" spans="1:17" x14ac:dyDescent="0.2">
      <c r="A233">
        <v>559526</v>
      </c>
      <c r="B233" t="str">
        <f t="shared" si="9"/>
        <v>559526 - 1</v>
      </c>
      <c r="C233">
        <v>2450</v>
      </c>
      <c r="D233" t="s">
        <v>400</v>
      </c>
      <c r="E233" t="s">
        <v>401</v>
      </c>
      <c r="F233" t="s">
        <v>396</v>
      </c>
      <c r="G233" t="s">
        <v>402</v>
      </c>
      <c r="H233">
        <v>23</v>
      </c>
      <c r="I233" t="s">
        <v>398</v>
      </c>
      <c r="J233">
        <v>5</v>
      </c>
      <c r="K233" t="s">
        <v>240</v>
      </c>
      <c r="L233">
        <v>11</v>
      </c>
      <c r="M233" t="s">
        <v>403</v>
      </c>
      <c r="N233">
        <v>1</v>
      </c>
      <c r="O233" s="105">
        <v>43439</v>
      </c>
      <c r="P233">
        <f t="shared" si="10"/>
        <v>2</v>
      </c>
      <c r="Q233">
        <f t="shared" si="11"/>
        <v>1</v>
      </c>
    </row>
    <row r="234" spans="1:17" x14ac:dyDescent="0.2">
      <c r="A234">
        <v>559526</v>
      </c>
      <c r="B234" t="str">
        <f t="shared" si="9"/>
        <v>559526 - 2</v>
      </c>
      <c r="C234">
        <v>2450</v>
      </c>
      <c r="D234" t="s">
        <v>400</v>
      </c>
      <c r="E234" t="s">
        <v>401</v>
      </c>
      <c r="F234" t="s">
        <v>396</v>
      </c>
      <c r="G234" t="s">
        <v>402</v>
      </c>
      <c r="H234">
        <v>23</v>
      </c>
      <c r="I234" t="s">
        <v>398</v>
      </c>
      <c r="J234">
        <v>12</v>
      </c>
      <c r="K234" t="s">
        <v>228</v>
      </c>
      <c r="L234">
        <v>2</v>
      </c>
      <c r="M234" t="s">
        <v>403</v>
      </c>
      <c r="N234">
        <v>1</v>
      </c>
      <c r="O234" s="105">
        <v>43439</v>
      </c>
      <c r="P234">
        <f t="shared" si="10"/>
        <v>2</v>
      </c>
      <c r="Q234">
        <f t="shared" si="11"/>
        <v>2</v>
      </c>
    </row>
    <row r="235" spans="1:17" x14ac:dyDescent="0.2">
      <c r="A235">
        <v>559528</v>
      </c>
      <c r="B235" t="str">
        <f t="shared" si="9"/>
        <v>559528 - 1</v>
      </c>
      <c r="C235">
        <v>2463</v>
      </c>
      <c r="D235" t="s">
        <v>14</v>
      </c>
      <c r="E235" t="s">
        <v>288</v>
      </c>
      <c r="F235" t="s">
        <v>289</v>
      </c>
      <c r="G235" t="s">
        <v>290</v>
      </c>
      <c r="H235">
        <v>1</v>
      </c>
      <c r="I235" t="s">
        <v>194</v>
      </c>
      <c r="J235">
        <v>5</v>
      </c>
      <c r="K235" t="s">
        <v>240</v>
      </c>
      <c r="L235">
        <v>19</v>
      </c>
      <c r="M235" t="s">
        <v>404</v>
      </c>
      <c r="N235">
        <v>1</v>
      </c>
      <c r="O235" s="105">
        <v>43439</v>
      </c>
      <c r="P235">
        <f t="shared" si="10"/>
        <v>2</v>
      </c>
      <c r="Q235">
        <f t="shared" si="11"/>
        <v>1</v>
      </c>
    </row>
    <row r="236" spans="1:17" x14ac:dyDescent="0.2">
      <c r="A236">
        <v>559528</v>
      </c>
      <c r="B236" t="str">
        <f t="shared" si="9"/>
        <v>559528 - 2</v>
      </c>
      <c r="C236">
        <v>2463</v>
      </c>
      <c r="D236" t="s">
        <v>14</v>
      </c>
      <c r="E236" t="s">
        <v>288</v>
      </c>
      <c r="F236" t="s">
        <v>289</v>
      </c>
      <c r="G236" t="s">
        <v>290</v>
      </c>
      <c r="H236">
        <v>1</v>
      </c>
      <c r="I236" t="s">
        <v>194</v>
      </c>
      <c r="J236">
        <v>72</v>
      </c>
      <c r="K236" t="s">
        <v>367</v>
      </c>
      <c r="L236">
        <v>2</v>
      </c>
      <c r="M236" t="s">
        <v>404</v>
      </c>
      <c r="N236">
        <v>1</v>
      </c>
      <c r="O236" s="105">
        <v>43439</v>
      </c>
      <c r="P236">
        <f t="shared" si="10"/>
        <v>2</v>
      </c>
      <c r="Q236">
        <f t="shared" si="11"/>
        <v>2</v>
      </c>
    </row>
    <row r="237" spans="1:17" x14ac:dyDescent="0.2">
      <c r="A237">
        <v>559529</v>
      </c>
      <c r="B237" t="str">
        <f t="shared" si="9"/>
        <v>559529 - 1</v>
      </c>
      <c r="C237">
        <v>8999</v>
      </c>
      <c r="D237" t="s">
        <v>209</v>
      </c>
      <c r="E237" t="s">
        <v>210</v>
      </c>
      <c r="F237" t="s">
        <v>211</v>
      </c>
      <c r="G237" t="s">
        <v>212</v>
      </c>
      <c r="H237">
        <v>1</v>
      </c>
      <c r="I237" t="s">
        <v>194</v>
      </c>
      <c r="J237">
        <v>18</v>
      </c>
      <c r="K237" t="s">
        <v>231</v>
      </c>
      <c r="L237">
        <v>200</v>
      </c>
      <c r="M237" t="s">
        <v>346</v>
      </c>
      <c r="N237">
        <v>1</v>
      </c>
      <c r="O237" s="105">
        <v>43439</v>
      </c>
      <c r="P237">
        <f t="shared" si="10"/>
        <v>5</v>
      </c>
      <c r="Q237">
        <f t="shared" si="11"/>
        <v>1</v>
      </c>
    </row>
    <row r="238" spans="1:17" x14ac:dyDescent="0.2">
      <c r="A238">
        <v>559529</v>
      </c>
      <c r="B238" t="str">
        <f t="shared" si="9"/>
        <v>559529 - 2</v>
      </c>
      <c r="C238">
        <v>8999</v>
      </c>
      <c r="D238" t="s">
        <v>209</v>
      </c>
      <c r="E238" t="s">
        <v>210</v>
      </c>
      <c r="F238" t="s">
        <v>211</v>
      </c>
      <c r="G238" t="s">
        <v>212</v>
      </c>
      <c r="H238">
        <v>1</v>
      </c>
      <c r="I238" t="s">
        <v>194</v>
      </c>
      <c r="J238">
        <v>26</v>
      </c>
      <c r="K238" t="s">
        <v>218</v>
      </c>
      <c r="L238">
        <v>33</v>
      </c>
      <c r="M238" t="s">
        <v>346</v>
      </c>
      <c r="N238">
        <v>1</v>
      </c>
      <c r="O238" s="105">
        <v>43439</v>
      </c>
      <c r="P238">
        <f t="shared" si="10"/>
        <v>5</v>
      </c>
      <c r="Q238">
        <f t="shared" si="11"/>
        <v>2</v>
      </c>
    </row>
    <row r="239" spans="1:17" x14ac:dyDescent="0.2">
      <c r="A239">
        <v>559529</v>
      </c>
      <c r="B239" t="str">
        <f t="shared" si="9"/>
        <v>559529 - 3</v>
      </c>
      <c r="C239">
        <v>8999</v>
      </c>
      <c r="D239" t="s">
        <v>209</v>
      </c>
      <c r="E239" t="s">
        <v>210</v>
      </c>
      <c r="F239" t="s">
        <v>211</v>
      </c>
      <c r="G239" t="s">
        <v>212</v>
      </c>
      <c r="H239">
        <v>1</v>
      </c>
      <c r="I239" t="s">
        <v>194</v>
      </c>
      <c r="J239">
        <v>240</v>
      </c>
      <c r="K239" t="s">
        <v>219</v>
      </c>
      <c r="L239">
        <v>2902</v>
      </c>
      <c r="M239" t="s">
        <v>346</v>
      </c>
      <c r="N239">
        <v>1</v>
      </c>
      <c r="O239" s="105">
        <v>43439</v>
      </c>
      <c r="P239">
        <f t="shared" si="10"/>
        <v>5</v>
      </c>
      <c r="Q239">
        <f t="shared" si="11"/>
        <v>3</v>
      </c>
    </row>
    <row r="240" spans="1:17" x14ac:dyDescent="0.2">
      <c r="A240">
        <v>559529</v>
      </c>
      <c r="B240" t="str">
        <f t="shared" si="9"/>
        <v>559529 - 4</v>
      </c>
      <c r="C240">
        <v>8999</v>
      </c>
      <c r="D240" t="s">
        <v>209</v>
      </c>
      <c r="E240" t="s">
        <v>210</v>
      </c>
      <c r="F240" t="s">
        <v>211</v>
      </c>
      <c r="G240" t="s">
        <v>212</v>
      </c>
      <c r="H240">
        <v>1</v>
      </c>
      <c r="I240" t="s">
        <v>194</v>
      </c>
      <c r="J240">
        <v>242</v>
      </c>
      <c r="K240" t="s">
        <v>217</v>
      </c>
      <c r="L240">
        <v>559</v>
      </c>
      <c r="M240" t="s">
        <v>346</v>
      </c>
      <c r="N240">
        <v>1</v>
      </c>
      <c r="O240" s="105">
        <v>43439</v>
      </c>
      <c r="P240">
        <f t="shared" si="10"/>
        <v>5</v>
      </c>
      <c r="Q240">
        <f t="shared" si="11"/>
        <v>4</v>
      </c>
    </row>
    <row r="241" spans="1:17" x14ac:dyDescent="0.2">
      <c r="A241">
        <v>559529</v>
      </c>
      <c r="B241" t="str">
        <f t="shared" si="9"/>
        <v>559529 - 5</v>
      </c>
      <c r="C241">
        <v>8999</v>
      </c>
      <c r="D241" t="s">
        <v>209</v>
      </c>
      <c r="E241" t="s">
        <v>210</v>
      </c>
      <c r="F241" t="s">
        <v>211</v>
      </c>
      <c r="G241" t="s">
        <v>212</v>
      </c>
      <c r="H241">
        <v>1</v>
      </c>
      <c r="I241" t="s">
        <v>194</v>
      </c>
      <c r="J241">
        <v>244</v>
      </c>
      <c r="K241" t="s">
        <v>244</v>
      </c>
      <c r="L241">
        <v>67</v>
      </c>
      <c r="M241" t="s">
        <v>346</v>
      </c>
      <c r="N241">
        <v>1</v>
      </c>
      <c r="O241" s="105">
        <v>43439</v>
      </c>
      <c r="P241">
        <f t="shared" si="10"/>
        <v>5</v>
      </c>
      <c r="Q241">
        <f t="shared" si="11"/>
        <v>5</v>
      </c>
    </row>
    <row r="242" spans="1:17" x14ac:dyDescent="0.2">
      <c r="A242">
        <v>559536</v>
      </c>
      <c r="B242" t="str">
        <f t="shared" si="9"/>
        <v>559536 - 1</v>
      </c>
      <c r="C242">
        <v>8999</v>
      </c>
      <c r="D242" t="s">
        <v>209</v>
      </c>
      <c r="E242" t="s">
        <v>210</v>
      </c>
      <c r="F242" t="s">
        <v>211</v>
      </c>
      <c r="G242" t="s">
        <v>212</v>
      </c>
      <c r="H242">
        <v>1</v>
      </c>
      <c r="I242" t="s">
        <v>194</v>
      </c>
      <c r="J242">
        <v>1</v>
      </c>
      <c r="K242" t="s">
        <v>227</v>
      </c>
      <c r="L242">
        <v>360</v>
      </c>
      <c r="M242" t="s">
        <v>339</v>
      </c>
      <c r="N242">
        <v>1</v>
      </c>
      <c r="O242" s="105">
        <v>43439</v>
      </c>
      <c r="P242">
        <f t="shared" si="10"/>
        <v>4</v>
      </c>
      <c r="Q242">
        <f t="shared" si="11"/>
        <v>1</v>
      </c>
    </row>
    <row r="243" spans="1:17" x14ac:dyDescent="0.2">
      <c r="A243">
        <v>559536</v>
      </c>
      <c r="B243" t="str">
        <f t="shared" si="9"/>
        <v>559536 - 2</v>
      </c>
      <c r="C243">
        <v>8999</v>
      </c>
      <c r="D243" t="s">
        <v>209</v>
      </c>
      <c r="E243" t="s">
        <v>210</v>
      </c>
      <c r="F243" t="s">
        <v>211</v>
      </c>
      <c r="G243" t="s">
        <v>212</v>
      </c>
      <c r="H243">
        <v>1</v>
      </c>
      <c r="I243" t="s">
        <v>194</v>
      </c>
      <c r="J243">
        <v>26</v>
      </c>
      <c r="K243" t="s">
        <v>218</v>
      </c>
      <c r="L243">
        <v>15</v>
      </c>
      <c r="M243" t="s">
        <v>339</v>
      </c>
      <c r="N243">
        <v>1</v>
      </c>
      <c r="O243" s="105">
        <v>43439</v>
      </c>
      <c r="P243">
        <f t="shared" si="10"/>
        <v>4</v>
      </c>
      <c r="Q243">
        <f t="shared" si="11"/>
        <v>2</v>
      </c>
    </row>
    <row r="244" spans="1:17" x14ac:dyDescent="0.2">
      <c r="A244">
        <v>559536</v>
      </c>
      <c r="B244" t="str">
        <f t="shared" si="9"/>
        <v>559536 - 3</v>
      </c>
      <c r="C244">
        <v>8999</v>
      </c>
      <c r="D244" t="s">
        <v>209</v>
      </c>
      <c r="E244" t="s">
        <v>210</v>
      </c>
      <c r="F244" t="s">
        <v>211</v>
      </c>
      <c r="G244" t="s">
        <v>212</v>
      </c>
      <c r="H244">
        <v>1</v>
      </c>
      <c r="I244" t="s">
        <v>194</v>
      </c>
      <c r="J244">
        <v>240</v>
      </c>
      <c r="K244" t="s">
        <v>219</v>
      </c>
      <c r="L244">
        <v>594</v>
      </c>
      <c r="M244" t="s">
        <v>339</v>
      </c>
      <c r="N244">
        <v>1</v>
      </c>
      <c r="O244" s="105">
        <v>43439</v>
      </c>
      <c r="P244">
        <f t="shared" si="10"/>
        <v>4</v>
      </c>
      <c r="Q244">
        <f t="shared" si="11"/>
        <v>3</v>
      </c>
    </row>
    <row r="245" spans="1:17" x14ac:dyDescent="0.2">
      <c r="A245">
        <v>559536</v>
      </c>
      <c r="B245" t="str">
        <f t="shared" si="9"/>
        <v>559536 - 4</v>
      </c>
      <c r="C245">
        <v>8999</v>
      </c>
      <c r="D245" t="s">
        <v>209</v>
      </c>
      <c r="E245" t="s">
        <v>210</v>
      </c>
      <c r="F245" t="s">
        <v>211</v>
      </c>
      <c r="G245" t="s">
        <v>212</v>
      </c>
      <c r="H245">
        <v>1</v>
      </c>
      <c r="I245" t="s">
        <v>194</v>
      </c>
      <c r="J245">
        <v>242</v>
      </c>
      <c r="K245" t="s">
        <v>217</v>
      </c>
      <c r="L245">
        <v>564</v>
      </c>
      <c r="M245" t="s">
        <v>339</v>
      </c>
      <c r="N245">
        <v>1</v>
      </c>
      <c r="O245" s="105">
        <v>43439</v>
      </c>
      <c r="P245">
        <f t="shared" si="10"/>
        <v>4</v>
      </c>
      <c r="Q245">
        <f t="shared" si="11"/>
        <v>4</v>
      </c>
    </row>
    <row r="246" spans="1:17" x14ac:dyDescent="0.2">
      <c r="A246">
        <v>559537</v>
      </c>
      <c r="B246" t="str">
        <f t="shared" si="9"/>
        <v>559537 - 1</v>
      </c>
      <c r="C246">
        <v>8999</v>
      </c>
      <c r="D246" t="s">
        <v>209</v>
      </c>
      <c r="E246" t="s">
        <v>210</v>
      </c>
      <c r="F246" t="s">
        <v>211</v>
      </c>
      <c r="G246" t="s">
        <v>212</v>
      </c>
      <c r="H246">
        <v>1</v>
      </c>
      <c r="I246" t="s">
        <v>194</v>
      </c>
      <c r="J246">
        <v>18</v>
      </c>
      <c r="K246" t="s">
        <v>231</v>
      </c>
      <c r="L246">
        <v>150</v>
      </c>
      <c r="M246" t="s">
        <v>338</v>
      </c>
      <c r="N246">
        <v>1</v>
      </c>
      <c r="O246" s="105">
        <v>43439</v>
      </c>
      <c r="P246">
        <f t="shared" si="10"/>
        <v>3</v>
      </c>
      <c r="Q246">
        <f t="shared" si="11"/>
        <v>1</v>
      </c>
    </row>
    <row r="247" spans="1:17" x14ac:dyDescent="0.2">
      <c r="A247">
        <v>559537</v>
      </c>
      <c r="B247" t="str">
        <f t="shared" si="9"/>
        <v>559537 - 2</v>
      </c>
      <c r="C247">
        <v>8999</v>
      </c>
      <c r="D247" t="s">
        <v>209</v>
      </c>
      <c r="E247" t="s">
        <v>210</v>
      </c>
      <c r="F247" t="s">
        <v>211</v>
      </c>
      <c r="G247" t="s">
        <v>212</v>
      </c>
      <c r="H247">
        <v>1</v>
      </c>
      <c r="I247" t="s">
        <v>194</v>
      </c>
      <c r="J247">
        <v>26</v>
      </c>
      <c r="K247" t="s">
        <v>218</v>
      </c>
      <c r="L247">
        <v>2</v>
      </c>
      <c r="M247" t="s">
        <v>338</v>
      </c>
      <c r="N247">
        <v>1</v>
      </c>
      <c r="O247" s="105">
        <v>43439</v>
      </c>
      <c r="P247">
        <f t="shared" si="10"/>
        <v>3</v>
      </c>
      <c r="Q247">
        <f t="shared" si="11"/>
        <v>2</v>
      </c>
    </row>
    <row r="248" spans="1:17" x14ac:dyDescent="0.2">
      <c r="A248">
        <v>559537</v>
      </c>
      <c r="B248" t="str">
        <f t="shared" si="9"/>
        <v>559537 - 3</v>
      </c>
      <c r="C248">
        <v>8999</v>
      </c>
      <c r="D248" t="s">
        <v>209</v>
      </c>
      <c r="E248" t="s">
        <v>210</v>
      </c>
      <c r="F248" t="s">
        <v>211</v>
      </c>
      <c r="G248" t="s">
        <v>212</v>
      </c>
      <c r="H248">
        <v>1</v>
      </c>
      <c r="I248" t="s">
        <v>194</v>
      </c>
      <c r="J248">
        <v>240</v>
      </c>
      <c r="K248" t="s">
        <v>219</v>
      </c>
      <c r="L248">
        <v>84</v>
      </c>
      <c r="M248" t="s">
        <v>338</v>
      </c>
      <c r="N248">
        <v>1</v>
      </c>
      <c r="O248" s="105">
        <v>43439</v>
      </c>
      <c r="P248">
        <f t="shared" si="10"/>
        <v>3</v>
      </c>
      <c r="Q248">
        <f t="shared" si="11"/>
        <v>3</v>
      </c>
    </row>
    <row r="249" spans="1:17" x14ac:dyDescent="0.2">
      <c r="A249">
        <v>559538</v>
      </c>
      <c r="B249" t="str">
        <f t="shared" si="9"/>
        <v>559538 - 1</v>
      </c>
      <c r="C249">
        <v>6007</v>
      </c>
      <c r="D249" t="s">
        <v>405</v>
      </c>
      <c r="E249" t="s">
        <v>406</v>
      </c>
      <c r="F249" t="s">
        <v>407</v>
      </c>
      <c r="G249" t="s">
        <v>408</v>
      </c>
      <c r="H249">
        <v>1</v>
      </c>
      <c r="I249" t="s">
        <v>194</v>
      </c>
      <c r="J249">
        <v>70</v>
      </c>
      <c r="K249" t="s">
        <v>200</v>
      </c>
      <c r="L249">
        <v>17</v>
      </c>
      <c r="M249" t="s">
        <v>409</v>
      </c>
      <c r="N249">
        <v>1</v>
      </c>
      <c r="O249" s="105">
        <v>43439</v>
      </c>
      <c r="P249">
        <f t="shared" si="10"/>
        <v>3</v>
      </c>
      <c r="Q249">
        <f t="shared" si="11"/>
        <v>1</v>
      </c>
    </row>
    <row r="250" spans="1:17" x14ac:dyDescent="0.2">
      <c r="A250">
        <v>559538</v>
      </c>
      <c r="B250" t="str">
        <f t="shared" si="9"/>
        <v>559538 - 2</v>
      </c>
      <c r="C250">
        <v>6007</v>
      </c>
      <c r="D250" t="s">
        <v>405</v>
      </c>
      <c r="E250" t="s">
        <v>406</v>
      </c>
      <c r="F250" t="s">
        <v>407</v>
      </c>
      <c r="G250" t="s">
        <v>408</v>
      </c>
      <c r="H250">
        <v>1</v>
      </c>
      <c r="I250" t="s">
        <v>194</v>
      </c>
      <c r="J250">
        <v>301</v>
      </c>
      <c r="K250" t="s">
        <v>336</v>
      </c>
      <c r="L250">
        <v>191</v>
      </c>
      <c r="M250" t="s">
        <v>409</v>
      </c>
      <c r="N250">
        <v>1</v>
      </c>
      <c r="O250" s="105">
        <v>43439</v>
      </c>
      <c r="P250">
        <f t="shared" si="10"/>
        <v>3</v>
      </c>
      <c r="Q250">
        <f t="shared" si="11"/>
        <v>2</v>
      </c>
    </row>
    <row r="251" spans="1:17" x14ac:dyDescent="0.2">
      <c r="A251">
        <v>559538</v>
      </c>
      <c r="B251" t="str">
        <f t="shared" si="9"/>
        <v>559538 - 3</v>
      </c>
      <c r="C251">
        <v>6007</v>
      </c>
      <c r="D251" t="s">
        <v>405</v>
      </c>
      <c r="E251" t="s">
        <v>406</v>
      </c>
      <c r="F251" t="s">
        <v>407</v>
      </c>
      <c r="G251" t="s">
        <v>408</v>
      </c>
      <c r="H251">
        <v>1</v>
      </c>
      <c r="I251" t="s">
        <v>194</v>
      </c>
      <c r="J251">
        <v>302</v>
      </c>
      <c r="K251" t="s">
        <v>322</v>
      </c>
      <c r="L251">
        <v>1085</v>
      </c>
      <c r="M251" t="s">
        <v>409</v>
      </c>
      <c r="N251">
        <v>1</v>
      </c>
      <c r="O251" s="105">
        <v>43439</v>
      </c>
      <c r="P251">
        <f t="shared" si="10"/>
        <v>3</v>
      </c>
      <c r="Q251">
        <f t="shared" si="11"/>
        <v>3</v>
      </c>
    </row>
    <row r="252" spans="1:17" x14ac:dyDescent="0.2">
      <c r="A252">
        <v>559540</v>
      </c>
      <c r="B252" t="str">
        <f t="shared" si="9"/>
        <v>559540 - 1</v>
      </c>
      <c r="C252">
        <v>2452</v>
      </c>
      <c r="D252" t="s">
        <v>410</v>
      </c>
      <c r="E252" t="s">
        <v>411</v>
      </c>
      <c r="F252" t="s">
        <v>412</v>
      </c>
      <c r="G252" t="s">
        <v>413</v>
      </c>
      <c r="H252">
        <v>23</v>
      </c>
      <c r="I252" t="s">
        <v>398</v>
      </c>
      <c r="J252">
        <v>5</v>
      </c>
      <c r="K252" t="s">
        <v>240</v>
      </c>
      <c r="L252">
        <v>27</v>
      </c>
      <c r="M252" t="s">
        <v>414</v>
      </c>
      <c r="N252">
        <v>1</v>
      </c>
      <c r="O252" s="105">
        <v>43439</v>
      </c>
      <c r="P252">
        <f t="shared" si="10"/>
        <v>2</v>
      </c>
      <c r="Q252">
        <f t="shared" si="11"/>
        <v>1</v>
      </c>
    </row>
    <row r="253" spans="1:17" x14ac:dyDescent="0.2">
      <c r="A253">
        <v>559540</v>
      </c>
      <c r="B253" t="str">
        <f t="shared" si="9"/>
        <v>559540 - 2</v>
      </c>
      <c r="C253">
        <v>2452</v>
      </c>
      <c r="D253" t="s">
        <v>410</v>
      </c>
      <c r="E253" t="s">
        <v>411</v>
      </c>
      <c r="F253" t="s">
        <v>412</v>
      </c>
      <c r="G253" t="s">
        <v>413</v>
      </c>
      <c r="H253">
        <v>23</v>
      </c>
      <c r="I253" t="s">
        <v>398</v>
      </c>
      <c r="J253">
        <v>12</v>
      </c>
      <c r="K253" t="s">
        <v>228</v>
      </c>
      <c r="L253">
        <v>1</v>
      </c>
      <c r="M253" t="s">
        <v>414</v>
      </c>
      <c r="N253">
        <v>1</v>
      </c>
      <c r="O253" s="105">
        <v>43439</v>
      </c>
      <c r="P253">
        <f t="shared" si="10"/>
        <v>2</v>
      </c>
      <c r="Q253">
        <f t="shared" si="11"/>
        <v>2</v>
      </c>
    </row>
    <row r="254" spans="1:17" x14ac:dyDescent="0.2">
      <c r="A254">
        <v>559541</v>
      </c>
      <c r="B254" t="str">
        <f t="shared" si="9"/>
        <v>559541 - 1</v>
      </c>
      <c r="C254">
        <v>2452</v>
      </c>
      <c r="D254" t="s">
        <v>410</v>
      </c>
      <c r="E254" t="s">
        <v>411</v>
      </c>
      <c r="F254" t="s">
        <v>412</v>
      </c>
      <c r="G254" t="s">
        <v>413</v>
      </c>
      <c r="H254">
        <v>23</v>
      </c>
      <c r="I254" t="s">
        <v>398</v>
      </c>
      <c r="J254">
        <v>5</v>
      </c>
      <c r="K254" t="s">
        <v>240</v>
      </c>
      <c r="L254">
        <v>20</v>
      </c>
      <c r="M254" t="s">
        <v>414</v>
      </c>
      <c r="N254">
        <v>1</v>
      </c>
      <c r="O254" s="105">
        <v>43439</v>
      </c>
      <c r="P254">
        <f t="shared" si="10"/>
        <v>3</v>
      </c>
      <c r="Q254">
        <f t="shared" si="11"/>
        <v>1</v>
      </c>
    </row>
    <row r="255" spans="1:17" x14ac:dyDescent="0.2">
      <c r="A255">
        <v>559541</v>
      </c>
      <c r="B255" t="str">
        <f t="shared" si="9"/>
        <v>559541 - 2</v>
      </c>
      <c r="C255">
        <v>2452</v>
      </c>
      <c r="D255" t="s">
        <v>410</v>
      </c>
      <c r="E255" t="s">
        <v>411</v>
      </c>
      <c r="F255" t="s">
        <v>412</v>
      </c>
      <c r="G255" t="s">
        <v>413</v>
      </c>
      <c r="H255">
        <v>23</v>
      </c>
      <c r="I255" t="s">
        <v>398</v>
      </c>
      <c r="J255">
        <v>12</v>
      </c>
      <c r="K255" t="s">
        <v>228</v>
      </c>
      <c r="L255">
        <v>1</v>
      </c>
      <c r="M255" t="s">
        <v>414</v>
      </c>
      <c r="N255">
        <v>1</v>
      </c>
      <c r="O255" s="105">
        <v>43439</v>
      </c>
      <c r="P255">
        <f t="shared" si="10"/>
        <v>3</v>
      </c>
      <c r="Q255">
        <f t="shared" si="11"/>
        <v>2</v>
      </c>
    </row>
    <row r="256" spans="1:17" x14ac:dyDescent="0.2">
      <c r="A256">
        <v>559541</v>
      </c>
      <c r="B256" t="str">
        <f t="shared" si="9"/>
        <v>559541 - 3</v>
      </c>
      <c r="C256">
        <v>2452</v>
      </c>
      <c r="D256" t="s">
        <v>410</v>
      </c>
      <c r="E256" t="s">
        <v>411</v>
      </c>
      <c r="F256" t="s">
        <v>412</v>
      </c>
      <c r="G256" t="s">
        <v>413</v>
      </c>
      <c r="H256">
        <v>23</v>
      </c>
      <c r="I256" t="s">
        <v>398</v>
      </c>
      <c r="J256">
        <v>71</v>
      </c>
      <c r="K256" t="s">
        <v>256</v>
      </c>
      <c r="L256">
        <v>9</v>
      </c>
      <c r="M256" t="s">
        <v>414</v>
      </c>
      <c r="N256">
        <v>1</v>
      </c>
      <c r="O256" s="105">
        <v>43439</v>
      </c>
      <c r="P256">
        <f t="shared" si="10"/>
        <v>3</v>
      </c>
      <c r="Q256">
        <f t="shared" si="11"/>
        <v>3</v>
      </c>
    </row>
    <row r="257" spans="1:17" x14ac:dyDescent="0.2">
      <c r="A257">
        <v>559542</v>
      </c>
      <c r="B257" t="str">
        <f t="shared" si="9"/>
        <v>559542 - 1</v>
      </c>
      <c r="C257">
        <v>8999</v>
      </c>
      <c r="D257" t="s">
        <v>209</v>
      </c>
      <c r="E257" t="s">
        <v>210</v>
      </c>
      <c r="F257" t="s">
        <v>211</v>
      </c>
      <c r="G257" t="s">
        <v>212</v>
      </c>
      <c r="H257">
        <v>1</v>
      </c>
      <c r="I257" t="s">
        <v>194</v>
      </c>
      <c r="J257">
        <v>1</v>
      </c>
      <c r="K257" t="s">
        <v>227</v>
      </c>
      <c r="L257">
        <v>270</v>
      </c>
      <c r="M257" t="s">
        <v>345</v>
      </c>
      <c r="N257">
        <v>1</v>
      </c>
      <c r="O257" s="105">
        <v>43439</v>
      </c>
      <c r="P257">
        <f t="shared" si="10"/>
        <v>4</v>
      </c>
      <c r="Q257">
        <f t="shared" si="11"/>
        <v>1</v>
      </c>
    </row>
    <row r="258" spans="1:17" x14ac:dyDescent="0.2">
      <c r="A258">
        <v>559542</v>
      </c>
      <c r="B258" t="str">
        <f t="shared" si="9"/>
        <v>559542 - 2</v>
      </c>
      <c r="C258">
        <v>8999</v>
      </c>
      <c r="D258" t="s">
        <v>209</v>
      </c>
      <c r="E258" t="s">
        <v>210</v>
      </c>
      <c r="F258" t="s">
        <v>211</v>
      </c>
      <c r="G258" t="s">
        <v>212</v>
      </c>
      <c r="H258">
        <v>1</v>
      </c>
      <c r="I258" t="s">
        <v>194</v>
      </c>
      <c r="J258">
        <v>26</v>
      </c>
      <c r="K258" t="s">
        <v>218</v>
      </c>
      <c r="L258">
        <v>12</v>
      </c>
      <c r="M258" t="s">
        <v>345</v>
      </c>
      <c r="N258">
        <v>1</v>
      </c>
      <c r="O258" s="105">
        <v>43439</v>
      </c>
      <c r="P258">
        <f t="shared" si="10"/>
        <v>4</v>
      </c>
      <c r="Q258">
        <f t="shared" si="11"/>
        <v>2</v>
      </c>
    </row>
    <row r="259" spans="1:17" x14ac:dyDescent="0.2">
      <c r="A259">
        <v>559542</v>
      </c>
      <c r="B259" t="str">
        <f t="shared" si="9"/>
        <v>559542 - 3</v>
      </c>
      <c r="C259">
        <v>8999</v>
      </c>
      <c r="D259" t="s">
        <v>209</v>
      </c>
      <c r="E259" t="s">
        <v>210</v>
      </c>
      <c r="F259" t="s">
        <v>211</v>
      </c>
      <c r="G259" t="s">
        <v>212</v>
      </c>
      <c r="H259">
        <v>1</v>
      </c>
      <c r="I259" t="s">
        <v>194</v>
      </c>
      <c r="J259">
        <v>240</v>
      </c>
      <c r="K259" t="s">
        <v>219</v>
      </c>
      <c r="L259">
        <v>869</v>
      </c>
      <c r="M259" t="s">
        <v>345</v>
      </c>
      <c r="N259">
        <v>1</v>
      </c>
      <c r="O259" s="105">
        <v>43439</v>
      </c>
      <c r="P259">
        <f t="shared" si="10"/>
        <v>4</v>
      </c>
      <c r="Q259">
        <f t="shared" si="11"/>
        <v>3</v>
      </c>
    </row>
    <row r="260" spans="1:17" x14ac:dyDescent="0.2">
      <c r="A260">
        <v>559542</v>
      </c>
      <c r="B260" t="str">
        <f t="shared" si="9"/>
        <v>559542 - 4</v>
      </c>
      <c r="C260">
        <v>8999</v>
      </c>
      <c r="D260" t="s">
        <v>209</v>
      </c>
      <c r="E260" t="s">
        <v>210</v>
      </c>
      <c r="F260" t="s">
        <v>211</v>
      </c>
      <c r="G260" t="s">
        <v>212</v>
      </c>
      <c r="H260">
        <v>1</v>
      </c>
      <c r="I260" t="s">
        <v>194</v>
      </c>
      <c r="J260">
        <v>242</v>
      </c>
      <c r="K260" t="s">
        <v>217</v>
      </c>
      <c r="L260">
        <v>42</v>
      </c>
      <c r="M260" t="s">
        <v>345</v>
      </c>
      <c r="N260">
        <v>1</v>
      </c>
      <c r="O260" s="105">
        <v>43439</v>
      </c>
      <c r="P260">
        <f t="shared" si="10"/>
        <v>4</v>
      </c>
      <c r="Q260">
        <f t="shared" si="11"/>
        <v>4</v>
      </c>
    </row>
    <row r="261" spans="1:17" x14ac:dyDescent="0.2">
      <c r="A261">
        <v>559543</v>
      </c>
      <c r="B261" t="str">
        <f t="shared" ref="B261:B324" si="12">CONCATENATE(A261," - ",Q261)</f>
        <v>559543 - 1</v>
      </c>
      <c r="C261">
        <v>8999</v>
      </c>
      <c r="D261" t="s">
        <v>209</v>
      </c>
      <c r="E261" t="s">
        <v>210</v>
      </c>
      <c r="F261" t="s">
        <v>211</v>
      </c>
      <c r="G261" t="s">
        <v>212</v>
      </c>
      <c r="H261">
        <v>1</v>
      </c>
      <c r="I261" t="s">
        <v>194</v>
      </c>
      <c r="J261">
        <v>26</v>
      </c>
      <c r="K261" t="s">
        <v>218</v>
      </c>
      <c r="L261">
        <v>4</v>
      </c>
      <c r="M261" t="s">
        <v>334</v>
      </c>
      <c r="N261">
        <v>1</v>
      </c>
      <c r="O261" s="105">
        <v>43439</v>
      </c>
      <c r="P261">
        <f t="shared" ref="P261:P324" si="13">+COUNTIF(A:A,A261)</f>
        <v>3</v>
      </c>
      <c r="Q261">
        <f t="shared" ref="Q261:Q324" si="14">IF(A261=A260,Q260+1,1)</f>
        <v>1</v>
      </c>
    </row>
    <row r="262" spans="1:17" x14ac:dyDescent="0.2">
      <c r="A262">
        <v>559543</v>
      </c>
      <c r="B262" t="str">
        <f t="shared" si="12"/>
        <v>559543 - 2</v>
      </c>
      <c r="C262">
        <v>8999</v>
      </c>
      <c r="D262" t="s">
        <v>209</v>
      </c>
      <c r="E262" t="s">
        <v>210</v>
      </c>
      <c r="F262" t="s">
        <v>211</v>
      </c>
      <c r="G262" t="s">
        <v>212</v>
      </c>
      <c r="H262">
        <v>1</v>
      </c>
      <c r="I262" t="s">
        <v>194</v>
      </c>
      <c r="J262">
        <v>240</v>
      </c>
      <c r="K262" t="s">
        <v>219</v>
      </c>
      <c r="L262">
        <v>94</v>
      </c>
      <c r="M262" t="s">
        <v>334</v>
      </c>
      <c r="N262">
        <v>1</v>
      </c>
      <c r="O262" s="105">
        <v>43439</v>
      </c>
      <c r="P262">
        <f t="shared" si="13"/>
        <v>3</v>
      </c>
      <c r="Q262">
        <f t="shared" si="14"/>
        <v>2</v>
      </c>
    </row>
    <row r="263" spans="1:17" x14ac:dyDescent="0.2">
      <c r="A263">
        <v>559543</v>
      </c>
      <c r="B263" t="str">
        <f t="shared" si="12"/>
        <v>559543 - 3</v>
      </c>
      <c r="C263">
        <v>8999</v>
      </c>
      <c r="D263" t="s">
        <v>209</v>
      </c>
      <c r="E263" t="s">
        <v>210</v>
      </c>
      <c r="F263" t="s">
        <v>211</v>
      </c>
      <c r="G263" t="s">
        <v>212</v>
      </c>
      <c r="H263">
        <v>1</v>
      </c>
      <c r="I263" t="s">
        <v>194</v>
      </c>
      <c r="J263">
        <v>242</v>
      </c>
      <c r="K263" t="s">
        <v>217</v>
      </c>
      <c r="L263">
        <v>108</v>
      </c>
      <c r="M263" t="s">
        <v>334</v>
      </c>
      <c r="N263">
        <v>1</v>
      </c>
      <c r="O263" s="105">
        <v>43439</v>
      </c>
      <c r="P263">
        <f t="shared" si="13"/>
        <v>3</v>
      </c>
      <c r="Q263">
        <f t="shared" si="14"/>
        <v>3</v>
      </c>
    </row>
    <row r="264" spans="1:17" x14ac:dyDescent="0.2">
      <c r="A264">
        <v>559544</v>
      </c>
      <c r="B264" t="str">
        <f t="shared" si="12"/>
        <v>559544 - 1</v>
      </c>
      <c r="C264">
        <v>8999</v>
      </c>
      <c r="D264" t="s">
        <v>209</v>
      </c>
      <c r="E264" t="s">
        <v>210</v>
      </c>
      <c r="F264" t="s">
        <v>211</v>
      </c>
      <c r="G264" t="s">
        <v>212</v>
      </c>
      <c r="H264">
        <v>1</v>
      </c>
      <c r="I264" t="s">
        <v>194</v>
      </c>
      <c r="J264">
        <v>17</v>
      </c>
      <c r="K264" t="s">
        <v>230</v>
      </c>
      <c r="L264">
        <v>60</v>
      </c>
      <c r="M264" t="s">
        <v>337</v>
      </c>
      <c r="N264">
        <v>1</v>
      </c>
      <c r="O264" s="105">
        <v>43439</v>
      </c>
      <c r="P264">
        <f t="shared" si="13"/>
        <v>4</v>
      </c>
      <c r="Q264">
        <f t="shared" si="14"/>
        <v>1</v>
      </c>
    </row>
    <row r="265" spans="1:17" x14ac:dyDescent="0.2">
      <c r="A265">
        <v>559544</v>
      </c>
      <c r="B265" t="str">
        <f t="shared" si="12"/>
        <v>559544 - 2</v>
      </c>
      <c r="C265">
        <v>8999</v>
      </c>
      <c r="D265" t="s">
        <v>209</v>
      </c>
      <c r="E265" t="s">
        <v>210</v>
      </c>
      <c r="F265" t="s">
        <v>211</v>
      </c>
      <c r="G265" t="s">
        <v>212</v>
      </c>
      <c r="H265">
        <v>1</v>
      </c>
      <c r="I265" t="s">
        <v>194</v>
      </c>
      <c r="J265">
        <v>26</v>
      </c>
      <c r="K265" t="s">
        <v>218</v>
      </c>
      <c r="L265">
        <v>7</v>
      </c>
      <c r="M265" t="s">
        <v>337</v>
      </c>
      <c r="N265">
        <v>1</v>
      </c>
      <c r="O265" s="105">
        <v>43439</v>
      </c>
      <c r="P265">
        <f t="shared" si="13"/>
        <v>4</v>
      </c>
      <c r="Q265">
        <f t="shared" si="14"/>
        <v>2</v>
      </c>
    </row>
    <row r="266" spans="1:17" x14ac:dyDescent="0.2">
      <c r="A266">
        <v>559544</v>
      </c>
      <c r="B266" t="str">
        <f t="shared" si="12"/>
        <v>559544 - 3</v>
      </c>
      <c r="C266">
        <v>8999</v>
      </c>
      <c r="D266" t="s">
        <v>209</v>
      </c>
      <c r="E266" t="s">
        <v>210</v>
      </c>
      <c r="F266" t="s">
        <v>211</v>
      </c>
      <c r="G266" t="s">
        <v>212</v>
      </c>
      <c r="H266">
        <v>1</v>
      </c>
      <c r="I266" t="s">
        <v>194</v>
      </c>
      <c r="J266">
        <v>240</v>
      </c>
      <c r="K266" t="s">
        <v>219</v>
      </c>
      <c r="L266">
        <v>334</v>
      </c>
      <c r="M266" t="s">
        <v>337</v>
      </c>
      <c r="N266">
        <v>1</v>
      </c>
      <c r="O266" s="105">
        <v>43439</v>
      </c>
      <c r="P266">
        <f t="shared" si="13"/>
        <v>4</v>
      </c>
      <c r="Q266">
        <f t="shared" si="14"/>
        <v>3</v>
      </c>
    </row>
    <row r="267" spans="1:17" x14ac:dyDescent="0.2">
      <c r="A267">
        <v>559544</v>
      </c>
      <c r="B267" t="str">
        <f t="shared" si="12"/>
        <v>559544 - 4</v>
      </c>
      <c r="C267">
        <v>8999</v>
      </c>
      <c r="D267" t="s">
        <v>209</v>
      </c>
      <c r="E267" t="s">
        <v>210</v>
      </c>
      <c r="F267" t="s">
        <v>211</v>
      </c>
      <c r="G267" t="s">
        <v>212</v>
      </c>
      <c r="H267">
        <v>1</v>
      </c>
      <c r="I267" t="s">
        <v>194</v>
      </c>
      <c r="J267">
        <v>242</v>
      </c>
      <c r="K267" t="s">
        <v>217</v>
      </c>
      <c r="L267">
        <v>139</v>
      </c>
      <c r="M267" t="s">
        <v>337</v>
      </c>
      <c r="N267">
        <v>1</v>
      </c>
      <c r="O267" s="105">
        <v>43439</v>
      </c>
      <c r="P267">
        <f t="shared" si="13"/>
        <v>4</v>
      </c>
      <c r="Q267">
        <f t="shared" si="14"/>
        <v>4</v>
      </c>
    </row>
    <row r="268" spans="1:17" x14ac:dyDescent="0.2">
      <c r="A268">
        <v>559548</v>
      </c>
      <c r="B268" t="str">
        <f t="shared" si="12"/>
        <v>559548 - 1</v>
      </c>
      <c r="C268">
        <v>2550</v>
      </c>
      <c r="D268" t="s">
        <v>325</v>
      </c>
      <c r="E268" t="s">
        <v>326</v>
      </c>
      <c r="F268" t="s">
        <v>327</v>
      </c>
      <c r="G268" t="s">
        <v>328</v>
      </c>
      <c r="H268">
        <v>22</v>
      </c>
      <c r="I268" t="s">
        <v>329</v>
      </c>
      <c r="J268">
        <v>61</v>
      </c>
      <c r="K268" t="s">
        <v>330</v>
      </c>
      <c r="L268">
        <v>133</v>
      </c>
      <c r="M268" t="s">
        <v>415</v>
      </c>
      <c r="N268">
        <v>1</v>
      </c>
      <c r="O268" s="105">
        <v>43439</v>
      </c>
      <c r="P268">
        <f t="shared" si="13"/>
        <v>3</v>
      </c>
      <c r="Q268">
        <f t="shared" si="14"/>
        <v>1</v>
      </c>
    </row>
    <row r="269" spans="1:17" x14ac:dyDescent="0.2">
      <c r="A269">
        <v>559548</v>
      </c>
      <c r="B269" t="str">
        <f t="shared" si="12"/>
        <v>559548 - 2</v>
      </c>
      <c r="C269">
        <v>2550</v>
      </c>
      <c r="D269" t="s">
        <v>325</v>
      </c>
      <c r="E269" t="s">
        <v>326</v>
      </c>
      <c r="F269" t="s">
        <v>327</v>
      </c>
      <c r="G269" t="s">
        <v>328</v>
      </c>
      <c r="H269">
        <v>22</v>
      </c>
      <c r="I269" t="s">
        <v>329</v>
      </c>
      <c r="J269">
        <v>74</v>
      </c>
      <c r="K269" t="s">
        <v>262</v>
      </c>
      <c r="L269">
        <v>5</v>
      </c>
      <c r="M269" t="s">
        <v>415</v>
      </c>
      <c r="N269">
        <v>1</v>
      </c>
      <c r="O269" s="105">
        <v>43439</v>
      </c>
      <c r="P269">
        <f t="shared" si="13"/>
        <v>3</v>
      </c>
      <c r="Q269">
        <f t="shared" si="14"/>
        <v>2</v>
      </c>
    </row>
    <row r="270" spans="1:17" x14ac:dyDescent="0.2">
      <c r="A270">
        <v>559548</v>
      </c>
      <c r="B270" t="str">
        <f t="shared" si="12"/>
        <v>559548 - 3</v>
      </c>
      <c r="C270">
        <v>2550</v>
      </c>
      <c r="D270" t="s">
        <v>325</v>
      </c>
      <c r="E270" t="s">
        <v>326</v>
      </c>
      <c r="F270" t="s">
        <v>327</v>
      </c>
      <c r="G270" t="s">
        <v>328</v>
      </c>
      <c r="H270">
        <v>22</v>
      </c>
      <c r="I270" t="s">
        <v>329</v>
      </c>
      <c r="J270">
        <v>78</v>
      </c>
      <c r="K270" t="s">
        <v>263</v>
      </c>
      <c r="L270">
        <v>12</v>
      </c>
      <c r="M270" t="s">
        <v>415</v>
      </c>
      <c r="N270">
        <v>1</v>
      </c>
      <c r="O270" s="105">
        <v>43439</v>
      </c>
      <c r="P270">
        <f t="shared" si="13"/>
        <v>3</v>
      </c>
      <c r="Q270">
        <f t="shared" si="14"/>
        <v>3</v>
      </c>
    </row>
    <row r="271" spans="1:17" x14ac:dyDescent="0.2">
      <c r="A271">
        <v>559549</v>
      </c>
      <c r="B271" t="str">
        <f t="shared" si="12"/>
        <v>559549 - 1</v>
      </c>
      <c r="C271">
        <v>3223</v>
      </c>
      <c r="D271" t="s">
        <v>236</v>
      </c>
      <c r="E271" t="s">
        <v>237</v>
      </c>
      <c r="F271" t="s">
        <v>238</v>
      </c>
      <c r="G271" t="s">
        <v>239</v>
      </c>
      <c r="H271">
        <v>5</v>
      </c>
      <c r="I271" t="s">
        <v>226</v>
      </c>
      <c r="J271">
        <v>71</v>
      </c>
      <c r="K271" t="s">
        <v>256</v>
      </c>
      <c r="L271">
        <v>6</v>
      </c>
      <c r="M271" t="s">
        <v>416</v>
      </c>
      <c r="N271">
        <v>1</v>
      </c>
      <c r="O271" s="105">
        <v>43439</v>
      </c>
      <c r="P271">
        <f t="shared" si="13"/>
        <v>1</v>
      </c>
      <c r="Q271">
        <f t="shared" si="14"/>
        <v>1</v>
      </c>
    </row>
    <row r="272" spans="1:17" x14ac:dyDescent="0.2">
      <c r="A272">
        <v>559550</v>
      </c>
      <c r="B272" t="str">
        <f t="shared" si="12"/>
        <v>559550 - 1</v>
      </c>
      <c r="C272">
        <v>8999</v>
      </c>
      <c r="D272" t="s">
        <v>209</v>
      </c>
      <c r="E272" t="s">
        <v>210</v>
      </c>
      <c r="F272" t="s">
        <v>211</v>
      </c>
      <c r="G272" t="s">
        <v>212</v>
      </c>
      <c r="H272">
        <v>1</v>
      </c>
      <c r="I272" t="s">
        <v>194</v>
      </c>
      <c r="J272">
        <v>26</v>
      </c>
      <c r="K272" t="s">
        <v>218</v>
      </c>
      <c r="L272">
        <v>1</v>
      </c>
      <c r="M272" t="s">
        <v>346</v>
      </c>
      <c r="N272">
        <v>1</v>
      </c>
      <c r="O272" s="105">
        <v>43439</v>
      </c>
      <c r="P272">
        <f t="shared" si="13"/>
        <v>2</v>
      </c>
      <c r="Q272">
        <f t="shared" si="14"/>
        <v>1</v>
      </c>
    </row>
    <row r="273" spans="1:17" x14ac:dyDescent="0.2">
      <c r="A273">
        <v>559550</v>
      </c>
      <c r="B273" t="str">
        <f t="shared" si="12"/>
        <v>559550 - 2</v>
      </c>
      <c r="C273">
        <v>8999</v>
      </c>
      <c r="D273" t="s">
        <v>209</v>
      </c>
      <c r="E273" t="s">
        <v>210</v>
      </c>
      <c r="F273" t="s">
        <v>211</v>
      </c>
      <c r="G273" t="s">
        <v>212</v>
      </c>
      <c r="H273">
        <v>1</v>
      </c>
      <c r="I273" t="s">
        <v>194</v>
      </c>
      <c r="J273">
        <v>242</v>
      </c>
      <c r="K273" t="s">
        <v>217</v>
      </c>
      <c r="L273">
        <v>51</v>
      </c>
      <c r="M273" t="s">
        <v>346</v>
      </c>
      <c r="N273">
        <v>1</v>
      </c>
      <c r="O273" s="105">
        <v>43439</v>
      </c>
      <c r="P273">
        <f t="shared" si="13"/>
        <v>2</v>
      </c>
      <c r="Q273">
        <f t="shared" si="14"/>
        <v>2</v>
      </c>
    </row>
    <row r="274" spans="1:17" x14ac:dyDescent="0.2">
      <c r="A274">
        <v>559576</v>
      </c>
      <c r="B274" t="str">
        <f t="shared" si="12"/>
        <v>559576 - 1</v>
      </c>
      <c r="C274">
        <v>2423</v>
      </c>
      <c r="D274" t="s">
        <v>417</v>
      </c>
      <c r="E274" t="s">
        <v>418</v>
      </c>
      <c r="F274" t="s">
        <v>419</v>
      </c>
      <c r="G274" t="s">
        <v>420</v>
      </c>
      <c r="H274">
        <v>22</v>
      </c>
      <c r="I274" t="s">
        <v>329</v>
      </c>
      <c r="J274">
        <v>61</v>
      </c>
      <c r="K274" t="s">
        <v>330</v>
      </c>
      <c r="L274">
        <v>493</v>
      </c>
      <c r="M274" t="s">
        <v>421</v>
      </c>
      <c r="N274">
        <v>1</v>
      </c>
      <c r="O274" s="105">
        <v>43439</v>
      </c>
      <c r="P274">
        <f t="shared" si="13"/>
        <v>3</v>
      </c>
      <c r="Q274">
        <f t="shared" si="14"/>
        <v>1</v>
      </c>
    </row>
    <row r="275" spans="1:17" x14ac:dyDescent="0.2">
      <c r="A275">
        <v>559576</v>
      </c>
      <c r="B275" t="str">
        <f t="shared" si="12"/>
        <v>559576 - 2</v>
      </c>
      <c r="C275">
        <v>2423</v>
      </c>
      <c r="D275" t="s">
        <v>417</v>
      </c>
      <c r="E275" t="s">
        <v>418</v>
      </c>
      <c r="F275" t="s">
        <v>419</v>
      </c>
      <c r="G275" t="s">
        <v>420</v>
      </c>
      <c r="H275">
        <v>22</v>
      </c>
      <c r="I275" t="s">
        <v>329</v>
      </c>
      <c r="J275">
        <v>70</v>
      </c>
      <c r="K275" t="s">
        <v>200</v>
      </c>
      <c r="L275">
        <v>29</v>
      </c>
      <c r="M275" t="s">
        <v>421</v>
      </c>
      <c r="N275">
        <v>1</v>
      </c>
      <c r="O275" s="105">
        <v>43439</v>
      </c>
      <c r="P275">
        <f t="shared" si="13"/>
        <v>3</v>
      </c>
      <c r="Q275">
        <f t="shared" si="14"/>
        <v>2</v>
      </c>
    </row>
    <row r="276" spans="1:17" x14ac:dyDescent="0.2">
      <c r="A276">
        <v>559576</v>
      </c>
      <c r="B276" t="str">
        <f t="shared" si="12"/>
        <v>559576 - 3</v>
      </c>
      <c r="C276">
        <v>2423</v>
      </c>
      <c r="D276" t="s">
        <v>417</v>
      </c>
      <c r="E276" t="s">
        <v>418</v>
      </c>
      <c r="F276" t="s">
        <v>419</v>
      </c>
      <c r="G276" t="s">
        <v>420</v>
      </c>
      <c r="H276">
        <v>22</v>
      </c>
      <c r="I276" t="s">
        <v>329</v>
      </c>
      <c r="J276">
        <v>74</v>
      </c>
      <c r="K276" t="s">
        <v>262</v>
      </c>
      <c r="L276">
        <v>69</v>
      </c>
      <c r="M276" t="s">
        <v>421</v>
      </c>
      <c r="N276">
        <v>1</v>
      </c>
      <c r="O276" s="105">
        <v>43439</v>
      </c>
      <c r="P276">
        <f t="shared" si="13"/>
        <v>3</v>
      </c>
      <c r="Q276">
        <f t="shared" si="14"/>
        <v>3</v>
      </c>
    </row>
    <row r="277" spans="1:17" x14ac:dyDescent="0.2">
      <c r="A277">
        <v>559578</v>
      </c>
      <c r="B277" t="str">
        <f t="shared" si="12"/>
        <v>559578 - 1</v>
      </c>
      <c r="C277">
        <v>8999</v>
      </c>
      <c r="D277" t="s">
        <v>209</v>
      </c>
      <c r="E277" t="s">
        <v>210</v>
      </c>
      <c r="F277" t="s">
        <v>211</v>
      </c>
      <c r="G277" t="s">
        <v>212</v>
      </c>
      <c r="H277">
        <v>1</v>
      </c>
      <c r="I277" t="s">
        <v>194</v>
      </c>
      <c r="J277">
        <v>18</v>
      </c>
      <c r="K277" t="s">
        <v>231</v>
      </c>
      <c r="L277">
        <v>214</v>
      </c>
      <c r="M277" t="s">
        <v>346</v>
      </c>
      <c r="N277">
        <v>1</v>
      </c>
      <c r="O277" s="105">
        <v>43439</v>
      </c>
      <c r="P277">
        <f t="shared" si="13"/>
        <v>4</v>
      </c>
      <c r="Q277">
        <f t="shared" si="14"/>
        <v>1</v>
      </c>
    </row>
    <row r="278" spans="1:17" x14ac:dyDescent="0.2">
      <c r="A278">
        <v>559578</v>
      </c>
      <c r="B278" t="str">
        <f t="shared" si="12"/>
        <v>559578 - 2</v>
      </c>
      <c r="C278">
        <v>8999</v>
      </c>
      <c r="D278" t="s">
        <v>209</v>
      </c>
      <c r="E278" t="s">
        <v>210</v>
      </c>
      <c r="F278" t="s">
        <v>211</v>
      </c>
      <c r="G278" t="s">
        <v>212</v>
      </c>
      <c r="H278">
        <v>1</v>
      </c>
      <c r="I278" t="s">
        <v>194</v>
      </c>
      <c r="J278">
        <v>26</v>
      </c>
      <c r="K278" t="s">
        <v>218</v>
      </c>
      <c r="L278">
        <v>26</v>
      </c>
      <c r="M278" t="s">
        <v>346</v>
      </c>
      <c r="N278">
        <v>1</v>
      </c>
      <c r="O278" s="105">
        <v>43439</v>
      </c>
      <c r="P278">
        <f t="shared" si="13"/>
        <v>4</v>
      </c>
      <c r="Q278">
        <f t="shared" si="14"/>
        <v>2</v>
      </c>
    </row>
    <row r="279" spans="1:17" x14ac:dyDescent="0.2">
      <c r="A279">
        <v>559578</v>
      </c>
      <c r="B279" t="str">
        <f t="shared" si="12"/>
        <v>559578 - 3</v>
      </c>
      <c r="C279">
        <v>8999</v>
      </c>
      <c r="D279" t="s">
        <v>209</v>
      </c>
      <c r="E279" t="s">
        <v>210</v>
      </c>
      <c r="F279" t="s">
        <v>211</v>
      </c>
      <c r="G279" t="s">
        <v>212</v>
      </c>
      <c r="H279">
        <v>1</v>
      </c>
      <c r="I279" t="s">
        <v>194</v>
      </c>
      <c r="J279">
        <v>240</v>
      </c>
      <c r="K279" t="s">
        <v>219</v>
      </c>
      <c r="L279">
        <v>1706</v>
      </c>
      <c r="M279" t="s">
        <v>346</v>
      </c>
      <c r="N279">
        <v>1</v>
      </c>
      <c r="O279" s="105">
        <v>43439</v>
      </c>
      <c r="P279">
        <f t="shared" si="13"/>
        <v>4</v>
      </c>
      <c r="Q279">
        <f t="shared" si="14"/>
        <v>3</v>
      </c>
    </row>
    <row r="280" spans="1:17" x14ac:dyDescent="0.2">
      <c r="A280">
        <v>559578</v>
      </c>
      <c r="B280" t="str">
        <f t="shared" si="12"/>
        <v>559578 - 4</v>
      </c>
      <c r="C280">
        <v>8999</v>
      </c>
      <c r="D280" t="s">
        <v>209</v>
      </c>
      <c r="E280" t="s">
        <v>210</v>
      </c>
      <c r="F280" t="s">
        <v>211</v>
      </c>
      <c r="G280" t="s">
        <v>212</v>
      </c>
      <c r="H280">
        <v>1</v>
      </c>
      <c r="I280" t="s">
        <v>194</v>
      </c>
      <c r="J280">
        <v>242</v>
      </c>
      <c r="K280" t="s">
        <v>217</v>
      </c>
      <c r="L280">
        <v>1152</v>
      </c>
      <c r="M280" t="s">
        <v>346</v>
      </c>
      <c r="N280">
        <v>1</v>
      </c>
      <c r="O280" s="105">
        <v>43439</v>
      </c>
      <c r="P280">
        <f t="shared" si="13"/>
        <v>4</v>
      </c>
      <c r="Q280">
        <f t="shared" si="14"/>
        <v>4</v>
      </c>
    </row>
    <row r="281" spans="1:17" x14ac:dyDescent="0.2">
      <c r="A281">
        <v>559579</v>
      </c>
      <c r="B281" t="str">
        <f t="shared" si="12"/>
        <v>559579 - 1</v>
      </c>
      <c r="C281">
        <v>2450</v>
      </c>
      <c r="D281" t="s">
        <v>400</v>
      </c>
      <c r="E281" t="s">
        <v>401</v>
      </c>
      <c r="F281" t="s">
        <v>396</v>
      </c>
      <c r="G281" t="s">
        <v>402</v>
      </c>
      <c r="H281">
        <v>23</v>
      </c>
      <c r="I281" t="s">
        <v>398</v>
      </c>
      <c r="J281">
        <v>5</v>
      </c>
      <c r="K281" t="s">
        <v>240</v>
      </c>
      <c r="L281">
        <v>6</v>
      </c>
      <c r="M281" t="s">
        <v>422</v>
      </c>
      <c r="N281">
        <v>1</v>
      </c>
      <c r="O281" s="105">
        <v>43439</v>
      </c>
      <c r="P281">
        <f t="shared" si="13"/>
        <v>2</v>
      </c>
      <c r="Q281">
        <f t="shared" si="14"/>
        <v>1</v>
      </c>
    </row>
    <row r="282" spans="1:17" x14ac:dyDescent="0.2">
      <c r="A282">
        <v>559579</v>
      </c>
      <c r="B282" t="str">
        <f t="shared" si="12"/>
        <v>559579 - 2</v>
      </c>
      <c r="C282">
        <v>2450</v>
      </c>
      <c r="D282" t="s">
        <v>400</v>
      </c>
      <c r="E282" t="s">
        <v>401</v>
      </c>
      <c r="F282" t="s">
        <v>396</v>
      </c>
      <c r="G282" t="s">
        <v>402</v>
      </c>
      <c r="H282">
        <v>23</v>
      </c>
      <c r="I282" t="s">
        <v>398</v>
      </c>
      <c r="J282">
        <v>12</v>
      </c>
      <c r="K282" t="s">
        <v>228</v>
      </c>
      <c r="L282">
        <v>1</v>
      </c>
      <c r="M282" t="s">
        <v>422</v>
      </c>
      <c r="N282">
        <v>1</v>
      </c>
      <c r="O282" s="105">
        <v>43439</v>
      </c>
      <c r="P282">
        <f t="shared" si="13"/>
        <v>2</v>
      </c>
      <c r="Q282">
        <f t="shared" si="14"/>
        <v>2</v>
      </c>
    </row>
    <row r="283" spans="1:17" x14ac:dyDescent="0.2">
      <c r="A283">
        <v>559580</v>
      </c>
      <c r="B283" t="str">
        <f t="shared" si="12"/>
        <v>559580 - 1</v>
      </c>
      <c r="C283">
        <v>2450</v>
      </c>
      <c r="D283" t="s">
        <v>400</v>
      </c>
      <c r="E283" t="s">
        <v>401</v>
      </c>
      <c r="F283" t="s">
        <v>396</v>
      </c>
      <c r="G283" t="s">
        <v>402</v>
      </c>
      <c r="H283">
        <v>23</v>
      </c>
      <c r="I283" t="s">
        <v>398</v>
      </c>
      <c r="J283">
        <v>5</v>
      </c>
      <c r="K283" t="s">
        <v>240</v>
      </c>
      <c r="L283">
        <v>33</v>
      </c>
      <c r="M283" t="s">
        <v>422</v>
      </c>
      <c r="N283">
        <v>1</v>
      </c>
      <c r="O283" s="105">
        <v>43439</v>
      </c>
      <c r="P283">
        <f t="shared" si="13"/>
        <v>2</v>
      </c>
      <c r="Q283">
        <f t="shared" si="14"/>
        <v>1</v>
      </c>
    </row>
    <row r="284" spans="1:17" x14ac:dyDescent="0.2">
      <c r="A284">
        <v>559580</v>
      </c>
      <c r="B284" t="str">
        <f t="shared" si="12"/>
        <v>559580 - 2</v>
      </c>
      <c r="C284">
        <v>2450</v>
      </c>
      <c r="D284" t="s">
        <v>400</v>
      </c>
      <c r="E284" t="s">
        <v>401</v>
      </c>
      <c r="F284" t="s">
        <v>396</v>
      </c>
      <c r="G284" t="s">
        <v>402</v>
      </c>
      <c r="H284">
        <v>23</v>
      </c>
      <c r="I284" t="s">
        <v>398</v>
      </c>
      <c r="J284">
        <v>71</v>
      </c>
      <c r="K284" t="s">
        <v>256</v>
      </c>
      <c r="L284">
        <v>16</v>
      </c>
      <c r="M284" t="s">
        <v>422</v>
      </c>
      <c r="N284">
        <v>1</v>
      </c>
      <c r="O284" s="105">
        <v>43439</v>
      </c>
      <c r="P284">
        <f t="shared" si="13"/>
        <v>2</v>
      </c>
      <c r="Q284">
        <f t="shared" si="14"/>
        <v>2</v>
      </c>
    </row>
    <row r="285" spans="1:17" x14ac:dyDescent="0.2">
      <c r="A285">
        <v>559581</v>
      </c>
      <c r="B285" t="str">
        <f t="shared" si="12"/>
        <v>559581 - 1</v>
      </c>
      <c r="C285">
        <v>2450</v>
      </c>
      <c r="D285" t="s">
        <v>400</v>
      </c>
      <c r="E285" t="s">
        <v>401</v>
      </c>
      <c r="F285" t="s">
        <v>396</v>
      </c>
      <c r="G285" t="s">
        <v>402</v>
      </c>
      <c r="H285">
        <v>23</v>
      </c>
      <c r="I285" t="s">
        <v>398</v>
      </c>
      <c r="J285">
        <v>5</v>
      </c>
      <c r="K285" t="s">
        <v>240</v>
      </c>
      <c r="L285">
        <v>4</v>
      </c>
      <c r="M285" t="s">
        <v>423</v>
      </c>
      <c r="N285">
        <v>1</v>
      </c>
      <c r="O285" s="105">
        <v>43439</v>
      </c>
      <c r="P285">
        <f t="shared" si="13"/>
        <v>1</v>
      </c>
      <c r="Q285">
        <f t="shared" si="14"/>
        <v>1</v>
      </c>
    </row>
    <row r="286" spans="1:17" x14ac:dyDescent="0.2">
      <c r="A286">
        <v>559583</v>
      </c>
      <c r="B286" t="str">
        <f t="shared" si="12"/>
        <v>559583 - 1</v>
      </c>
      <c r="C286">
        <v>2422</v>
      </c>
      <c r="D286" t="s">
        <v>424</v>
      </c>
      <c r="E286" t="s">
        <v>425</v>
      </c>
      <c r="F286" t="s">
        <v>391</v>
      </c>
      <c r="G286" t="s">
        <v>392</v>
      </c>
      <c r="H286">
        <v>22</v>
      </c>
      <c r="I286" t="s">
        <v>329</v>
      </c>
      <c r="J286">
        <v>61</v>
      </c>
      <c r="K286" t="s">
        <v>330</v>
      </c>
      <c r="L286">
        <v>231</v>
      </c>
      <c r="M286" t="s">
        <v>426</v>
      </c>
      <c r="N286">
        <v>1</v>
      </c>
      <c r="O286" s="105">
        <v>43439</v>
      </c>
      <c r="P286">
        <f t="shared" si="13"/>
        <v>2</v>
      </c>
      <c r="Q286">
        <f t="shared" si="14"/>
        <v>1</v>
      </c>
    </row>
    <row r="287" spans="1:17" x14ac:dyDescent="0.2">
      <c r="A287">
        <v>559583</v>
      </c>
      <c r="B287" t="str">
        <f t="shared" si="12"/>
        <v>559583 - 2</v>
      </c>
      <c r="C287">
        <v>2422</v>
      </c>
      <c r="D287" t="s">
        <v>424</v>
      </c>
      <c r="E287" t="s">
        <v>425</v>
      </c>
      <c r="F287" t="s">
        <v>391</v>
      </c>
      <c r="G287" t="s">
        <v>392</v>
      </c>
      <c r="H287">
        <v>22</v>
      </c>
      <c r="I287" t="s">
        <v>329</v>
      </c>
      <c r="J287">
        <v>70</v>
      </c>
      <c r="K287" t="s">
        <v>200</v>
      </c>
      <c r="L287">
        <v>6</v>
      </c>
      <c r="M287" t="s">
        <v>426</v>
      </c>
      <c r="N287">
        <v>1</v>
      </c>
      <c r="O287" s="105">
        <v>43439</v>
      </c>
      <c r="P287">
        <f t="shared" si="13"/>
        <v>2</v>
      </c>
      <c r="Q287">
        <f t="shared" si="14"/>
        <v>2</v>
      </c>
    </row>
    <row r="288" spans="1:17" x14ac:dyDescent="0.2">
      <c r="A288">
        <v>559586</v>
      </c>
      <c r="B288" t="str">
        <f t="shared" si="12"/>
        <v>559586 - 1</v>
      </c>
      <c r="C288">
        <v>3223</v>
      </c>
      <c r="D288" t="s">
        <v>236</v>
      </c>
      <c r="E288" t="s">
        <v>237</v>
      </c>
      <c r="F288" t="s">
        <v>238</v>
      </c>
      <c r="G288" t="s">
        <v>239</v>
      </c>
      <c r="H288">
        <v>5</v>
      </c>
      <c r="I288" t="s">
        <v>226</v>
      </c>
      <c r="J288">
        <v>71</v>
      </c>
      <c r="K288" t="s">
        <v>256</v>
      </c>
      <c r="L288">
        <v>2</v>
      </c>
      <c r="M288" t="s">
        <v>427</v>
      </c>
      <c r="N288">
        <v>1</v>
      </c>
      <c r="O288" s="105">
        <v>43439</v>
      </c>
      <c r="P288">
        <f t="shared" si="13"/>
        <v>1</v>
      </c>
      <c r="Q288">
        <f t="shared" si="14"/>
        <v>1</v>
      </c>
    </row>
    <row r="289" spans="1:17" x14ac:dyDescent="0.2">
      <c r="A289">
        <v>559589</v>
      </c>
      <c r="B289" t="str">
        <f t="shared" si="12"/>
        <v>559589 - 1</v>
      </c>
      <c r="C289">
        <v>2552</v>
      </c>
      <c r="D289" t="s">
        <v>436</v>
      </c>
      <c r="E289" t="s">
        <v>437</v>
      </c>
      <c r="F289" t="s">
        <v>391</v>
      </c>
      <c r="G289" t="s">
        <v>438</v>
      </c>
      <c r="H289">
        <v>22</v>
      </c>
      <c r="I289" t="s">
        <v>329</v>
      </c>
      <c r="J289">
        <v>61</v>
      </c>
      <c r="K289" t="s">
        <v>330</v>
      </c>
      <c r="L289">
        <v>701</v>
      </c>
      <c r="M289" t="s">
        <v>439</v>
      </c>
      <c r="N289">
        <v>1</v>
      </c>
      <c r="O289" s="105">
        <v>43439</v>
      </c>
      <c r="P289">
        <f t="shared" si="13"/>
        <v>3</v>
      </c>
      <c r="Q289">
        <f t="shared" si="14"/>
        <v>1</v>
      </c>
    </row>
    <row r="290" spans="1:17" x14ac:dyDescent="0.2">
      <c r="A290">
        <v>559589</v>
      </c>
      <c r="B290" t="str">
        <f t="shared" si="12"/>
        <v>559589 - 2</v>
      </c>
      <c r="C290">
        <v>2552</v>
      </c>
      <c r="D290" t="s">
        <v>436</v>
      </c>
      <c r="E290" t="s">
        <v>437</v>
      </c>
      <c r="F290" t="s">
        <v>391</v>
      </c>
      <c r="G290" t="s">
        <v>438</v>
      </c>
      <c r="H290">
        <v>22</v>
      </c>
      <c r="I290" t="s">
        <v>329</v>
      </c>
      <c r="J290">
        <v>74</v>
      </c>
      <c r="K290" t="s">
        <v>262</v>
      </c>
      <c r="L290">
        <v>69</v>
      </c>
      <c r="M290" t="s">
        <v>439</v>
      </c>
      <c r="N290">
        <v>1</v>
      </c>
      <c r="O290" s="105">
        <v>43439</v>
      </c>
      <c r="P290">
        <f t="shared" si="13"/>
        <v>3</v>
      </c>
      <c r="Q290">
        <f t="shared" si="14"/>
        <v>2</v>
      </c>
    </row>
    <row r="291" spans="1:17" x14ac:dyDescent="0.2">
      <c r="A291">
        <v>559589</v>
      </c>
      <c r="B291" t="str">
        <f t="shared" si="12"/>
        <v>559589 - 3</v>
      </c>
      <c r="C291">
        <v>2552</v>
      </c>
      <c r="D291" t="s">
        <v>436</v>
      </c>
      <c r="E291" t="s">
        <v>437</v>
      </c>
      <c r="F291" t="s">
        <v>391</v>
      </c>
      <c r="G291" t="s">
        <v>438</v>
      </c>
      <c r="H291">
        <v>22</v>
      </c>
      <c r="I291" t="s">
        <v>329</v>
      </c>
      <c r="J291">
        <v>78</v>
      </c>
      <c r="K291" t="s">
        <v>263</v>
      </c>
      <c r="L291">
        <v>27</v>
      </c>
      <c r="M291" t="s">
        <v>439</v>
      </c>
      <c r="N291">
        <v>1</v>
      </c>
      <c r="O291" s="105">
        <v>43439</v>
      </c>
      <c r="P291">
        <f t="shared" si="13"/>
        <v>3</v>
      </c>
      <c r="Q291">
        <f t="shared" si="14"/>
        <v>3</v>
      </c>
    </row>
    <row r="292" spans="1:17" x14ac:dyDescent="0.2">
      <c r="A292">
        <v>559591</v>
      </c>
      <c r="B292" t="str">
        <f t="shared" si="12"/>
        <v>559591 - 1</v>
      </c>
      <c r="C292">
        <v>8999</v>
      </c>
      <c r="D292" t="s">
        <v>209</v>
      </c>
      <c r="E292" t="s">
        <v>210</v>
      </c>
      <c r="F292" t="s">
        <v>211</v>
      </c>
      <c r="G292" t="s">
        <v>212</v>
      </c>
      <c r="H292">
        <v>1</v>
      </c>
      <c r="I292" t="s">
        <v>194</v>
      </c>
      <c r="J292">
        <v>70</v>
      </c>
      <c r="K292" t="s">
        <v>200</v>
      </c>
      <c r="L292">
        <v>24</v>
      </c>
      <c r="M292" t="s">
        <v>428</v>
      </c>
      <c r="N292">
        <v>1</v>
      </c>
      <c r="O292" s="105">
        <v>43439</v>
      </c>
      <c r="P292">
        <f t="shared" si="13"/>
        <v>3</v>
      </c>
      <c r="Q292">
        <f t="shared" si="14"/>
        <v>1</v>
      </c>
    </row>
    <row r="293" spans="1:17" x14ac:dyDescent="0.2">
      <c r="A293">
        <v>559591</v>
      </c>
      <c r="B293" t="str">
        <f t="shared" si="12"/>
        <v>559591 - 2</v>
      </c>
      <c r="C293">
        <v>8999</v>
      </c>
      <c r="D293" t="s">
        <v>209</v>
      </c>
      <c r="E293" t="s">
        <v>210</v>
      </c>
      <c r="F293" t="s">
        <v>211</v>
      </c>
      <c r="G293" t="s">
        <v>212</v>
      </c>
      <c r="H293">
        <v>1</v>
      </c>
      <c r="I293" t="s">
        <v>194</v>
      </c>
      <c r="J293">
        <v>301</v>
      </c>
      <c r="K293" t="s">
        <v>336</v>
      </c>
      <c r="L293">
        <v>1146</v>
      </c>
      <c r="M293" t="s">
        <v>428</v>
      </c>
      <c r="N293">
        <v>1</v>
      </c>
      <c r="O293" s="105">
        <v>43439</v>
      </c>
      <c r="P293">
        <f t="shared" si="13"/>
        <v>3</v>
      </c>
      <c r="Q293">
        <f t="shared" si="14"/>
        <v>2</v>
      </c>
    </row>
    <row r="294" spans="1:17" x14ac:dyDescent="0.2">
      <c r="A294">
        <v>559591</v>
      </c>
      <c r="B294" t="str">
        <f t="shared" si="12"/>
        <v>559591 - 3</v>
      </c>
      <c r="C294">
        <v>8999</v>
      </c>
      <c r="D294" t="s">
        <v>209</v>
      </c>
      <c r="E294" t="s">
        <v>210</v>
      </c>
      <c r="F294" t="s">
        <v>211</v>
      </c>
      <c r="G294" t="s">
        <v>212</v>
      </c>
      <c r="H294">
        <v>1</v>
      </c>
      <c r="I294" t="s">
        <v>194</v>
      </c>
      <c r="J294">
        <v>302</v>
      </c>
      <c r="K294" t="s">
        <v>322</v>
      </c>
      <c r="L294">
        <v>965</v>
      </c>
      <c r="M294" t="s">
        <v>428</v>
      </c>
      <c r="N294">
        <v>1</v>
      </c>
      <c r="O294" s="105">
        <v>43439</v>
      </c>
      <c r="P294">
        <f t="shared" si="13"/>
        <v>3</v>
      </c>
      <c r="Q294">
        <f t="shared" si="14"/>
        <v>3</v>
      </c>
    </row>
    <row r="295" spans="1:17" x14ac:dyDescent="0.2">
      <c r="A295">
        <v>559592</v>
      </c>
      <c r="B295" t="str">
        <f t="shared" si="12"/>
        <v>559592 - 1</v>
      </c>
      <c r="C295">
        <v>8999</v>
      </c>
      <c r="D295" t="s">
        <v>209</v>
      </c>
      <c r="E295" t="s">
        <v>210</v>
      </c>
      <c r="F295" t="s">
        <v>211</v>
      </c>
      <c r="G295" t="s">
        <v>212</v>
      </c>
      <c r="H295">
        <v>1</v>
      </c>
      <c r="I295" t="s">
        <v>194</v>
      </c>
      <c r="J295">
        <v>70</v>
      </c>
      <c r="K295" t="s">
        <v>200</v>
      </c>
      <c r="L295">
        <v>14</v>
      </c>
      <c r="M295" t="s">
        <v>429</v>
      </c>
      <c r="N295">
        <v>1</v>
      </c>
      <c r="O295" s="105">
        <v>43439</v>
      </c>
      <c r="P295">
        <f t="shared" si="13"/>
        <v>3</v>
      </c>
      <c r="Q295">
        <f t="shared" si="14"/>
        <v>1</v>
      </c>
    </row>
    <row r="296" spans="1:17" x14ac:dyDescent="0.2">
      <c r="A296">
        <v>559592</v>
      </c>
      <c r="B296" t="str">
        <f t="shared" si="12"/>
        <v>559592 - 2</v>
      </c>
      <c r="C296">
        <v>8999</v>
      </c>
      <c r="D296" t="s">
        <v>209</v>
      </c>
      <c r="E296" t="s">
        <v>210</v>
      </c>
      <c r="F296" t="s">
        <v>211</v>
      </c>
      <c r="G296" t="s">
        <v>212</v>
      </c>
      <c r="H296">
        <v>1</v>
      </c>
      <c r="I296" t="s">
        <v>194</v>
      </c>
      <c r="J296">
        <v>301</v>
      </c>
      <c r="K296" t="s">
        <v>336</v>
      </c>
      <c r="L296">
        <v>471</v>
      </c>
      <c r="M296" t="s">
        <v>429</v>
      </c>
      <c r="N296">
        <v>1</v>
      </c>
      <c r="O296" s="105">
        <v>43439</v>
      </c>
      <c r="P296">
        <f t="shared" si="13"/>
        <v>3</v>
      </c>
      <c r="Q296">
        <f t="shared" si="14"/>
        <v>2</v>
      </c>
    </row>
    <row r="297" spans="1:17" x14ac:dyDescent="0.2">
      <c r="A297">
        <v>559592</v>
      </c>
      <c r="B297" t="str">
        <f t="shared" si="12"/>
        <v>559592 - 3</v>
      </c>
      <c r="C297">
        <v>8999</v>
      </c>
      <c r="D297" t="s">
        <v>209</v>
      </c>
      <c r="E297" t="s">
        <v>210</v>
      </c>
      <c r="F297" t="s">
        <v>211</v>
      </c>
      <c r="G297" t="s">
        <v>212</v>
      </c>
      <c r="H297">
        <v>1</v>
      </c>
      <c r="I297" t="s">
        <v>194</v>
      </c>
      <c r="J297">
        <v>302</v>
      </c>
      <c r="K297" t="s">
        <v>322</v>
      </c>
      <c r="L297">
        <v>496</v>
      </c>
      <c r="M297" t="s">
        <v>429</v>
      </c>
      <c r="N297">
        <v>1</v>
      </c>
      <c r="O297" s="105">
        <v>43439</v>
      </c>
      <c r="P297">
        <f t="shared" si="13"/>
        <v>3</v>
      </c>
      <c r="Q297">
        <f t="shared" si="14"/>
        <v>3</v>
      </c>
    </row>
    <row r="298" spans="1:17" x14ac:dyDescent="0.2">
      <c r="A298">
        <v>559597</v>
      </c>
      <c r="B298" t="str">
        <f t="shared" si="12"/>
        <v>559597 - 1</v>
      </c>
      <c r="C298">
        <v>8999</v>
      </c>
      <c r="D298" t="s">
        <v>209</v>
      </c>
      <c r="E298" t="s">
        <v>210</v>
      </c>
      <c r="F298" t="s">
        <v>211</v>
      </c>
      <c r="G298" t="s">
        <v>212</v>
      </c>
      <c r="H298">
        <v>1</v>
      </c>
      <c r="I298" t="s">
        <v>194</v>
      </c>
      <c r="J298">
        <v>17</v>
      </c>
      <c r="K298" t="s">
        <v>230</v>
      </c>
      <c r="L298">
        <v>100</v>
      </c>
      <c r="M298" t="s">
        <v>338</v>
      </c>
      <c r="N298">
        <v>1</v>
      </c>
      <c r="O298" s="105">
        <v>43439</v>
      </c>
      <c r="P298">
        <f t="shared" si="13"/>
        <v>3</v>
      </c>
      <c r="Q298">
        <f t="shared" si="14"/>
        <v>1</v>
      </c>
    </row>
    <row r="299" spans="1:17" x14ac:dyDescent="0.2">
      <c r="A299">
        <v>559597</v>
      </c>
      <c r="B299" t="str">
        <f t="shared" si="12"/>
        <v>559597 - 2</v>
      </c>
      <c r="C299">
        <v>8999</v>
      </c>
      <c r="D299" t="s">
        <v>209</v>
      </c>
      <c r="E299" t="s">
        <v>210</v>
      </c>
      <c r="F299" t="s">
        <v>211</v>
      </c>
      <c r="G299" t="s">
        <v>212</v>
      </c>
      <c r="H299">
        <v>1</v>
      </c>
      <c r="I299" t="s">
        <v>194</v>
      </c>
      <c r="J299">
        <v>26</v>
      </c>
      <c r="K299" t="s">
        <v>218</v>
      </c>
      <c r="L299">
        <v>2</v>
      </c>
      <c r="M299" t="s">
        <v>338</v>
      </c>
      <c r="N299">
        <v>1</v>
      </c>
      <c r="O299" s="105">
        <v>43439</v>
      </c>
      <c r="P299">
        <f t="shared" si="13"/>
        <v>3</v>
      </c>
      <c r="Q299">
        <f t="shared" si="14"/>
        <v>2</v>
      </c>
    </row>
    <row r="300" spans="1:17" x14ac:dyDescent="0.2">
      <c r="A300">
        <v>559597</v>
      </c>
      <c r="B300" t="str">
        <f t="shared" si="12"/>
        <v>559597 - 3</v>
      </c>
      <c r="C300">
        <v>8999</v>
      </c>
      <c r="D300" t="s">
        <v>209</v>
      </c>
      <c r="E300" t="s">
        <v>210</v>
      </c>
      <c r="F300" t="s">
        <v>211</v>
      </c>
      <c r="G300" t="s">
        <v>212</v>
      </c>
      <c r="H300">
        <v>1</v>
      </c>
      <c r="I300" t="s">
        <v>194</v>
      </c>
      <c r="J300">
        <v>240</v>
      </c>
      <c r="K300" t="s">
        <v>219</v>
      </c>
      <c r="L300">
        <v>150</v>
      </c>
      <c r="M300" t="s">
        <v>338</v>
      </c>
      <c r="N300">
        <v>1</v>
      </c>
      <c r="O300" s="105">
        <v>43439</v>
      </c>
      <c r="P300">
        <f t="shared" si="13"/>
        <v>3</v>
      </c>
      <c r="Q300">
        <f t="shared" si="14"/>
        <v>3</v>
      </c>
    </row>
    <row r="301" spans="1:17" x14ac:dyDescent="0.2">
      <c r="A301">
        <v>559598</v>
      </c>
      <c r="B301" t="str">
        <f t="shared" si="12"/>
        <v>559598 - 1</v>
      </c>
      <c r="C301">
        <v>8999</v>
      </c>
      <c r="D301" t="s">
        <v>209</v>
      </c>
      <c r="E301" t="s">
        <v>210</v>
      </c>
      <c r="F301" t="s">
        <v>211</v>
      </c>
      <c r="G301" t="s">
        <v>212</v>
      </c>
      <c r="H301">
        <v>1</v>
      </c>
      <c r="I301" t="s">
        <v>194</v>
      </c>
      <c r="J301">
        <v>1</v>
      </c>
      <c r="K301" t="s">
        <v>227</v>
      </c>
      <c r="L301">
        <v>150</v>
      </c>
      <c r="M301" t="s">
        <v>339</v>
      </c>
      <c r="N301">
        <v>1</v>
      </c>
      <c r="O301" s="105">
        <v>43439</v>
      </c>
      <c r="P301">
        <f t="shared" si="13"/>
        <v>3</v>
      </c>
      <c r="Q301">
        <f t="shared" si="14"/>
        <v>1</v>
      </c>
    </row>
    <row r="302" spans="1:17" x14ac:dyDescent="0.2">
      <c r="A302">
        <v>559598</v>
      </c>
      <c r="B302" t="str">
        <f t="shared" si="12"/>
        <v>559598 - 2</v>
      </c>
      <c r="C302">
        <v>8999</v>
      </c>
      <c r="D302" t="s">
        <v>209</v>
      </c>
      <c r="E302" t="s">
        <v>210</v>
      </c>
      <c r="F302" t="s">
        <v>211</v>
      </c>
      <c r="G302" t="s">
        <v>212</v>
      </c>
      <c r="H302">
        <v>1</v>
      </c>
      <c r="I302" t="s">
        <v>194</v>
      </c>
      <c r="J302">
        <v>26</v>
      </c>
      <c r="K302" t="s">
        <v>218</v>
      </c>
      <c r="L302">
        <v>6</v>
      </c>
      <c r="M302" t="s">
        <v>339</v>
      </c>
      <c r="N302">
        <v>1</v>
      </c>
      <c r="O302" s="105">
        <v>43439</v>
      </c>
      <c r="P302">
        <f t="shared" si="13"/>
        <v>3</v>
      </c>
      <c r="Q302">
        <f t="shared" si="14"/>
        <v>2</v>
      </c>
    </row>
    <row r="303" spans="1:17" x14ac:dyDescent="0.2">
      <c r="A303">
        <v>559598</v>
      </c>
      <c r="B303" t="str">
        <f t="shared" si="12"/>
        <v>559598 - 3</v>
      </c>
      <c r="C303">
        <v>8999</v>
      </c>
      <c r="D303" t="s">
        <v>209</v>
      </c>
      <c r="E303" t="s">
        <v>210</v>
      </c>
      <c r="F303" t="s">
        <v>211</v>
      </c>
      <c r="G303" t="s">
        <v>212</v>
      </c>
      <c r="H303">
        <v>1</v>
      </c>
      <c r="I303" t="s">
        <v>194</v>
      </c>
      <c r="J303">
        <v>240</v>
      </c>
      <c r="K303" t="s">
        <v>219</v>
      </c>
      <c r="L303">
        <v>544</v>
      </c>
      <c r="M303" t="s">
        <v>339</v>
      </c>
      <c r="N303">
        <v>1</v>
      </c>
      <c r="O303" s="105">
        <v>43439</v>
      </c>
      <c r="P303">
        <f t="shared" si="13"/>
        <v>3</v>
      </c>
      <c r="Q303">
        <f t="shared" si="14"/>
        <v>3</v>
      </c>
    </row>
    <row r="304" spans="1:17" x14ac:dyDescent="0.2">
      <c r="A304">
        <v>559599</v>
      </c>
      <c r="B304" t="str">
        <f t="shared" si="12"/>
        <v>559599 - 1</v>
      </c>
      <c r="C304">
        <v>8999</v>
      </c>
      <c r="D304" t="s">
        <v>209</v>
      </c>
      <c r="E304" t="s">
        <v>210</v>
      </c>
      <c r="F304" t="s">
        <v>211</v>
      </c>
      <c r="G304" t="s">
        <v>212</v>
      </c>
      <c r="H304">
        <v>1</v>
      </c>
      <c r="I304" t="s">
        <v>194</v>
      </c>
      <c r="J304">
        <v>26</v>
      </c>
      <c r="K304" t="s">
        <v>218</v>
      </c>
      <c r="L304">
        <v>29</v>
      </c>
      <c r="M304" t="s">
        <v>346</v>
      </c>
      <c r="N304">
        <v>1</v>
      </c>
      <c r="O304" s="105">
        <v>43439</v>
      </c>
      <c r="P304">
        <f t="shared" si="13"/>
        <v>4</v>
      </c>
      <c r="Q304">
        <f t="shared" si="14"/>
        <v>1</v>
      </c>
    </row>
    <row r="305" spans="1:17" x14ac:dyDescent="0.2">
      <c r="A305">
        <v>559599</v>
      </c>
      <c r="B305" t="str">
        <f t="shared" si="12"/>
        <v>559599 - 2</v>
      </c>
      <c r="C305">
        <v>8999</v>
      </c>
      <c r="D305" t="s">
        <v>209</v>
      </c>
      <c r="E305" t="s">
        <v>210</v>
      </c>
      <c r="F305" t="s">
        <v>211</v>
      </c>
      <c r="G305" t="s">
        <v>212</v>
      </c>
      <c r="H305">
        <v>1</v>
      </c>
      <c r="I305" t="s">
        <v>194</v>
      </c>
      <c r="J305">
        <v>240</v>
      </c>
      <c r="K305" t="s">
        <v>219</v>
      </c>
      <c r="L305">
        <v>1032</v>
      </c>
      <c r="M305" t="s">
        <v>346</v>
      </c>
      <c r="N305">
        <v>1</v>
      </c>
      <c r="O305" s="105">
        <v>43439</v>
      </c>
      <c r="P305">
        <f t="shared" si="13"/>
        <v>4</v>
      </c>
      <c r="Q305">
        <f t="shared" si="14"/>
        <v>2</v>
      </c>
    </row>
    <row r="306" spans="1:17" x14ac:dyDescent="0.2">
      <c r="A306">
        <v>559599</v>
      </c>
      <c r="B306" t="str">
        <f t="shared" si="12"/>
        <v>559599 - 3</v>
      </c>
      <c r="C306">
        <v>8999</v>
      </c>
      <c r="D306" t="s">
        <v>209</v>
      </c>
      <c r="E306" t="s">
        <v>210</v>
      </c>
      <c r="F306" t="s">
        <v>211</v>
      </c>
      <c r="G306" t="s">
        <v>212</v>
      </c>
      <c r="H306">
        <v>1</v>
      </c>
      <c r="I306" t="s">
        <v>194</v>
      </c>
      <c r="J306">
        <v>241</v>
      </c>
      <c r="K306" t="s">
        <v>344</v>
      </c>
      <c r="L306">
        <v>224</v>
      </c>
      <c r="M306" t="s">
        <v>346</v>
      </c>
      <c r="N306">
        <v>1</v>
      </c>
      <c r="O306" s="105">
        <v>43439</v>
      </c>
      <c r="P306">
        <f t="shared" si="13"/>
        <v>4</v>
      </c>
      <c r="Q306">
        <f t="shared" si="14"/>
        <v>3</v>
      </c>
    </row>
    <row r="307" spans="1:17" x14ac:dyDescent="0.2">
      <c r="A307">
        <v>559599</v>
      </c>
      <c r="B307" t="str">
        <f t="shared" si="12"/>
        <v>559599 - 4</v>
      </c>
      <c r="C307">
        <v>8999</v>
      </c>
      <c r="D307" t="s">
        <v>209</v>
      </c>
      <c r="E307" t="s">
        <v>210</v>
      </c>
      <c r="F307" t="s">
        <v>211</v>
      </c>
      <c r="G307" t="s">
        <v>212</v>
      </c>
      <c r="H307">
        <v>1</v>
      </c>
      <c r="I307" t="s">
        <v>194</v>
      </c>
      <c r="J307">
        <v>242</v>
      </c>
      <c r="K307" t="s">
        <v>217</v>
      </c>
      <c r="L307">
        <v>1780</v>
      </c>
      <c r="M307" t="s">
        <v>346</v>
      </c>
      <c r="N307">
        <v>1</v>
      </c>
      <c r="O307" s="105">
        <v>43439</v>
      </c>
      <c r="P307">
        <f t="shared" si="13"/>
        <v>4</v>
      </c>
      <c r="Q307">
        <f t="shared" si="14"/>
        <v>4</v>
      </c>
    </row>
    <row r="308" spans="1:17" x14ac:dyDescent="0.2">
      <c r="A308">
        <v>559602</v>
      </c>
      <c r="B308" t="str">
        <f t="shared" si="12"/>
        <v>559602 - 1</v>
      </c>
      <c r="C308">
        <v>2434</v>
      </c>
      <c r="D308" t="s">
        <v>355</v>
      </c>
      <c r="E308" t="s">
        <v>356</v>
      </c>
      <c r="F308" t="s">
        <v>357</v>
      </c>
      <c r="G308" t="s">
        <v>358</v>
      </c>
      <c r="H308">
        <v>20</v>
      </c>
      <c r="I308" t="s">
        <v>286</v>
      </c>
      <c r="J308">
        <v>5</v>
      </c>
      <c r="K308" t="s">
        <v>240</v>
      </c>
      <c r="L308">
        <v>1</v>
      </c>
      <c r="M308" t="s">
        <v>430</v>
      </c>
      <c r="N308">
        <v>1</v>
      </c>
      <c r="O308" s="105">
        <v>43439</v>
      </c>
      <c r="P308">
        <f t="shared" si="13"/>
        <v>1</v>
      </c>
      <c r="Q308">
        <f t="shared" si="14"/>
        <v>1</v>
      </c>
    </row>
    <row r="309" spans="1:17" x14ac:dyDescent="0.2">
      <c r="A309">
        <v>559603</v>
      </c>
      <c r="B309" t="str">
        <f t="shared" si="12"/>
        <v>559603 - 1</v>
      </c>
      <c r="C309">
        <v>2434</v>
      </c>
      <c r="D309" t="s">
        <v>355</v>
      </c>
      <c r="E309" t="s">
        <v>356</v>
      </c>
      <c r="F309" t="s">
        <v>357</v>
      </c>
      <c r="G309" t="s">
        <v>358</v>
      </c>
      <c r="H309">
        <v>20</v>
      </c>
      <c r="I309" t="s">
        <v>286</v>
      </c>
      <c r="J309">
        <v>5</v>
      </c>
      <c r="K309" t="s">
        <v>240</v>
      </c>
      <c r="L309">
        <v>1</v>
      </c>
      <c r="M309" t="s">
        <v>431</v>
      </c>
      <c r="N309">
        <v>1</v>
      </c>
      <c r="O309" s="105">
        <v>43439</v>
      </c>
      <c r="P309">
        <f t="shared" si="13"/>
        <v>1</v>
      </c>
      <c r="Q309">
        <f t="shared" si="14"/>
        <v>1</v>
      </c>
    </row>
    <row r="310" spans="1:17" x14ac:dyDescent="0.2">
      <c r="A310">
        <v>559604</v>
      </c>
      <c r="B310" t="str">
        <f t="shared" si="12"/>
        <v>559604 - 1</v>
      </c>
      <c r="C310">
        <v>2434</v>
      </c>
      <c r="D310" t="s">
        <v>355</v>
      </c>
      <c r="E310" t="s">
        <v>356</v>
      </c>
      <c r="F310" t="s">
        <v>357</v>
      </c>
      <c r="G310" t="s">
        <v>358</v>
      </c>
      <c r="H310">
        <v>20</v>
      </c>
      <c r="I310" t="s">
        <v>286</v>
      </c>
      <c r="J310">
        <v>5</v>
      </c>
      <c r="K310" t="s">
        <v>240</v>
      </c>
      <c r="L310">
        <v>2</v>
      </c>
      <c r="M310" t="s">
        <v>432</v>
      </c>
      <c r="N310">
        <v>1</v>
      </c>
      <c r="O310" s="105">
        <v>43439</v>
      </c>
      <c r="P310">
        <f t="shared" si="13"/>
        <v>1</v>
      </c>
      <c r="Q310">
        <f t="shared" si="14"/>
        <v>1</v>
      </c>
    </row>
    <row r="311" spans="1:17" x14ac:dyDescent="0.2">
      <c r="A311">
        <v>559605</v>
      </c>
      <c r="B311" t="str">
        <f t="shared" si="12"/>
        <v>559605 - 1</v>
      </c>
      <c r="C311">
        <v>2434</v>
      </c>
      <c r="D311" t="s">
        <v>355</v>
      </c>
      <c r="E311" t="s">
        <v>356</v>
      </c>
      <c r="F311" t="s">
        <v>357</v>
      </c>
      <c r="G311" t="s">
        <v>358</v>
      </c>
      <c r="H311">
        <v>20</v>
      </c>
      <c r="I311" t="s">
        <v>286</v>
      </c>
      <c r="J311">
        <v>5</v>
      </c>
      <c r="K311" t="s">
        <v>240</v>
      </c>
      <c r="L311">
        <v>7</v>
      </c>
      <c r="M311" t="s">
        <v>433</v>
      </c>
      <c r="N311">
        <v>1</v>
      </c>
      <c r="O311" s="105">
        <v>43439</v>
      </c>
      <c r="P311">
        <f t="shared" si="13"/>
        <v>2</v>
      </c>
      <c r="Q311">
        <f t="shared" si="14"/>
        <v>1</v>
      </c>
    </row>
    <row r="312" spans="1:17" x14ac:dyDescent="0.2">
      <c r="A312">
        <v>559605</v>
      </c>
      <c r="B312" t="str">
        <f t="shared" si="12"/>
        <v>559605 - 2</v>
      </c>
      <c r="C312">
        <v>2434</v>
      </c>
      <c r="D312" t="s">
        <v>355</v>
      </c>
      <c r="E312" t="s">
        <v>356</v>
      </c>
      <c r="F312" t="s">
        <v>357</v>
      </c>
      <c r="G312" t="s">
        <v>358</v>
      </c>
      <c r="H312">
        <v>20</v>
      </c>
      <c r="I312" t="s">
        <v>286</v>
      </c>
      <c r="J312">
        <v>12</v>
      </c>
      <c r="K312" t="s">
        <v>228</v>
      </c>
      <c r="L312">
        <v>1</v>
      </c>
      <c r="M312" t="s">
        <v>433</v>
      </c>
      <c r="N312">
        <v>1</v>
      </c>
      <c r="O312" s="105">
        <v>43439</v>
      </c>
      <c r="P312">
        <f t="shared" si="13"/>
        <v>2</v>
      </c>
      <c r="Q312">
        <f t="shared" si="14"/>
        <v>2</v>
      </c>
    </row>
    <row r="313" spans="1:17" x14ac:dyDescent="0.2">
      <c r="A313">
        <v>559607</v>
      </c>
      <c r="B313" t="str">
        <f t="shared" si="12"/>
        <v>559607 - 1</v>
      </c>
      <c r="C313">
        <v>8999</v>
      </c>
      <c r="D313" t="s">
        <v>209</v>
      </c>
      <c r="E313" t="s">
        <v>210</v>
      </c>
      <c r="F313" t="s">
        <v>211</v>
      </c>
      <c r="G313" t="s">
        <v>212</v>
      </c>
      <c r="H313">
        <v>1</v>
      </c>
      <c r="I313" t="s">
        <v>194</v>
      </c>
      <c r="J313">
        <v>26</v>
      </c>
      <c r="K313" t="s">
        <v>218</v>
      </c>
      <c r="L313">
        <v>1</v>
      </c>
      <c r="M313" t="s">
        <v>339</v>
      </c>
      <c r="N313">
        <v>1</v>
      </c>
      <c r="O313" s="105">
        <v>43439</v>
      </c>
      <c r="P313">
        <f t="shared" si="13"/>
        <v>2</v>
      </c>
      <c r="Q313">
        <f t="shared" si="14"/>
        <v>1</v>
      </c>
    </row>
    <row r="314" spans="1:17" x14ac:dyDescent="0.2">
      <c r="A314">
        <v>559607</v>
      </c>
      <c r="B314" t="str">
        <f t="shared" si="12"/>
        <v>559607 - 2</v>
      </c>
      <c r="C314">
        <v>8999</v>
      </c>
      <c r="D314" t="s">
        <v>209</v>
      </c>
      <c r="E314" t="s">
        <v>210</v>
      </c>
      <c r="F314" t="s">
        <v>211</v>
      </c>
      <c r="G314" t="s">
        <v>212</v>
      </c>
      <c r="H314">
        <v>1</v>
      </c>
      <c r="I314" t="s">
        <v>194</v>
      </c>
      <c r="J314">
        <v>240</v>
      </c>
      <c r="K314" t="s">
        <v>219</v>
      </c>
      <c r="L314">
        <v>51</v>
      </c>
      <c r="M314" t="s">
        <v>339</v>
      </c>
      <c r="N314">
        <v>1</v>
      </c>
      <c r="O314" s="105">
        <v>43439</v>
      </c>
      <c r="P314">
        <f t="shared" si="13"/>
        <v>2</v>
      </c>
      <c r="Q314">
        <f t="shared" si="14"/>
        <v>2</v>
      </c>
    </row>
    <row r="315" spans="1:17" x14ac:dyDescent="0.2">
      <c r="A315">
        <v>559608</v>
      </c>
      <c r="B315" t="str">
        <f t="shared" si="12"/>
        <v>559608 - 1</v>
      </c>
      <c r="C315">
        <v>8999</v>
      </c>
      <c r="D315" t="s">
        <v>209</v>
      </c>
      <c r="E315" t="s">
        <v>210</v>
      </c>
      <c r="F315" t="s">
        <v>211</v>
      </c>
      <c r="G315" t="s">
        <v>212</v>
      </c>
      <c r="H315">
        <v>1</v>
      </c>
      <c r="I315" t="s">
        <v>194</v>
      </c>
      <c r="J315">
        <v>26</v>
      </c>
      <c r="K315" t="s">
        <v>218</v>
      </c>
      <c r="L315">
        <v>1</v>
      </c>
      <c r="M315" t="s">
        <v>338</v>
      </c>
      <c r="N315">
        <v>1</v>
      </c>
      <c r="O315" s="105">
        <v>43439</v>
      </c>
      <c r="P315">
        <f t="shared" si="13"/>
        <v>2</v>
      </c>
      <c r="Q315">
        <f t="shared" si="14"/>
        <v>1</v>
      </c>
    </row>
    <row r="316" spans="1:17" x14ac:dyDescent="0.2">
      <c r="A316">
        <v>559608</v>
      </c>
      <c r="B316" t="str">
        <f t="shared" si="12"/>
        <v>559608 - 2</v>
      </c>
      <c r="C316">
        <v>8999</v>
      </c>
      <c r="D316" t="s">
        <v>209</v>
      </c>
      <c r="E316" t="s">
        <v>210</v>
      </c>
      <c r="F316" t="s">
        <v>211</v>
      </c>
      <c r="G316" t="s">
        <v>212</v>
      </c>
      <c r="H316">
        <v>1</v>
      </c>
      <c r="I316" t="s">
        <v>194</v>
      </c>
      <c r="J316">
        <v>240</v>
      </c>
      <c r="K316" t="s">
        <v>219</v>
      </c>
      <c r="L316">
        <v>136</v>
      </c>
      <c r="M316" t="s">
        <v>338</v>
      </c>
      <c r="N316">
        <v>1</v>
      </c>
      <c r="O316" s="105">
        <v>43439</v>
      </c>
      <c r="P316">
        <f t="shared" si="13"/>
        <v>2</v>
      </c>
      <c r="Q316">
        <f t="shared" si="14"/>
        <v>2</v>
      </c>
    </row>
    <row r="317" spans="1:17" x14ac:dyDescent="0.2">
      <c r="A317">
        <v>559609</v>
      </c>
      <c r="B317" t="str">
        <f t="shared" si="12"/>
        <v>559609 - 1</v>
      </c>
      <c r="C317">
        <v>8999</v>
      </c>
      <c r="D317" t="s">
        <v>209</v>
      </c>
      <c r="E317" t="s">
        <v>210</v>
      </c>
      <c r="F317" t="s">
        <v>211</v>
      </c>
      <c r="G317" t="s">
        <v>212</v>
      </c>
      <c r="H317">
        <v>1</v>
      </c>
      <c r="I317" t="s">
        <v>194</v>
      </c>
      <c r="J317">
        <v>1</v>
      </c>
      <c r="K317" t="s">
        <v>227</v>
      </c>
      <c r="L317">
        <v>90</v>
      </c>
      <c r="M317" t="s">
        <v>345</v>
      </c>
      <c r="N317">
        <v>1</v>
      </c>
      <c r="O317" s="105">
        <v>43439</v>
      </c>
      <c r="P317">
        <f t="shared" si="13"/>
        <v>4</v>
      </c>
      <c r="Q317">
        <f t="shared" si="14"/>
        <v>1</v>
      </c>
    </row>
    <row r="318" spans="1:17" x14ac:dyDescent="0.2">
      <c r="A318">
        <v>559609</v>
      </c>
      <c r="B318" t="str">
        <f t="shared" si="12"/>
        <v>559609 - 2</v>
      </c>
      <c r="C318">
        <v>8999</v>
      </c>
      <c r="D318" t="s">
        <v>209</v>
      </c>
      <c r="E318" t="s">
        <v>210</v>
      </c>
      <c r="F318" t="s">
        <v>211</v>
      </c>
      <c r="G318" t="s">
        <v>212</v>
      </c>
      <c r="H318">
        <v>1</v>
      </c>
      <c r="I318" t="s">
        <v>194</v>
      </c>
      <c r="J318">
        <v>26</v>
      </c>
      <c r="K318" t="s">
        <v>218</v>
      </c>
      <c r="L318">
        <v>5</v>
      </c>
      <c r="M318" t="s">
        <v>345</v>
      </c>
      <c r="N318">
        <v>1</v>
      </c>
      <c r="O318" s="105">
        <v>43439</v>
      </c>
      <c r="P318">
        <f t="shared" si="13"/>
        <v>4</v>
      </c>
      <c r="Q318">
        <f t="shared" si="14"/>
        <v>2</v>
      </c>
    </row>
    <row r="319" spans="1:17" x14ac:dyDescent="0.2">
      <c r="A319">
        <v>559609</v>
      </c>
      <c r="B319" t="str">
        <f t="shared" si="12"/>
        <v>559609 - 3</v>
      </c>
      <c r="C319">
        <v>8999</v>
      </c>
      <c r="D319" t="s">
        <v>209</v>
      </c>
      <c r="E319" t="s">
        <v>210</v>
      </c>
      <c r="F319" t="s">
        <v>211</v>
      </c>
      <c r="G319" t="s">
        <v>212</v>
      </c>
      <c r="H319">
        <v>1</v>
      </c>
      <c r="I319" t="s">
        <v>194</v>
      </c>
      <c r="J319">
        <v>240</v>
      </c>
      <c r="K319" t="s">
        <v>219</v>
      </c>
      <c r="L319">
        <v>181</v>
      </c>
      <c r="M319" t="s">
        <v>345</v>
      </c>
      <c r="N319">
        <v>1</v>
      </c>
      <c r="O319" s="105">
        <v>43439</v>
      </c>
      <c r="P319">
        <f t="shared" si="13"/>
        <v>4</v>
      </c>
      <c r="Q319">
        <f t="shared" si="14"/>
        <v>3</v>
      </c>
    </row>
    <row r="320" spans="1:17" x14ac:dyDescent="0.2">
      <c r="A320">
        <v>559609</v>
      </c>
      <c r="B320" t="str">
        <f t="shared" si="12"/>
        <v>559609 - 4</v>
      </c>
      <c r="C320">
        <v>8999</v>
      </c>
      <c r="D320" t="s">
        <v>209</v>
      </c>
      <c r="E320" t="s">
        <v>210</v>
      </c>
      <c r="F320" t="s">
        <v>211</v>
      </c>
      <c r="G320" t="s">
        <v>212</v>
      </c>
      <c r="H320">
        <v>1</v>
      </c>
      <c r="I320" t="s">
        <v>194</v>
      </c>
      <c r="J320">
        <v>242</v>
      </c>
      <c r="K320" t="s">
        <v>217</v>
      </c>
      <c r="L320">
        <v>116</v>
      </c>
      <c r="M320" t="s">
        <v>345</v>
      </c>
      <c r="N320">
        <v>1</v>
      </c>
      <c r="O320" s="105">
        <v>43439</v>
      </c>
      <c r="P320">
        <f t="shared" si="13"/>
        <v>4</v>
      </c>
      <c r="Q320">
        <f t="shared" si="14"/>
        <v>4</v>
      </c>
    </row>
    <row r="321" spans="1:17" x14ac:dyDescent="0.2">
      <c r="A321">
        <v>559611</v>
      </c>
      <c r="B321" t="str">
        <f t="shared" si="12"/>
        <v>559611 - 1</v>
      </c>
      <c r="C321">
        <v>8999</v>
      </c>
      <c r="D321" t="s">
        <v>209</v>
      </c>
      <c r="E321" t="s">
        <v>210</v>
      </c>
      <c r="F321" t="s">
        <v>211</v>
      </c>
      <c r="G321" t="s">
        <v>212</v>
      </c>
      <c r="H321">
        <v>1</v>
      </c>
      <c r="I321" t="s">
        <v>194</v>
      </c>
      <c r="J321">
        <v>1</v>
      </c>
      <c r="K321" t="s">
        <v>227</v>
      </c>
      <c r="L321">
        <v>55</v>
      </c>
      <c r="M321" t="s">
        <v>337</v>
      </c>
      <c r="N321">
        <v>1</v>
      </c>
      <c r="O321" s="105">
        <v>43439</v>
      </c>
      <c r="P321">
        <f t="shared" si="13"/>
        <v>3</v>
      </c>
      <c r="Q321">
        <f t="shared" si="14"/>
        <v>1</v>
      </c>
    </row>
    <row r="322" spans="1:17" x14ac:dyDescent="0.2">
      <c r="A322">
        <v>559611</v>
      </c>
      <c r="B322" t="str">
        <f t="shared" si="12"/>
        <v>559611 - 2</v>
      </c>
      <c r="C322">
        <v>8999</v>
      </c>
      <c r="D322" t="s">
        <v>209</v>
      </c>
      <c r="E322" t="s">
        <v>210</v>
      </c>
      <c r="F322" t="s">
        <v>211</v>
      </c>
      <c r="G322" t="s">
        <v>212</v>
      </c>
      <c r="H322">
        <v>1</v>
      </c>
      <c r="I322" t="s">
        <v>194</v>
      </c>
      <c r="J322">
        <v>26</v>
      </c>
      <c r="K322" t="s">
        <v>218</v>
      </c>
      <c r="L322">
        <v>2</v>
      </c>
      <c r="M322" t="s">
        <v>337</v>
      </c>
      <c r="N322">
        <v>1</v>
      </c>
      <c r="O322" s="105">
        <v>43439</v>
      </c>
      <c r="P322">
        <f t="shared" si="13"/>
        <v>3</v>
      </c>
      <c r="Q322">
        <f t="shared" si="14"/>
        <v>2</v>
      </c>
    </row>
    <row r="323" spans="1:17" x14ac:dyDescent="0.2">
      <c r="A323">
        <v>559611</v>
      </c>
      <c r="B323" t="str">
        <f t="shared" si="12"/>
        <v>559611 - 3</v>
      </c>
      <c r="C323">
        <v>8999</v>
      </c>
      <c r="D323" t="s">
        <v>209</v>
      </c>
      <c r="E323" t="s">
        <v>210</v>
      </c>
      <c r="F323" t="s">
        <v>211</v>
      </c>
      <c r="G323" t="s">
        <v>212</v>
      </c>
      <c r="H323">
        <v>1</v>
      </c>
      <c r="I323" t="s">
        <v>194</v>
      </c>
      <c r="J323">
        <v>240</v>
      </c>
      <c r="K323" t="s">
        <v>219</v>
      </c>
      <c r="L323">
        <v>63</v>
      </c>
      <c r="M323" t="s">
        <v>337</v>
      </c>
      <c r="N323">
        <v>1</v>
      </c>
      <c r="O323" s="105">
        <v>43439</v>
      </c>
      <c r="P323">
        <f t="shared" si="13"/>
        <v>3</v>
      </c>
      <c r="Q323">
        <f t="shared" si="14"/>
        <v>3</v>
      </c>
    </row>
    <row r="324" spans="1:17" x14ac:dyDescent="0.2">
      <c r="A324">
        <v>559612</v>
      </c>
      <c r="B324" t="str">
        <f t="shared" si="12"/>
        <v>559612 - 1</v>
      </c>
      <c r="C324">
        <v>8999</v>
      </c>
      <c r="D324" t="s">
        <v>209</v>
      </c>
      <c r="E324" t="s">
        <v>210</v>
      </c>
      <c r="F324" t="s">
        <v>211</v>
      </c>
      <c r="G324" t="s">
        <v>212</v>
      </c>
      <c r="H324">
        <v>1</v>
      </c>
      <c r="I324" t="s">
        <v>194</v>
      </c>
      <c r="J324">
        <v>26</v>
      </c>
      <c r="K324" t="s">
        <v>218</v>
      </c>
      <c r="L324">
        <v>1</v>
      </c>
      <c r="M324" t="s">
        <v>434</v>
      </c>
      <c r="N324">
        <v>1</v>
      </c>
      <c r="O324" s="105">
        <v>43439</v>
      </c>
      <c r="P324">
        <f t="shared" si="13"/>
        <v>2</v>
      </c>
      <c r="Q324">
        <f t="shared" si="14"/>
        <v>1</v>
      </c>
    </row>
    <row r="325" spans="1:17" x14ac:dyDescent="0.2">
      <c r="A325">
        <v>559612</v>
      </c>
      <c r="B325" t="str">
        <f t="shared" ref="B325:B332" si="15">CONCATENATE(A325," - ",Q325)</f>
        <v>559612 - 2</v>
      </c>
      <c r="C325">
        <v>8999</v>
      </c>
      <c r="D325" t="s">
        <v>209</v>
      </c>
      <c r="E325" t="s">
        <v>210</v>
      </c>
      <c r="F325" t="s">
        <v>211</v>
      </c>
      <c r="G325" t="s">
        <v>212</v>
      </c>
      <c r="H325">
        <v>1</v>
      </c>
      <c r="I325" t="s">
        <v>194</v>
      </c>
      <c r="J325">
        <v>240</v>
      </c>
      <c r="K325" t="s">
        <v>219</v>
      </c>
      <c r="L325">
        <v>50</v>
      </c>
      <c r="M325" t="s">
        <v>434</v>
      </c>
      <c r="N325">
        <v>1</v>
      </c>
      <c r="O325" s="105">
        <v>43439</v>
      </c>
      <c r="P325">
        <f t="shared" ref="P325:P332" si="16">+COUNTIF(A:A,A325)</f>
        <v>2</v>
      </c>
      <c r="Q325">
        <f t="shared" ref="Q325:Q332" si="17">IF(A325=A324,Q324+1,1)</f>
        <v>2</v>
      </c>
    </row>
    <row r="326" spans="1:17" x14ac:dyDescent="0.2">
      <c r="A326">
        <v>559613</v>
      </c>
      <c r="B326" t="str">
        <f t="shared" si="15"/>
        <v>559613 - 1</v>
      </c>
      <c r="C326">
        <v>3223</v>
      </c>
      <c r="D326" t="s">
        <v>236</v>
      </c>
      <c r="E326" t="s">
        <v>237</v>
      </c>
      <c r="F326" t="s">
        <v>238</v>
      </c>
      <c r="G326" t="s">
        <v>239</v>
      </c>
      <c r="H326">
        <v>5</v>
      </c>
      <c r="I326" t="s">
        <v>226</v>
      </c>
      <c r="J326">
        <v>5</v>
      </c>
      <c r="K326" t="s">
        <v>240</v>
      </c>
      <c r="L326">
        <v>39</v>
      </c>
      <c r="M326" t="s">
        <v>435</v>
      </c>
      <c r="N326">
        <v>1</v>
      </c>
      <c r="O326" s="105">
        <v>43439</v>
      </c>
      <c r="P326">
        <f t="shared" si="16"/>
        <v>3</v>
      </c>
      <c r="Q326">
        <f t="shared" si="17"/>
        <v>1</v>
      </c>
    </row>
    <row r="327" spans="1:17" x14ac:dyDescent="0.2">
      <c r="A327">
        <v>559613</v>
      </c>
      <c r="B327" t="str">
        <f t="shared" si="15"/>
        <v>559613 - 2</v>
      </c>
      <c r="C327">
        <v>3223</v>
      </c>
      <c r="D327" t="s">
        <v>236</v>
      </c>
      <c r="E327" t="s">
        <v>237</v>
      </c>
      <c r="F327" t="s">
        <v>238</v>
      </c>
      <c r="G327" t="s">
        <v>239</v>
      </c>
      <c r="H327">
        <v>5</v>
      </c>
      <c r="I327" t="s">
        <v>226</v>
      </c>
      <c r="J327">
        <v>12</v>
      </c>
      <c r="K327" t="s">
        <v>228</v>
      </c>
      <c r="L327">
        <v>3</v>
      </c>
      <c r="M327" t="s">
        <v>435</v>
      </c>
      <c r="N327">
        <v>1</v>
      </c>
      <c r="O327" s="105">
        <v>43439</v>
      </c>
      <c r="P327">
        <f t="shared" si="16"/>
        <v>3</v>
      </c>
      <c r="Q327">
        <f t="shared" si="17"/>
        <v>2</v>
      </c>
    </row>
    <row r="328" spans="1:17" x14ac:dyDescent="0.2">
      <c r="A328">
        <v>559613</v>
      </c>
      <c r="B328" t="str">
        <f t="shared" si="15"/>
        <v>559613 - 3</v>
      </c>
      <c r="C328">
        <v>3223</v>
      </c>
      <c r="D328" t="s">
        <v>236</v>
      </c>
      <c r="E328" t="s">
        <v>237</v>
      </c>
      <c r="F328" t="s">
        <v>238</v>
      </c>
      <c r="G328" t="s">
        <v>239</v>
      </c>
      <c r="H328">
        <v>5</v>
      </c>
      <c r="I328" t="s">
        <v>226</v>
      </c>
      <c r="J328">
        <v>71</v>
      </c>
      <c r="K328" t="s">
        <v>256</v>
      </c>
      <c r="L328">
        <v>40</v>
      </c>
      <c r="M328" t="s">
        <v>435</v>
      </c>
      <c r="N328">
        <v>1</v>
      </c>
      <c r="O328" s="105">
        <v>43439</v>
      </c>
      <c r="P328">
        <f t="shared" si="16"/>
        <v>3</v>
      </c>
      <c r="Q328">
        <f t="shared" si="17"/>
        <v>3</v>
      </c>
    </row>
    <row r="329" spans="1:17" x14ac:dyDescent="0.2">
      <c r="A329">
        <v>559615</v>
      </c>
      <c r="B329" t="str">
        <f t="shared" si="15"/>
        <v>559615 - 1</v>
      </c>
      <c r="C329">
        <v>8999</v>
      </c>
      <c r="D329" t="s">
        <v>209</v>
      </c>
      <c r="E329" t="s">
        <v>210</v>
      </c>
      <c r="F329" t="s">
        <v>211</v>
      </c>
      <c r="G329" t="s">
        <v>212</v>
      </c>
      <c r="H329">
        <v>1</v>
      </c>
      <c r="I329" t="s">
        <v>194</v>
      </c>
      <c r="J329">
        <v>26</v>
      </c>
      <c r="K329" t="s">
        <v>218</v>
      </c>
      <c r="L329">
        <v>13</v>
      </c>
      <c r="M329" t="s">
        <v>346</v>
      </c>
      <c r="N329">
        <v>1</v>
      </c>
      <c r="O329" s="105">
        <v>43439</v>
      </c>
      <c r="P329">
        <f t="shared" si="16"/>
        <v>4</v>
      </c>
      <c r="Q329">
        <f t="shared" si="17"/>
        <v>1</v>
      </c>
    </row>
    <row r="330" spans="1:17" x14ac:dyDescent="0.2">
      <c r="A330">
        <v>559615</v>
      </c>
      <c r="B330" t="str">
        <f t="shared" si="15"/>
        <v>559615 - 2</v>
      </c>
      <c r="C330">
        <v>8999</v>
      </c>
      <c r="D330" t="s">
        <v>209</v>
      </c>
      <c r="E330" t="s">
        <v>210</v>
      </c>
      <c r="F330" t="s">
        <v>211</v>
      </c>
      <c r="G330" t="s">
        <v>212</v>
      </c>
      <c r="H330">
        <v>1</v>
      </c>
      <c r="I330" t="s">
        <v>194</v>
      </c>
      <c r="J330">
        <v>240</v>
      </c>
      <c r="K330" t="s">
        <v>219</v>
      </c>
      <c r="L330">
        <v>1284</v>
      </c>
      <c r="M330" t="s">
        <v>346</v>
      </c>
      <c r="N330">
        <v>1</v>
      </c>
      <c r="O330" s="105">
        <v>43439</v>
      </c>
      <c r="P330">
        <f t="shared" si="16"/>
        <v>4</v>
      </c>
      <c r="Q330">
        <f t="shared" si="17"/>
        <v>2</v>
      </c>
    </row>
    <row r="331" spans="1:17" x14ac:dyDescent="0.2">
      <c r="A331">
        <v>559615</v>
      </c>
      <c r="B331" t="str">
        <f t="shared" si="15"/>
        <v>559615 - 3</v>
      </c>
      <c r="C331">
        <v>8999</v>
      </c>
      <c r="D331" t="s">
        <v>209</v>
      </c>
      <c r="E331" t="s">
        <v>210</v>
      </c>
      <c r="F331" t="s">
        <v>211</v>
      </c>
      <c r="G331" t="s">
        <v>212</v>
      </c>
      <c r="H331">
        <v>1</v>
      </c>
      <c r="I331" t="s">
        <v>194</v>
      </c>
      <c r="J331">
        <v>241</v>
      </c>
      <c r="K331" t="s">
        <v>344</v>
      </c>
      <c r="L331">
        <v>116</v>
      </c>
      <c r="M331" t="s">
        <v>346</v>
      </c>
      <c r="N331">
        <v>1</v>
      </c>
      <c r="O331" s="105">
        <v>43439</v>
      </c>
      <c r="P331">
        <f t="shared" si="16"/>
        <v>4</v>
      </c>
      <c r="Q331">
        <f t="shared" si="17"/>
        <v>3</v>
      </c>
    </row>
    <row r="332" spans="1:17" x14ac:dyDescent="0.2">
      <c r="A332">
        <v>559615</v>
      </c>
      <c r="B332" t="str">
        <f t="shared" si="15"/>
        <v>559615 - 4</v>
      </c>
      <c r="C332">
        <v>8999</v>
      </c>
      <c r="D332" t="s">
        <v>209</v>
      </c>
      <c r="E332" t="s">
        <v>210</v>
      </c>
      <c r="F332" t="s">
        <v>211</v>
      </c>
      <c r="G332" t="s">
        <v>212</v>
      </c>
      <c r="H332">
        <v>1</v>
      </c>
      <c r="I332" t="s">
        <v>194</v>
      </c>
      <c r="J332">
        <v>242</v>
      </c>
      <c r="K332" t="s">
        <v>217</v>
      </c>
      <c r="L332">
        <v>275</v>
      </c>
      <c r="M332" t="s">
        <v>346</v>
      </c>
      <c r="N332">
        <v>1</v>
      </c>
      <c r="O332" s="105">
        <v>43439</v>
      </c>
      <c r="P332">
        <f t="shared" si="16"/>
        <v>4</v>
      </c>
      <c r="Q332">
        <f t="shared" si="17"/>
        <v>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indexed="13"/>
    <pageSetUpPr autoPageBreaks="0" fitToPage="1"/>
  </sheetPr>
  <dimension ref="A1:AV97"/>
  <sheetViews>
    <sheetView showGridLines="0" showZeros="0" showOutlineSymbols="0" view="pageBreakPreview" topLeftCell="N1" zoomScale="115" zoomScaleNormal="97" zoomScaleSheetLayoutView="115" workbookViewId="0">
      <selection activeCell="F57" sqref="F57"/>
    </sheetView>
  </sheetViews>
  <sheetFormatPr defaultRowHeight="12.95" customHeight="1" x14ac:dyDescent="0.2"/>
  <cols>
    <col min="1" max="1" width="3.28515625" customWidth="1"/>
    <col min="2" max="2" width="4.28515625" customWidth="1"/>
    <col min="3" max="3" width="5" customWidth="1"/>
    <col min="4" max="40" width="3.28515625" customWidth="1"/>
    <col min="41" max="41" width="3.28515625" style="1" customWidth="1"/>
    <col min="42" max="42" width="9.140625" style="1"/>
    <col min="43" max="43" width="4.42578125" customWidth="1"/>
    <col min="44" max="16384" width="9.140625" style="1"/>
  </cols>
  <sheetData>
    <row r="1" spans="1:42" ht="12.95" customHeight="1" x14ac:dyDescent="0.2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67"/>
      <c r="AL1" s="167"/>
      <c r="AM1" s="167"/>
      <c r="AN1" s="167"/>
      <c r="AO1"/>
      <c r="AP1"/>
    </row>
    <row r="2" spans="1:42" ht="12.95" customHeight="1" x14ac:dyDescent="0.25">
      <c r="A2" s="2"/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67"/>
      <c r="AL2" s="167"/>
      <c r="AM2" s="167"/>
      <c r="AN2" s="167"/>
      <c r="AO2"/>
      <c r="AP2"/>
    </row>
    <row r="3" spans="1:42" ht="12.95" customHeight="1" x14ac:dyDescent="0.25">
      <c r="A3" s="2"/>
      <c r="B3" s="2"/>
      <c r="C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4"/>
      <c r="AL3" s="166"/>
      <c r="AM3" s="166"/>
      <c r="AN3" s="166"/>
      <c r="AO3" s="166"/>
      <c r="AP3" s="166"/>
    </row>
    <row r="4" spans="1:42" ht="12.95" customHeight="1" x14ac:dyDescent="0.25">
      <c r="A4" s="2"/>
      <c r="B4" s="2"/>
      <c r="C4" s="2"/>
      <c r="D4" s="160" t="str">
        <f>IF('Invoerveld CMR'!C5="","",VLOOKUP('Invoerveld CMR'!C5,Afzender!A2:B30,2,FALSE))</f>
        <v>Hessing Helmond
Korendijk 9
5704 RD Helmond
The Netherlands</v>
      </c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62"/>
      <c r="S4" s="62"/>
      <c r="T4" s="62"/>
      <c r="U4" s="6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4"/>
      <c r="AL4" s="4"/>
      <c r="AM4" s="4"/>
      <c r="AN4" s="4"/>
      <c r="AO4"/>
      <c r="AP4"/>
    </row>
    <row r="5" spans="1:42" ht="12.95" customHeight="1" x14ac:dyDescent="0.25">
      <c r="A5" s="2"/>
      <c r="B5" s="2"/>
      <c r="C5" s="2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62"/>
      <c r="S5" s="62"/>
      <c r="T5" s="62"/>
      <c r="U5" s="62"/>
      <c r="V5" s="3"/>
      <c r="W5" s="3"/>
      <c r="X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/>
      <c r="AP5"/>
    </row>
    <row r="6" spans="1:42" ht="12.95" customHeight="1" x14ac:dyDescent="0.25">
      <c r="C6" s="2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62"/>
      <c r="S6" s="62"/>
      <c r="T6" s="62"/>
      <c r="U6" s="62"/>
      <c r="V6" s="3"/>
      <c r="W6" s="3"/>
      <c r="X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5"/>
      <c r="AL6" s="5"/>
      <c r="AM6" s="5"/>
      <c r="AN6" s="5"/>
      <c r="AO6"/>
      <c r="AP6"/>
    </row>
    <row r="7" spans="1:42" ht="12.95" customHeight="1" x14ac:dyDescent="0.25">
      <c r="A7" s="2"/>
      <c r="B7" s="2"/>
      <c r="C7" s="2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62"/>
      <c r="S7" s="62"/>
      <c r="T7" s="62"/>
      <c r="U7" s="62"/>
      <c r="V7" s="3"/>
      <c r="W7" s="3"/>
      <c r="X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/>
      <c r="AP7"/>
    </row>
    <row r="8" spans="1:42" ht="12.95" customHeight="1" x14ac:dyDescent="0.25">
      <c r="A8" s="2"/>
      <c r="B8" s="2"/>
      <c r="C8" s="2"/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62"/>
      <c r="S8" s="62"/>
      <c r="T8" s="62"/>
      <c r="U8" s="62"/>
      <c r="V8" s="3"/>
      <c r="W8" s="3"/>
      <c r="X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2"/>
      <c r="AO8"/>
      <c r="AP8"/>
    </row>
    <row r="9" spans="1:42" ht="12.95" customHeight="1" x14ac:dyDescent="0.2">
      <c r="A9" s="2"/>
      <c r="B9" s="2"/>
      <c r="C9" s="2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62"/>
      <c r="S9" s="62"/>
      <c r="T9" s="62"/>
      <c r="U9" s="62"/>
      <c r="V9" s="2"/>
      <c r="W9" s="2"/>
      <c r="X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/>
      <c r="AP9"/>
    </row>
    <row r="10" spans="1:42" ht="12.95" customHeight="1" x14ac:dyDescent="0.2">
      <c r="A10" s="2"/>
      <c r="B10" s="2"/>
      <c r="C10" s="2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V10" s="2"/>
      <c r="W10" s="2"/>
      <c r="X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/>
      <c r="AP10"/>
    </row>
    <row r="11" spans="1:42" ht="12.95" customHeight="1" x14ac:dyDescent="0.2">
      <c r="A11" s="2"/>
      <c r="B11" s="2"/>
      <c r="C11" s="2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V11" s="2"/>
      <c r="W11" s="2"/>
      <c r="X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/>
      <c r="AP11"/>
    </row>
    <row r="12" spans="1:42" ht="12.9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/>
      <c r="AP12"/>
    </row>
    <row r="13" spans="1:42" ht="12.95" customHeight="1" x14ac:dyDescent="0.2">
      <c r="A13" s="2"/>
      <c r="B13" s="2"/>
      <c r="C13" s="2"/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49"/>
      <c r="Z13" s="49"/>
      <c r="AA13" s="163"/>
      <c r="AB13" s="163"/>
      <c r="AC13" s="163"/>
      <c r="AD13" s="163"/>
      <c r="AE13" s="163"/>
      <c r="AF13" s="163"/>
      <c r="AG13" s="163"/>
      <c r="AH13" s="163"/>
      <c r="AI13" s="163"/>
      <c r="AJ13" s="49"/>
      <c r="AK13" s="49"/>
      <c r="AL13" s="2"/>
      <c r="AM13" s="2"/>
      <c r="AN13" s="2"/>
      <c r="AO13"/>
      <c r="AP13"/>
    </row>
    <row r="14" spans="1:42" ht="12.95" customHeight="1" x14ac:dyDescent="0.2">
      <c r="A14" s="2"/>
      <c r="B14" s="2"/>
      <c r="C14" s="2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49"/>
      <c r="AA14" s="163"/>
      <c r="AB14" s="163"/>
      <c r="AC14" s="163"/>
      <c r="AD14" s="163"/>
      <c r="AE14" s="163"/>
      <c r="AF14" s="163"/>
      <c r="AG14" s="163"/>
      <c r="AH14" s="163"/>
      <c r="AI14" s="163"/>
      <c r="AJ14" s="49"/>
      <c r="AK14" s="49"/>
      <c r="AL14" s="2"/>
      <c r="AM14" s="2"/>
      <c r="AN14" s="2"/>
      <c r="AO14"/>
      <c r="AP14"/>
    </row>
    <row r="15" spans="1:42" ht="12.95" customHeight="1" x14ac:dyDescent="0.2">
      <c r="A15" s="2"/>
      <c r="B15" s="2"/>
      <c r="C15" s="2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49"/>
      <c r="Z15" s="49"/>
      <c r="AA15" s="163"/>
      <c r="AB15" s="163"/>
      <c r="AC15" s="163"/>
      <c r="AD15" s="163"/>
      <c r="AE15" s="163"/>
      <c r="AF15" s="163"/>
      <c r="AG15" s="163"/>
      <c r="AH15" s="163"/>
      <c r="AI15" s="163"/>
      <c r="AJ15" s="49"/>
      <c r="AK15" s="49"/>
      <c r="AL15" s="2"/>
      <c r="AM15" s="2"/>
      <c r="AN15" s="2"/>
      <c r="AO15"/>
      <c r="AP15"/>
    </row>
    <row r="16" spans="1:42" ht="12.95" customHeight="1" x14ac:dyDescent="0.2">
      <c r="A16" s="2"/>
      <c r="B16" s="2"/>
      <c r="C16" s="2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49"/>
      <c r="X16" s="2"/>
      <c r="Y16" s="2"/>
      <c r="Z16" s="49"/>
      <c r="AA16" s="163"/>
      <c r="AB16" s="163"/>
      <c r="AC16" s="163"/>
      <c r="AD16" s="163"/>
      <c r="AE16" s="163"/>
      <c r="AF16" s="163"/>
      <c r="AG16" s="163"/>
      <c r="AH16" s="163"/>
      <c r="AI16" s="163"/>
      <c r="AL16" s="2"/>
      <c r="AM16" s="2"/>
      <c r="AN16" s="2"/>
      <c r="AO16"/>
      <c r="AP16"/>
    </row>
    <row r="17" spans="1:48" ht="12.95" customHeight="1" x14ac:dyDescent="0.2">
      <c r="A17" s="2"/>
      <c r="B17" s="2"/>
      <c r="C17" s="2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2"/>
      <c r="Y17" s="2"/>
      <c r="Z17" s="49"/>
      <c r="AA17" s="163"/>
      <c r="AB17" s="163"/>
      <c r="AC17" s="163"/>
      <c r="AD17" s="163"/>
      <c r="AE17" s="163"/>
      <c r="AF17" s="163"/>
      <c r="AG17" s="163"/>
      <c r="AH17" s="163"/>
      <c r="AI17" s="163"/>
      <c r="AJ17" s="2"/>
      <c r="AK17" s="2"/>
      <c r="AL17" s="2"/>
      <c r="AM17" s="2"/>
      <c r="AN17" s="2"/>
      <c r="AO17"/>
      <c r="AP17"/>
    </row>
    <row r="18" spans="1:48" ht="12.95" customHeight="1" x14ac:dyDescent="0.2">
      <c r="A18" s="2"/>
      <c r="B18" s="2"/>
      <c r="C18" s="2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2"/>
      <c r="Y18" s="2"/>
      <c r="Z18" s="49"/>
      <c r="AA18" s="163"/>
      <c r="AB18" s="163"/>
      <c r="AC18" s="163"/>
      <c r="AD18" s="163"/>
      <c r="AE18" s="163"/>
      <c r="AF18" s="163"/>
      <c r="AG18" s="163"/>
      <c r="AH18" s="163"/>
      <c r="AI18" s="163"/>
      <c r="AJ18" s="2"/>
      <c r="AK18" s="2"/>
      <c r="AL18" s="2"/>
      <c r="AM18" s="2"/>
      <c r="AN18" s="2"/>
      <c r="AO18"/>
      <c r="AP18"/>
    </row>
    <row r="19" spans="1:48" ht="7.5" customHeight="1" x14ac:dyDescent="0.2">
      <c r="A19" s="2"/>
      <c r="B19" s="2"/>
      <c r="C19" s="2"/>
      <c r="O19" s="2"/>
      <c r="P19" s="2"/>
      <c r="Q19" s="2"/>
      <c r="R19" s="2"/>
      <c r="S19" s="2"/>
      <c r="T19" s="2"/>
      <c r="U19" s="2"/>
      <c r="X19" s="2"/>
      <c r="Y19" s="2"/>
      <c r="Z19" s="49"/>
      <c r="AA19" s="49"/>
      <c r="AB19" s="49"/>
      <c r="AC19" s="49"/>
      <c r="AD19" s="49"/>
      <c r="AE19" s="49"/>
      <c r="AF19" s="49"/>
      <c r="AG19" s="49"/>
      <c r="AH19" s="2"/>
      <c r="AI19" s="2"/>
      <c r="AJ19" s="2"/>
      <c r="AK19" s="2"/>
      <c r="AL19" s="2"/>
      <c r="AM19" s="2"/>
      <c r="AN19" s="2"/>
      <c r="AO19"/>
      <c r="AP19"/>
    </row>
    <row r="20" spans="1:48" ht="12.95" customHeight="1" x14ac:dyDescent="0.25">
      <c r="A20" s="2"/>
      <c r="B20" s="2"/>
      <c r="C20" s="2"/>
      <c r="D20" s="4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X20" s="8"/>
      <c r="Y20" s="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0"/>
      <c r="AM20" s="10"/>
      <c r="AN20" s="2"/>
      <c r="AO20"/>
      <c r="AP20"/>
    </row>
    <row r="21" spans="1:48" ht="12.95" customHeight="1" x14ac:dyDescent="0.2">
      <c r="A21" s="2"/>
      <c r="B21" s="2"/>
      <c r="C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12"/>
      <c r="X21" s="8"/>
      <c r="Y21" s="8"/>
      <c r="Z21" s="168"/>
      <c r="AA21" s="168"/>
      <c r="AB21" s="168"/>
      <c r="AC21" s="168"/>
      <c r="AD21" s="168"/>
      <c r="AE21" s="168"/>
      <c r="AF21" s="168"/>
      <c r="AG21" s="168"/>
      <c r="AH21" s="168"/>
      <c r="AI21" s="168"/>
      <c r="AJ21" s="168"/>
      <c r="AK21" s="168"/>
      <c r="AL21" s="10"/>
      <c r="AM21" s="10"/>
      <c r="AN21" s="13"/>
      <c r="AO21"/>
      <c r="AP21"/>
    </row>
    <row r="22" spans="1:48" ht="12.95" customHeight="1" x14ac:dyDescent="0.2">
      <c r="A22" s="2"/>
      <c r="B22" s="2"/>
      <c r="C22" s="2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2"/>
      <c r="Q22" s="2"/>
      <c r="R22" s="2"/>
      <c r="S22" s="2"/>
      <c r="T22" s="2"/>
      <c r="U22" s="2"/>
      <c r="V22" s="7"/>
      <c r="W22" s="2"/>
      <c r="X22" s="2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2"/>
      <c r="AM22" s="2"/>
      <c r="AN22" s="2"/>
      <c r="AO22"/>
      <c r="AP22"/>
    </row>
    <row r="23" spans="1:48" ht="12.95" customHeight="1" x14ac:dyDescent="0.2">
      <c r="A23" s="2"/>
      <c r="B23" s="2"/>
      <c r="C23" s="2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2"/>
      <c r="Q23" s="2"/>
      <c r="R23" s="2"/>
      <c r="S23" s="2"/>
      <c r="T23" s="2"/>
      <c r="U23" s="2"/>
      <c r="V23" s="7"/>
      <c r="W23" s="2"/>
      <c r="X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/>
      <c r="AP23"/>
    </row>
    <row r="24" spans="1:48" ht="12.9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  <c r="W24" s="3"/>
      <c r="X24" s="3"/>
      <c r="AA24" s="3"/>
      <c r="AB24" s="3"/>
      <c r="AC24" s="3"/>
      <c r="AD24" s="3"/>
      <c r="AE24" s="3"/>
      <c r="AF24" s="3"/>
      <c r="AG24" s="3"/>
      <c r="AH24" s="3"/>
      <c r="AI24" s="2"/>
      <c r="AJ24" s="2"/>
      <c r="AK24" s="2"/>
      <c r="AL24" s="2"/>
      <c r="AM24" s="2"/>
      <c r="AN24" s="2"/>
      <c r="AO24"/>
      <c r="AP24"/>
    </row>
    <row r="25" spans="1:48" ht="12.95" customHeight="1" x14ac:dyDescent="0.2">
      <c r="A25" s="2"/>
      <c r="B25" s="2"/>
      <c r="C25" s="2"/>
      <c r="T25" s="2"/>
      <c r="U25" s="2"/>
      <c r="V25" s="2"/>
      <c r="W25" s="2"/>
      <c r="Z25" s="32"/>
      <c r="AA25" s="9"/>
      <c r="AC25" s="2"/>
      <c r="AD25" s="2"/>
      <c r="AE25" s="2"/>
      <c r="AF25" s="2"/>
      <c r="AG25" s="2"/>
      <c r="AH25" s="2"/>
      <c r="AI25" s="169"/>
      <c r="AJ25" s="169"/>
      <c r="AK25" s="169"/>
      <c r="AL25" s="169"/>
      <c r="AM25" s="169"/>
      <c r="AN25" s="169"/>
      <c r="AO25" s="169"/>
      <c r="AP25"/>
    </row>
    <row r="26" spans="1:48" ht="12.95" customHeight="1" x14ac:dyDescent="0.2">
      <c r="A26" s="2"/>
      <c r="B26" s="2"/>
      <c r="C26" s="2"/>
      <c r="T26" s="2"/>
      <c r="U26" s="2"/>
      <c r="AO26"/>
      <c r="AP26"/>
    </row>
    <row r="27" spans="1:48" ht="12.95" customHeight="1" x14ac:dyDescent="0.2">
      <c r="A27" s="2"/>
      <c r="B27" s="2"/>
      <c r="C27" s="2"/>
      <c r="D27" s="172" t="str">
        <f>IF('Invoerveld CMR'!C5="","",VLOOKUP('Invoerveld CMR'!C5,Afzender!A2:C30,3,FALSE))</f>
        <v>5704 RD Helmond</v>
      </c>
      <c r="E27" s="172"/>
      <c r="F27" s="172"/>
      <c r="G27" s="172"/>
      <c r="H27" s="172"/>
      <c r="I27" s="172"/>
      <c r="J27" s="172"/>
      <c r="K27" s="172"/>
      <c r="T27" s="2"/>
      <c r="U27" s="2"/>
      <c r="Z27" s="32"/>
      <c r="AC27" s="2"/>
      <c r="AD27" s="2"/>
      <c r="AE27" s="2"/>
      <c r="AF27" s="2"/>
      <c r="AG27" s="2"/>
      <c r="AH27" s="2"/>
      <c r="AI27" s="169">
        <f>'Invoerveld CMR'!C9</f>
        <v>0</v>
      </c>
      <c r="AJ27" s="169"/>
      <c r="AK27" s="169"/>
      <c r="AL27" s="169"/>
      <c r="AM27" s="169"/>
      <c r="AN27" s="169"/>
      <c r="AO27" s="169"/>
      <c r="AP27"/>
    </row>
    <row r="28" spans="1:48" ht="12.95" customHeight="1" x14ac:dyDescent="0.25">
      <c r="A28" s="2"/>
      <c r="B28" s="2"/>
      <c r="C28" s="2"/>
      <c r="D28" s="172"/>
      <c r="E28" s="172"/>
      <c r="F28" s="172"/>
      <c r="G28" s="172"/>
      <c r="H28" s="172"/>
      <c r="I28" s="172"/>
      <c r="J28" s="172"/>
      <c r="K28" s="172"/>
      <c r="L28" s="50"/>
      <c r="M28" s="50"/>
      <c r="N28" s="50"/>
      <c r="O28" s="50"/>
      <c r="P28" s="50"/>
      <c r="Q28" s="50"/>
      <c r="R28" s="50"/>
      <c r="S28" s="50"/>
      <c r="T28" s="2"/>
      <c r="U28" s="2"/>
      <c r="V28" s="11"/>
      <c r="W28" s="15"/>
      <c r="AC28" s="11"/>
      <c r="AD28" s="14"/>
      <c r="AE28" s="14"/>
      <c r="AF28" s="14"/>
      <c r="AG28" s="14"/>
      <c r="AH28" s="2"/>
      <c r="AI28" s="17"/>
      <c r="AJ28" s="17"/>
      <c r="AK28" s="17"/>
      <c r="AL28" s="11"/>
      <c r="AM28" s="2"/>
      <c r="AN28" s="2"/>
      <c r="AO28"/>
      <c r="AP28"/>
      <c r="AS28" s="170"/>
      <c r="AT28" s="170"/>
      <c r="AU28" s="170"/>
    </row>
    <row r="29" spans="1:48" ht="12.95" customHeight="1" x14ac:dyDescent="0.2">
      <c r="A29" s="2"/>
      <c r="B29" s="2"/>
      <c r="C29" s="2"/>
      <c r="D29" s="173"/>
      <c r="E29" s="173"/>
      <c r="F29" s="173"/>
      <c r="G29" s="173"/>
      <c r="H29" s="173"/>
      <c r="I29" s="173"/>
      <c r="J29" s="173"/>
      <c r="K29" s="173"/>
      <c r="L29" s="173"/>
      <c r="M29" s="50"/>
      <c r="N29" s="50"/>
      <c r="O29" s="51"/>
      <c r="P29" s="51"/>
      <c r="Q29" s="51"/>
      <c r="R29" s="51"/>
      <c r="S29" s="51"/>
      <c r="T29" s="14"/>
      <c r="U29" s="14"/>
      <c r="AC29" s="17"/>
      <c r="AD29" s="14"/>
      <c r="AE29" s="14"/>
      <c r="AF29" s="14"/>
      <c r="AG29" s="14"/>
      <c r="AH29" s="14"/>
      <c r="AI29" s="17"/>
      <c r="AJ29" s="17"/>
      <c r="AK29" s="17"/>
      <c r="AL29" s="11"/>
      <c r="AM29" s="2"/>
      <c r="AN29" s="2"/>
      <c r="AO29"/>
      <c r="AP29"/>
      <c r="AS29" s="170"/>
      <c r="AT29" s="170"/>
      <c r="AU29" s="170"/>
    </row>
    <row r="30" spans="1:48" ht="12.95" customHeight="1" x14ac:dyDescent="0.25">
      <c r="A30" s="2"/>
      <c r="B30" s="2"/>
      <c r="C30" s="2"/>
      <c r="D30" s="173"/>
      <c r="E30" s="173"/>
      <c r="F30" s="173"/>
      <c r="G30" s="173"/>
      <c r="H30" s="173"/>
      <c r="I30" s="173"/>
      <c r="J30" s="173"/>
      <c r="K30" s="173"/>
      <c r="L30" s="173"/>
      <c r="M30" s="21"/>
      <c r="N30" s="21"/>
      <c r="O30" s="2"/>
      <c r="P30" s="2"/>
      <c r="Q30" s="2"/>
      <c r="R30" s="14"/>
      <c r="S30" s="14"/>
      <c r="T30" s="2"/>
      <c r="U30" s="2"/>
      <c r="V30" s="14"/>
      <c r="W30" s="15"/>
      <c r="Z30" s="32"/>
      <c r="AC30" s="14"/>
      <c r="AD30" s="171">
        <f>'Invoerveld CMR'!C10</f>
        <v>0</v>
      </c>
      <c r="AE30" s="171"/>
      <c r="AF30" s="171"/>
      <c r="AG30" s="14"/>
      <c r="AH30" s="14"/>
      <c r="AI30" s="2"/>
      <c r="AJ30" s="2"/>
      <c r="AK30" s="2"/>
      <c r="AL30" s="2"/>
      <c r="AM30" s="2"/>
      <c r="AN30" s="2"/>
      <c r="AO30"/>
      <c r="AP30"/>
    </row>
    <row r="31" spans="1:48" ht="12.95" customHeight="1" x14ac:dyDescent="0.25">
      <c r="A31" s="2"/>
      <c r="B31" s="2"/>
      <c r="C31" s="2"/>
      <c r="D31" s="61"/>
      <c r="E31" s="61"/>
      <c r="F31" s="61"/>
      <c r="G31" s="61"/>
      <c r="H31" s="61"/>
      <c r="I31" s="61"/>
      <c r="J31" s="61"/>
      <c r="K31" s="61"/>
      <c r="L31" s="61"/>
      <c r="M31" s="21"/>
      <c r="N31" s="21"/>
      <c r="O31" s="2"/>
      <c r="P31" s="2"/>
      <c r="Q31" s="2"/>
      <c r="R31" s="14"/>
      <c r="S31" s="14"/>
      <c r="T31" s="14"/>
      <c r="U31" s="14"/>
      <c r="V31" s="3"/>
      <c r="W31" s="3"/>
      <c r="X31" s="3"/>
      <c r="AC31" s="14"/>
      <c r="AD31" s="14"/>
      <c r="AE31" s="14"/>
      <c r="AF31" s="14"/>
      <c r="AG31" s="14"/>
      <c r="AH31" s="2"/>
      <c r="AI31" s="2"/>
      <c r="AJ31" s="2"/>
      <c r="AK31" s="2"/>
      <c r="AL31" s="2"/>
      <c r="AM31" s="2"/>
      <c r="AN31" s="2"/>
      <c r="AO31"/>
      <c r="AP31"/>
    </row>
    <row r="32" spans="1:48" ht="12.95" customHeight="1" x14ac:dyDescent="0.25">
      <c r="A32" s="2"/>
      <c r="B32" s="2"/>
      <c r="C32" s="2"/>
      <c r="D32" s="33">
        <f>'Invoerveld CMR'!C14</f>
        <v>0</v>
      </c>
      <c r="E32" s="2"/>
      <c r="F32" s="2"/>
      <c r="G32" s="2"/>
      <c r="H32" s="2"/>
      <c r="J32" s="7"/>
      <c r="K32" s="2"/>
      <c r="L32" s="2"/>
      <c r="M32" s="2"/>
      <c r="N32" s="2"/>
      <c r="O32" s="2"/>
      <c r="P32" s="2"/>
      <c r="Q32" s="2"/>
      <c r="R32" s="14"/>
      <c r="S32" s="14"/>
      <c r="T32" s="14"/>
      <c r="U32" s="14"/>
      <c r="V32" s="3"/>
      <c r="W32" s="14"/>
      <c r="X32" s="14"/>
      <c r="Z32" s="32"/>
      <c r="AC32" s="14"/>
      <c r="AD32" s="171">
        <f>'Invoerveld CMR'!C11</f>
        <v>0</v>
      </c>
      <c r="AE32" s="171"/>
      <c r="AF32" s="171"/>
      <c r="AG32" s="14"/>
      <c r="AH32" s="14"/>
      <c r="AI32" s="14"/>
      <c r="AJ32" s="14"/>
      <c r="AK32" s="2"/>
      <c r="AL32" s="2"/>
      <c r="AM32" s="2"/>
      <c r="AN32" s="2"/>
      <c r="AO32"/>
      <c r="AP32"/>
      <c r="AT32" s="170"/>
      <c r="AU32" s="170"/>
      <c r="AV32" s="170"/>
    </row>
    <row r="33" spans="1:48" ht="12.95" customHeight="1" x14ac:dyDescent="0.2">
      <c r="A33" s="2"/>
      <c r="B33" s="2"/>
      <c r="C33" s="2"/>
      <c r="D33" s="164"/>
      <c r="E33" s="164"/>
      <c r="F33" s="164"/>
      <c r="G33" s="164"/>
      <c r="H33" s="164"/>
      <c r="I33" s="164"/>
      <c r="J33" s="164"/>
      <c r="K33" s="164"/>
      <c r="L33" s="2"/>
      <c r="M33" s="2"/>
      <c r="N33" s="2"/>
      <c r="O33" s="2"/>
      <c r="P33" s="2"/>
      <c r="Q33" s="2"/>
      <c r="R33" s="14"/>
      <c r="S33" s="14"/>
      <c r="T33" s="14"/>
      <c r="U33" s="14"/>
      <c r="V33" s="14"/>
      <c r="W33" s="14"/>
      <c r="X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2"/>
      <c r="AL33" s="2"/>
      <c r="AM33" s="2"/>
      <c r="AN33" s="2"/>
      <c r="AO33"/>
      <c r="AP33"/>
      <c r="AT33" s="170"/>
      <c r="AU33" s="170"/>
      <c r="AV33" s="170"/>
    </row>
    <row r="34" spans="1:48" ht="12.95" customHeight="1" x14ac:dyDescent="0.2">
      <c r="A34" s="2"/>
      <c r="B34" s="2"/>
      <c r="C34" s="2"/>
      <c r="D34" s="164"/>
      <c r="E34" s="164"/>
      <c r="F34" s="164"/>
      <c r="G34" s="164"/>
      <c r="H34" s="164"/>
      <c r="I34" s="164"/>
      <c r="J34" s="164"/>
      <c r="K34" s="164"/>
      <c r="L34" s="2"/>
      <c r="M34" s="2"/>
      <c r="N34" s="2"/>
      <c r="O34" s="2"/>
      <c r="P34" s="2"/>
      <c r="Q34" s="2"/>
      <c r="R34" s="14"/>
      <c r="S34" s="14"/>
      <c r="T34" s="14"/>
      <c r="U34" s="14"/>
      <c r="V34" s="14"/>
      <c r="W34" s="14"/>
      <c r="X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2"/>
      <c r="AL34" s="2"/>
      <c r="AM34" s="2"/>
      <c r="AN34" s="2"/>
      <c r="AO34"/>
      <c r="AP34"/>
      <c r="AT34" s="27"/>
      <c r="AU34" s="27"/>
      <c r="AV34" s="27"/>
    </row>
    <row r="35" spans="1:48" ht="12.95" customHeight="1" x14ac:dyDescent="0.2">
      <c r="A35" s="2"/>
      <c r="B35" s="2"/>
      <c r="C35" s="2"/>
      <c r="D35" s="55"/>
      <c r="E35" s="55"/>
      <c r="F35" s="55"/>
      <c r="G35" s="55"/>
      <c r="H35" s="55"/>
      <c r="I35" s="55"/>
      <c r="J35" s="55"/>
      <c r="K35" s="55"/>
      <c r="AO35" s="55"/>
      <c r="AP35" s="55"/>
    </row>
    <row r="36" spans="1:48" ht="12.95" customHeight="1" x14ac:dyDescent="0.2">
      <c r="A36" s="2"/>
      <c r="B36" s="2"/>
      <c r="C36" s="2"/>
      <c r="D36" s="55"/>
      <c r="E36" s="55"/>
      <c r="F36" s="55"/>
      <c r="G36" s="55"/>
      <c r="H36" s="55"/>
      <c r="I36" s="55"/>
      <c r="J36" s="55"/>
      <c r="K36" s="55"/>
      <c r="AO36" s="55"/>
      <c r="AP36" s="55"/>
      <c r="AQ36" s="46"/>
    </row>
    <row r="37" spans="1:48" ht="12.95" customHeight="1" x14ac:dyDescent="0.2">
      <c r="A37" s="2"/>
      <c r="B37" s="2"/>
      <c r="C37" s="2"/>
      <c r="D37" s="161">
        <f>'Invoerveld CMR'!D25</f>
        <v>0</v>
      </c>
      <c r="E37" s="161"/>
      <c r="F37" s="161"/>
      <c r="G37" s="161"/>
      <c r="H37" s="161"/>
      <c r="I37" s="10"/>
      <c r="AO37" s="55"/>
      <c r="AP37" s="55"/>
      <c r="AQ37" s="46"/>
    </row>
    <row r="38" spans="1:48" ht="14.25" customHeight="1" x14ac:dyDescent="0.2">
      <c r="A38" s="2"/>
      <c r="B38" s="2"/>
      <c r="C38" s="2"/>
      <c r="D38" s="161">
        <f>'Invoerveld CMR'!E25</f>
        <v>0</v>
      </c>
      <c r="E38" s="161"/>
      <c r="F38" s="161"/>
      <c r="G38" s="161"/>
      <c r="H38" s="161"/>
      <c r="I38" s="10"/>
      <c r="AO38" s="55"/>
      <c r="AP38" s="55"/>
      <c r="AQ38" s="46"/>
    </row>
    <row r="39" spans="1:48" ht="12.95" customHeight="1" x14ac:dyDescent="0.2">
      <c r="A39" s="2"/>
      <c r="B39" s="2"/>
      <c r="C39" s="2"/>
      <c r="D39" s="161">
        <f>'Invoerveld CMR'!F25</f>
        <v>0</v>
      </c>
      <c r="E39" s="161"/>
      <c r="F39" s="161"/>
      <c r="G39" s="161"/>
      <c r="H39" s="161"/>
      <c r="I39" s="10"/>
      <c r="J39" s="7"/>
      <c r="K39" s="2"/>
      <c r="L39" s="2"/>
      <c r="M39" s="2"/>
      <c r="N39" s="2"/>
      <c r="O39" s="2"/>
      <c r="P39" s="2"/>
      <c r="Q39" s="2"/>
      <c r="R39" s="14"/>
      <c r="S39" s="14"/>
      <c r="T39" s="14"/>
      <c r="U39" s="14"/>
      <c r="V39" s="14"/>
      <c r="W39" s="14"/>
      <c r="X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2"/>
      <c r="AL39" s="2"/>
      <c r="AM39" s="2"/>
      <c r="AN39" s="2"/>
      <c r="AO39"/>
      <c r="AP39"/>
      <c r="AQ39" s="46"/>
    </row>
    <row r="40" spans="1:48" ht="12.95" customHeight="1" x14ac:dyDescent="0.2">
      <c r="A40" s="2"/>
      <c r="B40" s="2"/>
      <c r="C40" s="2"/>
      <c r="D40" s="161">
        <f>'Invoerveld CMR'!G25</f>
        <v>0</v>
      </c>
      <c r="E40" s="161"/>
      <c r="F40" s="161"/>
      <c r="G40" s="161"/>
      <c r="H40" s="161"/>
      <c r="I40" s="10"/>
      <c r="J40" s="162"/>
      <c r="K40" s="162"/>
      <c r="L40" s="162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Z40" s="174"/>
      <c r="AA40" s="174"/>
      <c r="AB40" s="174"/>
      <c r="AC40" s="174"/>
      <c r="AD40" s="174"/>
      <c r="AE40" s="174"/>
      <c r="AF40" s="174"/>
      <c r="AG40" s="174"/>
      <c r="AH40" s="174"/>
      <c r="AI40" s="174"/>
      <c r="AJ40" s="174"/>
      <c r="AK40" s="174"/>
      <c r="AO40" s="55"/>
      <c r="AP40" s="47">
        <f>'Invoerveld CMR'!C31</f>
        <v>0</v>
      </c>
      <c r="AQ40" s="46"/>
    </row>
    <row r="41" spans="1:48" ht="12.95" customHeight="1" x14ac:dyDescent="0.2">
      <c r="A41" s="2"/>
      <c r="B41" s="2"/>
      <c r="C41" s="2"/>
      <c r="D41" s="14"/>
      <c r="E41" s="14"/>
      <c r="F41" s="14"/>
      <c r="G41" s="14"/>
      <c r="H41" s="14"/>
      <c r="I41" s="14"/>
      <c r="J41" s="162"/>
      <c r="K41" s="162"/>
      <c r="L41" s="162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32"/>
      <c r="X41" s="32"/>
      <c r="Y41" s="32"/>
      <c r="Z41" s="174"/>
      <c r="AA41" s="174"/>
      <c r="AB41" s="174"/>
      <c r="AC41" s="174"/>
      <c r="AD41" s="174"/>
      <c r="AE41" s="174"/>
      <c r="AF41" s="174"/>
      <c r="AG41" s="174"/>
      <c r="AH41" s="174"/>
      <c r="AI41" s="174"/>
      <c r="AJ41" s="174"/>
      <c r="AK41" s="174"/>
      <c r="AL41" s="52"/>
      <c r="AM41" s="52"/>
      <c r="AN41" s="32"/>
      <c r="AO41" s="46"/>
      <c r="AP41" s="47"/>
      <c r="AQ41" s="9"/>
    </row>
    <row r="42" spans="1:48" ht="12.95" customHeight="1" x14ac:dyDescent="0.2">
      <c r="A42" s="2"/>
      <c r="B42" s="2"/>
      <c r="C42" s="2"/>
      <c r="D42" s="29"/>
      <c r="E42" s="30"/>
      <c r="F42" s="30"/>
      <c r="I42" s="30"/>
      <c r="J42" s="162"/>
      <c r="K42" s="162"/>
      <c r="L42" s="162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AK42" s="63"/>
      <c r="AL42" s="63"/>
      <c r="AM42" s="63"/>
      <c r="AN42" s="64"/>
      <c r="AO42" s="64"/>
      <c r="AP42" s="47"/>
    </row>
    <row r="43" spans="1:48" ht="12.95" customHeight="1" x14ac:dyDescent="0.2">
      <c r="A43" s="2"/>
      <c r="B43" s="2"/>
      <c r="C43" s="2"/>
      <c r="D43" s="53">
        <f>'Invoerveld CMR'!C34</f>
        <v>0</v>
      </c>
      <c r="E43" s="53"/>
      <c r="F43" s="53"/>
      <c r="G43" s="53"/>
      <c r="H43" s="53"/>
      <c r="I43" s="53"/>
      <c r="J43" s="162"/>
      <c r="K43" s="162"/>
      <c r="L43" s="162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AK43" s="63"/>
      <c r="AL43" s="63"/>
      <c r="AM43" s="63"/>
      <c r="AN43" s="64"/>
      <c r="AO43" s="64"/>
      <c r="AP43" s="47"/>
    </row>
    <row r="44" spans="1:48" ht="12.95" customHeight="1" x14ac:dyDescent="0.2">
      <c r="A44" s="2"/>
      <c r="B44" s="2"/>
      <c r="C44" s="2"/>
      <c r="D44" s="53">
        <f>'Invoerveld CMR'!C35</f>
        <v>0</v>
      </c>
      <c r="E44" s="53"/>
      <c r="F44" s="53"/>
      <c r="G44" s="53"/>
      <c r="H44" s="53"/>
      <c r="I44" s="53"/>
      <c r="J44" s="162"/>
      <c r="K44" s="162"/>
      <c r="L44" s="162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52"/>
      <c r="AL44" s="52"/>
      <c r="AM44" s="52"/>
      <c r="AN44" s="32"/>
      <c r="AO44" s="46"/>
      <c r="AP44" s="47"/>
    </row>
    <row r="45" spans="1:48" ht="12.95" customHeight="1" x14ac:dyDescent="0.2">
      <c r="A45" s="2"/>
      <c r="B45" s="2"/>
      <c r="C45" s="2"/>
      <c r="D45" s="53">
        <f>'Invoerveld CMR'!C36</f>
        <v>0</v>
      </c>
      <c r="E45" s="53"/>
      <c r="F45" s="53"/>
      <c r="G45" s="53"/>
      <c r="H45" s="53"/>
      <c r="I45" s="53"/>
      <c r="J45" s="162"/>
      <c r="K45" s="162"/>
      <c r="L45" s="162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30"/>
      <c r="AL45" s="30"/>
      <c r="AM45" s="30"/>
      <c r="AN45" s="28"/>
      <c r="AO45" s="9"/>
      <c r="AP45" s="9"/>
    </row>
    <row r="46" spans="1:48" ht="12.95" customHeight="1" x14ac:dyDescent="0.2">
      <c r="A46" s="2"/>
      <c r="B46" s="2"/>
      <c r="C46" s="2"/>
      <c r="D46" s="53">
        <f>'Invoerveld CMR'!C37</f>
        <v>0</v>
      </c>
      <c r="E46" s="53"/>
      <c r="F46" s="53"/>
      <c r="G46" s="53"/>
      <c r="H46" s="53"/>
      <c r="I46" s="53"/>
      <c r="J46" s="162"/>
      <c r="K46" s="162"/>
      <c r="L46" s="162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30"/>
      <c r="AL46" s="30"/>
      <c r="AM46" s="30"/>
      <c r="AN46" s="28"/>
      <c r="AO46" s="9"/>
      <c r="AP46" s="9"/>
    </row>
    <row r="47" spans="1:48" ht="12.95" customHeight="1" x14ac:dyDescent="0.2">
      <c r="A47" s="2"/>
      <c r="B47" s="2"/>
      <c r="C47" s="2"/>
      <c r="D47" s="53">
        <f>'Invoerveld CMR'!C38</f>
        <v>0</v>
      </c>
      <c r="E47" s="53"/>
      <c r="F47" s="53"/>
      <c r="G47" s="53"/>
      <c r="H47" s="53"/>
      <c r="I47" s="53"/>
      <c r="J47" s="162"/>
      <c r="K47" s="162"/>
      <c r="L47" s="162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30"/>
      <c r="AL47" s="30"/>
      <c r="AM47" s="30"/>
      <c r="AN47" s="28"/>
      <c r="AO47" s="9"/>
      <c r="AP47" s="9"/>
    </row>
    <row r="48" spans="1:48" ht="12.95" customHeight="1" x14ac:dyDescent="0.2">
      <c r="A48" s="2"/>
      <c r="B48" s="2"/>
      <c r="C48" s="2"/>
      <c r="D48" s="53">
        <f>'Invoerveld CMR'!C39</f>
        <v>0</v>
      </c>
      <c r="E48" s="53"/>
      <c r="F48" s="53"/>
      <c r="G48" s="53"/>
      <c r="H48" s="53"/>
      <c r="I48" s="53"/>
      <c r="J48" s="162"/>
      <c r="K48" s="162"/>
      <c r="L48" s="162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53"/>
      <c r="X48" s="53"/>
      <c r="Y48" s="53"/>
      <c r="Z48" s="53"/>
      <c r="AA48" s="75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9"/>
    </row>
    <row r="49" spans="1:43" ht="12.95" customHeight="1" x14ac:dyDescent="0.2">
      <c r="A49" s="2"/>
      <c r="B49" s="2"/>
      <c r="C49" s="2"/>
      <c r="D49" s="53">
        <f>'Invoerveld CMR'!C40</f>
        <v>0</v>
      </c>
      <c r="E49" s="53"/>
      <c r="F49" s="53"/>
      <c r="G49" s="53"/>
      <c r="H49" s="53"/>
      <c r="I49" s="53"/>
      <c r="J49" s="162"/>
      <c r="K49" s="162"/>
      <c r="L49" s="162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53"/>
      <c r="X49" s="53"/>
      <c r="Y49" s="53"/>
      <c r="Z49" s="53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30"/>
    </row>
    <row r="50" spans="1:43" ht="12.95" customHeight="1" x14ac:dyDescent="0.2">
      <c r="A50" s="2"/>
      <c r="B50" s="2"/>
      <c r="C50" s="11"/>
      <c r="D50" s="53">
        <f>'Invoerveld CMR'!C41</f>
        <v>0</v>
      </c>
      <c r="E50" s="53"/>
      <c r="F50" s="53"/>
      <c r="G50" s="53"/>
      <c r="H50" s="53"/>
      <c r="I50" s="53"/>
      <c r="J50" s="162"/>
      <c r="K50" s="162"/>
      <c r="L50" s="162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53"/>
      <c r="X50" s="53"/>
      <c r="Y50" s="53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30"/>
    </row>
    <row r="51" spans="1:43" ht="12.95" customHeight="1" x14ac:dyDescent="0.2">
      <c r="A51" s="2"/>
      <c r="B51" s="2"/>
      <c r="C51" s="17"/>
      <c r="D51" s="30"/>
      <c r="E51" s="30"/>
      <c r="F51" s="30"/>
      <c r="G51" s="30"/>
      <c r="H51" s="30"/>
      <c r="I51" s="30"/>
      <c r="J51" s="162"/>
      <c r="K51" s="162"/>
      <c r="L51" s="162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30"/>
      <c r="X51" s="30"/>
      <c r="Y51" s="30"/>
      <c r="Z51" s="30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30"/>
    </row>
    <row r="52" spans="1:43" ht="12.95" customHeight="1" x14ac:dyDescent="0.2">
      <c r="A52" s="2"/>
      <c r="B52" s="2"/>
      <c r="C52" s="17"/>
      <c r="D52" s="29"/>
      <c r="E52" s="30"/>
      <c r="F52" s="30"/>
      <c r="G52" s="30"/>
      <c r="H52" s="30"/>
      <c r="I52" s="30"/>
      <c r="J52" s="162"/>
      <c r="K52" s="162"/>
      <c r="L52" s="162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53"/>
      <c r="X52" s="30"/>
      <c r="Y52" s="30"/>
      <c r="Z52" s="30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30"/>
    </row>
    <row r="53" spans="1:43" ht="12.95" customHeight="1" x14ac:dyDescent="0.2">
      <c r="A53" s="2"/>
      <c r="B53" s="2"/>
      <c r="C53" s="2"/>
      <c r="D53" s="30"/>
      <c r="E53" s="30"/>
      <c r="F53" s="30"/>
      <c r="G53" s="30"/>
      <c r="H53" s="30"/>
      <c r="I53" s="30"/>
      <c r="J53" s="162"/>
      <c r="K53" s="162"/>
      <c r="L53" s="162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30"/>
      <c r="X53" s="30"/>
      <c r="Y53" s="30"/>
      <c r="Z53" s="30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30"/>
    </row>
    <row r="54" spans="1:43" ht="12.95" customHeight="1" x14ac:dyDescent="0.2">
      <c r="A54" s="2"/>
      <c r="B54" s="2"/>
      <c r="C54" s="2"/>
      <c r="D54" s="31"/>
      <c r="E54" s="30"/>
      <c r="F54" s="30"/>
      <c r="G54" s="30"/>
      <c r="H54" s="30"/>
      <c r="I54" s="30"/>
      <c r="J54" s="162"/>
      <c r="K54" s="162"/>
      <c r="L54" s="162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30"/>
      <c r="X54" s="30"/>
      <c r="Y54" s="30"/>
      <c r="Z54" s="30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30"/>
    </row>
    <row r="55" spans="1:43" ht="12.95" customHeight="1" x14ac:dyDescent="0.2">
      <c r="A55" s="2"/>
      <c r="B55" s="2"/>
      <c r="C55" s="2"/>
      <c r="D55" s="14"/>
      <c r="E55" s="14"/>
      <c r="F55" s="14"/>
      <c r="G55" s="14"/>
      <c r="H55" s="14"/>
      <c r="I55" s="14"/>
      <c r="J55" s="162"/>
      <c r="K55" s="162"/>
      <c r="L55" s="162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7"/>
      <c r="X55" s="17"/>
      <c r="Y55" s="17"/>
      <c r="Z55" s="17"/>
      <c r="AA55" s="17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</row>
    <row r="56" spans="1:43" ht="12.95" customHeight="1" x14ac:dyDescent="0.2">
      <c r="A56" s="2"/>
      <c r="B56" s="2"/>
      <c r="C56" s="2"/>
      <c r="D56" s="34"/>
      <c r="E56" s="28"/>
      <c r="F56" s="2"/>
      <c r="G56" s="2"/>
      <c r="H56" s="14"/>
      <c r="I56" s="14"/>
      <c r="W56" s="2"/>
      <c r="X56" s="2"/>
      <c r="AA56" s="2"/>
      <c r="AB56" s="2"/>
      <c r="AC56" s="16"/>
      <c r="AD56" s="2"/>
      <c r="AE56" s="2"/>
      <c r="AF56" s="7"/>
      <c r="AG56" s="2"/>
      <c r="AH56" s="2"/>
      <c r="AI56" s="2"/>
      <c r="AJ56" s="2"/>
      <c r="AK56" s="16"/>
      <c r="AL56" s="2"/>
      <c r="AM56" s="2"/>
      <c r="AN56" s="2"/>
      <c r="AO56"/>
      <c r="AP56"/>
    </row>
    <row r="57" spans="1:43" ht="12.95" customHeight="1" x14ac:dyDescent="0.2">
      <c r="A57" s="2"/>
      <c r="B57" s="2"/>
      <c r="C57" s="2"/>
      <c r="D57" s="34"/>
      <c r="E57" s="2"/>
      <c r="F57" s="2"/>
      <c r="G57" s="2"/>
      <c r="H57" s="2"/>
      <c r="I57" s="2"/>
      <c r="W57" s="2"/>
      <c r="X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/>
      <c r="AP57"/>
    </row>
    <row r="58" spans="1:43" ht="12.95" customHeight="1" x14ac:dyDescent="0.2">
      <c r="A58" s="2"/>
      <c r="B58" s="2"/>
      <c r="C58" s="2"/>
      <c r="D58" s="34"/>
      <c r="E58" s="2"/>
      <c r="F58" s="2"/>
      <c r="G58" s="2"/>
      <c r="H58" s="2"/>
      <c r="I58" s="2"/>
      <c r="J58" s="162"/>
      <c r="K58" s="162"/>
      <c r="L58" s="162"/>
      <c r="M58" s="159">
        <f>Others!I10</f>
        <v>0</v>
      </c>
      <c r="N58" s="159"/>
      <c r="O58" s="159"/>
      <c r="P58" s="159"/>
      <c r="Q58" s="159"/>
      <c r="R58" s="159"/>
      <c r="S58" s="159"/>
      <c r="T58" s="159"/>
      <c r="U58" s="159"/>
      <c r="V58" s="159"/>
      <c r="W58" s="2"/>
      <c r="X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/>
      <c r="AP58"/>
    </row>
    <row r="59" spans="1:43" ht="12.95" customHeight="1" x14ac:dyDescent="0.2">
      <c r="A59" s="2"/>
      <c r="B59" s="2"/>
      <c r="C59" s="2"/>
      <c r="D59" s="18"/>
      <c r="E59" s="2"/>
      <c r="F59" s="2"/>
      <c r="G59" s="2"/>
      <c r="H59" s="2"/>
      <c r="I59" s="2"/>
      <c r="J59" s="162"/>
      <c r="K59" s="162"/>
      <c r="L59" s="162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2"/>
      <c r="X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/>
      <c r="AP59"/>
    </row>
    <row r="60" spans="1:43" ht="12.9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162"/>
      <c r="K60" s="162"/>
      <c r="L60" s="162"/>
      <c r="M60" s="159">
        <f>Others!I11</f>
        <v>0</v>
      </c>
      <c r="N60" s="159"/>
      <c r="O60" s="159"/>
      <c r="P60" s="159"/>
      <c r="Q60" s="159"/>
      <c r="R60" s="159"/>
      <c r="S60" s="159"/>
      <c r="T60" s="159"/>
      <c r="U60" s="159"/>
      <c r="V60" s="159"/>
      <c r="W60" s="2"/>
      <c r="X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/>
      <c r="AP60"/>
    </row>
    <row r="61" spans="1:43" ht="12.9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162"/>
      <c r="K61" s="162"/>
      <c r="L61" s="162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AN61" s="2"/>
      <c r="AO61"/>
      <c r="AP61"/>
    </row>
    <row r="62" spans="1:43" ht="12.9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Z62" s="178"/>
      <c r="AA62" s="178"/>
      <c r="AB62" s="178"/>
      <c r="AC62" s="178"/>
      <c r="AD62" s="178"/>
      <c r="AE62" s="178"/>
      <c r="AF62" s="178"/>
      <c r="AG62" s="178"/>
      <c r="AH62" s="178"/>
      <c r="AI62" s="178"/>
      <c r="AJ62" s="178"/>
      <c r="AK62" s="178"/>
      <c r="AL62" s="178"/>
      <c r="AM62" s="178"/>
      <c r="AN62" s="178"/>
      <c r="AO62" s="178"/>
      <c r="AP62" s="178"/>
      <c r="AQ62" s="178"/>
    </row>
    <row r="63" spans="1:43" ht="12.95" customHeight="1" x14ac:dyDescent="0.2">
      <c r="A63" s="2"/>
      <c r="B63" s="2"/>
      <c r="C63" s="2"/>
      <c r="D63" s="29"/>
      <c r="E63" s="28"/>
      <c r="F63" s="28"/>
      <c r="G63" s="28"/>
      <c r="H63" s="28"/>
      <c r="I63" s="28"/>
      <c r="J63" s="28"/>
      <c r="K63" s="35"/>
      <c r="L63" s="35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Z63" s="178"/>
      <c r="AA63" s="178"/>
      <c r="AB63" s="178"/>
      <c r="AC63" s="178"/>
      <c r="AD63" s="178"/>
      <c r="AE63" s="178"/>
      <c r="AF63" s="178"/>
      <c r="AG63" s="178"/>
      <c r="AH63" s="178"/>
      <c r="AI63" s="178"/>
      <c r="AJ63" s="178"/>
      <c r="AK63" s="178"/>
      <c r="AL63" s="178"/>
      <c r="AM63" s="178"/>
      <c r="AN63" s="178"/>
      <c r="AO63" s="178"/>
      <c r="AP63" s="178"/>
      <c r="AQ63" s="178"/>
    </row>
    <row r="64" spans="1:43" ht="12.95" customHeight="1" x14ac:dyDescent="0.2">
      <c r="A64" s="2"/>
      <c r="B64" s="2"/>
      <c r="C64" s="2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"/>
      <c r="Q64" s="2"/>
      <c r="R64" s="2"/>
      <c r="S64" s="2"/>
      <c r="T64" s="2"/>
      <c r="U64" s="2"/>
      <c r="Z64" s="178"/>
      <c r="AA64" s="178"/>
      <c r="AB64" s="178"/>
      <c r="AC64" s="178"/>
      <c r="AD64" s="178"/>
      <c r="AE64" s="178"/>
      <c r="AF64" s="178"/>
      <c r="AG64" s="178"/>
      <c r="AH64" s="178"/>
      <c r="AI64" s="178"/>
      <c r="AJ64" s="178"/>
      <c r="AK64" s="178"/>
      <c r="AL64" s="178"/>
      <c r="AM64" s="178"/>
      <c r="AN64" s="178"/>
      <c r="AO64" s="178"/>
      <c r="AP64" s="178"/>
      <c r="AQ64" s="178"/>
    </row>
    <row r="65" spans="1:43" ht="12.95" customHeight="1" x14ac:dyDescent="0.2">
      <c r="A65" s="2"/>
      <c r="B65" s="2"/>
      <c r="C65" s="2"/>
      <c r="D65" s="35"/>
      <c r="E65" s="35"/>
      <c r="F65" s="35"/>
      <c r="G65" s="35"/>
      <c r="H65" s="35"/>
      <c r="I65" s="35"/>
      <c r="J65" s="35"/>
      <c r="K65" s="166"/>
      <c r="L65" s="166"/>
      <c r="M65" s="166"/>
      <c r="N65" s="166"/>
      <c r="O65" s="166"/>
      <c r="P65" s="179"/>
      <c r="Q65" s="179"/>
      <c r="R65" s="179"/>
      <c r="S65" s="179"/>
      <c r="T65" s="179"/>
      <c r="U65" s="2"/>
      <c r="V65" s="2"/>
      <c r="Z65" s="178"/>
      <c r="AA65" s="178"/>
      <c r="AB65" s="178"/>
      <c r="AC65" s="178"/>
      <c r="AD65" s="178"/>
      <c r="AE65" s="178"/>
      <c r="AF65" s="178"/>
      <c r="AG65" s="178"/>
      <c r="AH65" s="178"/>
      <c r="AI65" s="178"/>
      <c r="AJ65" s="178"/>
      <c r="AK65" s="178"/>
      <c r="AL65" s="178"/>
      <c r="AM65" s="178"/>
      <c r="AN65" s="178"/>
      <c r="AO65" s="178"/>
      <c r="AP65" s="178"/>
      <c r="AQ65" s="178"/>
    </row>
    <row r="66" spans="1:43" ht="12.95" customHeight="1" x14ac:dyDescent="0.2">
      <c r="A66" s="2"/>
      <c r="B66" s="2"/>
      <c r="C66" s="2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179"/>
      <c r="Q66" s="179"/>
      <c r="R66" s="179"/>
      <c r="S66" s="179"/>
      <c r="T66" s="179"/>
      <c r="U66" s="2"/>
      <c r="V66" s="2"/>
      <c r="AN66" s="2"/>
      <c r="AO66" s="2"/>
      <c r="AP66" s="2"/>
    </row>
    <row r="67" spans="1:43" ht="12.95" customHeight="1" x14ac:dyDescent="0.2">
      <c r="A67" s="2"/>
      <c r="B67" s="2"/>
      <c r="C67" s="2"/>
      <c r="D67" s="35"/>
      <c r="E67" s="35"/>
      <c r="F67" s="35"/>
      <c r="G67" s="35"/>
      <c r="H67" s="35"/>
      <c r="I67" s="35"/>
      <c r="J67" s="35"/>
      <c r="K67" s="166"/>
      <c r="L67" s="166"/>
      <c r="M67" s="166"/>
      <c r="N67" s="166"/>
      <c r="O67" s="166"/>
      <c r="P67" s="179"/>
      <c r="Q67" s="179"/>
      <c r="R67" s="179"/>
      <c r="S67" s="179"/>
      <c r="T67" s="179"/>
      <c r="U67" s="2"/>
      <c r="V67" s="2"/>
      <c r="W67" s="2"/>
      <c r="X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/>
      <c r="AP67"/>
    </row>
    <row r="68" spans="1:43" ht="12.95" customHeight="1" x14ac:dyDescent="0.2">
      <c r="A68" s="2"/>
      <c r="B68" s="2"/>
      <c r="C68" s="2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176"/>
      <c r="Q68" s="176"/>
      <c r="R68" s="176"/>
      <c r="S68" s="176"/>
      <c r="T68" s="176"/>
      <c r="U68" s="2"/>
      <c r="V68" s="2"/>
      <c r="W68" s="2"/>
      <c r="X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/>
      <c r="AP68"/>
    </row>
    <row r="69" spans="1:43" ht="12.95" customHeight="1" x14ac:dyDescent="0.2">
      <c r="A69" s="2"/>
      <c r="B69" s="2"/>
      <c r="C69" s="2"/>
      <c r="D69" s="35"/>
      <c r="E69" s="35"/>
      <c r="F69" s="35"/>
      <c r="G69" s="35"/>
      <c r="H69" s="35"/>
      <c r="I69" s="35"/>
      <c r="J69" s="35"/>
      <c r="K69" s="166"/>
      <c r="L69" s="166"/>
      <c r="M69" s="166"/>
      <c r="N69" s="166"/>
      <c r="O69" s="166"/>
      <c r="P69" s="176"/>
      <c r="Q69" s="176"/>
      <c r="R69" s="176"/>
      <c r="S69" s="176"/>
      <c r="T69" s="176"/>
      <c r="U69" s="2"/>
      <c r="V69" s="2"/>
      <c r="W69" s="2"/>
      <c r="X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/>
      <c r="AP69"/>
    </row>
    <row r="70" spans="1:43" ht="12.95" customHeight="1" x14ac:dyDescent="0.2">
      <c r="A70" s="2"/>
      <c r="B70" s="2"/>
      <c r="C70" s="2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/>
      <c r="AP70"/>
    </row>
    <row r="71" spans="1:43" ht="12.95" customHeight="1" x14ac:dyDescent="0.2">
      <c r="A71" s="2"/>
      <c r="B71" s="2"/>
      <c r="C71" s="2"/>
      <c r="D71" s="35"/>
      <c r="E71" s="35"/>
      <c r="F71" s="35"/>
      <c r="G71" s="35"/>
      <c r="H71" s="35"/>
      <c r="I71" s="35"/>
      <c r="J71" s="35"/>
      <c r="K71" s="166"/>
      <c r="L71" s="166"/>
      <c r="M71" s="166"/>
      <c r="N71" s="166"/>
      <c r="O71" s="36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/>
      <c r="AP71"/>
    </row>
    <row r="72" spans="1:43" ht="12.95" customHeight="1" x14ac:dyDescent="0.2">
      <c r="A72" s="2"/>
      <c r="B72" s="2"/>
      <c r="C72" s="2"/>
      <c r="D72" s="19"/>
      <c r="E72" s="19"/>
      <c r="F72" s="19"/>
      <c r="G72" s="19"/>
      <c r="H72" s="19"/>
      <c r="I72" s="19"/>
      <c r="J72" s="19"/>
      <c r="K72" s="177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/>
      <c r="AP72"/>
    </row>
    <row r="73" spans="1:43" ht="12.95" customHeight="1" x14ac:dyDescent="0.2">
      <c r="A73" s="2"/>
      <c r="B73" s="2"/>
      <c r="C73" s="2"/>
      <c r="D73" s="19"/>
      <c r="E73" s="19"/>
      <c r="F73" s="19"/>
      <c r="G73" s="19"/>
      <c r="H73" s="19"/>
      <c r="I73" s="19"/>
      <c r="J73" s="19"/>
      <c r="K73" s="177"/>
      <c r="L73" s="177"/>
      <c r="M73" s="177"/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/>
      <c r="AP73"/>
    </row>
    <row r="74" spans="1:43" ht="12.95" customHeight="1" x14ac:dyDescent="0.2">
      <c r="A74" s="2"/>
      <c r="B74" s="2"/>
      <c r="C74" s="2"/>
      <c r="D74" s="19"/>
      <c r="E74" s="19"/>
      <c r="F74" s="19"/>
      <c r="G74" s="19"/>
      <c r="H74" s="19"/>
      <c r="I74" s="19"/>
      <c r="J74" s="19"/>
      <c r="K74" s="14"/>
      <c r="L74" s="14"/>
      <c r="M74" s="14"/>
      <c r="N74" s="14"/>
      <c r="O74" s="14"/>
      <c r="P74" s="14"/>
      <c r="Q74" s="14"/>
      <c r="R74" s="14"/>
      <c r="S74" s="2"/>
      <c r="T74" s="2"/>
      <c r="U74" s="2"/>
      <c r="V74" s="2"/>
      <c r="W74" s="2"/>
      <c r="X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/>
      <c r="AP74"/>
    </row>
    <row r="75" spans="1:43" ht="12.95" customHeight="1" x14ac:dyDescent="0.2">
      <c r="A75" s="2"/>
      <c r="B75" s="2"/>
      <c r="C75" s="2"/>
      <c r="D75" s="20"/>
      <c r="E75" s="20"/>
      <c r="F75" s="20"/>
      <c r="G75" s="20"/>
      <c r="H75" s="20"/>
      <c r="I75" s="20"/>
      <c r="J75" s="20"/>
      <c r="K75" s="14"/>
      <c r="L75" s="14"/>
      <c r="M75" s="14"/>
      <c r="N75" s="14"/>
      <c r="O75" s="14"/>
      <c r="P75" s="14"/>
      <c r="Q75" s="14"/>
      <c r="R75" s="14"/>
      <c r="S75" s="2"/>
      <c r="T75" s="2"/>
      <c r="U75" s="2"/>
      <c r="V75" s="2"/>
      <c r="W75" s="2"/>
      <c r="X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/>
      <c r="AP75"/>
    </row>
    <row r="76" spans="1:43" ht="12.75" customHeight="1" x14ac:dyDescent="0.2">
      <c r="A76" s="2"/>
      <c r="B76" s="2"/>
      <c r="X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/>
      <c r="AP76"/>
    </row>
    <row r="77" spans="1:43" ht="3.6" customHeight="1" x14ac:dyDescent="0.2">
      <c r="A77" s="2"/>
      <c r="B77" s="2"/>
      <c r="X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/>
      <c r="AP77"/>
    </row>
    <row r="78" spans="1:43" ht="12.75" customHeight="1" x14ac:dyDescent="0.2">
      <c r="A78" s="2"/>
      <c r="B78" s="2"/>
      <c r="X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/>
      <c r="AP78"/>
    </row>
    <row r="79" spans="1:43" ht="12.95" customHeight="1" x14ac:dyDescent="0.2">
      <c r="A79" s="2"/>
      <c r="B79" s="2"/>
      <c r="D79" s="74"/>
      <c r="X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/>
      <c r="AP79"/>
    </row>
    <row r="80" spans="1:43" ht="12.95" customHeight="1" x14ac:dyDescent="0.2">
      <c r="A80" s="2"/>
      <c r="B80" s="2"/>
      <c r="X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/>
      <c r="AP80"/>
    </row>
    <row r="81" spans="1:42" ht="12.95" customHeight="1" x14ac:dyDescent="0.2">
      <c r="A81" s="2"/>
      <c r="B81" s="55"/>
      <c r="C81" s="14"/>
      <c r="D81" s="2"/>
      <c r="E81" s="2"/>
      <c r="F81" s="2"/>
      <c r="G81" s="2"/>
      <c r="H81" s="2"/>
      <c r="I81" s="2"/>
      <c r="J81" s="2"/>
      <c r="K81" s="2"/>
      <c r="L81" s="2"/>
      <c r="M81" s="2"/>
      <c r="N81" s="33">
        <f>'Invoerveld CMR'!C22</f>
        <v>0</v>
      </c>
      <c r="O81" s="2"/>
      <c r="P81" s="2"/>
      <c r="Q81" s="2"/>
      <c r="R81" s="2"/>
      <c r="S81" s="2"/>
      <c r="T81" s="2"/>
      <c r="U81" s="2"/>
      <c r="V81" s="2"/>
      <c r="W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/>
      <c r="AP81"/>
    </row>
    <row r="82" spans="1:42" ht="12.95" customHeight="1" x14ac:dyDescent="0.2">
      <c r="A82" s="2"/>
      <c r="B82" s="2"/>
      <c r="C82" s="2"/>
      <c r="D82" s="2"/>
      <c r="E82" s="2"/>
      <c r="H82" s="55"/>
      <c r="I82" s="59"/>
      <c r="J82" s="59"/>
      <c r="K82" s="59"/>
      <c r="L82" s="59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/>
      <c r="AP82"/>
    </row>
    <row r="83" spans="1:42" ht="12.95" customHeight="1" x14ac:dyDescent="0.2">
      <c r="A83" s="2"/>
      <c r="B83" s="2"/>
      <c r="C83" s="2"/>
      <c r="D83" s="2"/>
      <c r="E83" s="2"/>
      <c r="H83" s="73" t="s">
        <v>89</v>
      </c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/>
      <c r="AP83"/>
    </row>
    <row r="84" spans="1:42" ht="12.9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56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/>
      <c r="AP84"/>
    </row>
    <row r="85" spans="1:42" ht="12.95" customHeight="1" x14ac:dyDescent="0.2">
      <c r="A85" s="2"/>
      <c r="B85" s="2"/>
      <c r="C85" s="2"/>
      <c r="D85" s="58"/>
      <c r="E85" s="58"/>
      <c r="F85" s="58"/>
      <c r="G85" s="58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/>
      <c r="AP85"/>
    </row>
    <row r="86" spans="1:42" ht="12.95" customHeight="1" x14ac:dyDescent="0.25">
      <c r="A86" s="2"/>
      <c r="B86" s="2"/>
      <c r="C86" s="2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60"/>
      <c r="Q86" s="6"/>
      <c r="R86" s="60"/>
      <c r="S86" s="58"/>
      <c r="T86" s="58"/>
      <c r="U86" s="58"/>
      <c r="V86" s="58"/>
      <c r="W86" s="58"/>
      <c r="X86" s="58"/>
      <c r="AB86" s="56"/>
      <c r="AC86" s="56"/>
      <c r="AD86" s="56"/>
      <c r="AF86" s="2"/>
      <c r="AG86" s="2"/>
      <c r="AH86" s="2"/>
      <c r="AI86" s="2"/>
      <c r="AJ86" s="2"/>
      <c r="AK86" s="2"/>
      <c r="AL86" s="2"/>
      <c r="AM86" s="2"/>
      <c r="AN86" s="2"/>
      <c r="AO86"/>
      <c r="AP86"/>
    </row>
    <row r="87" spans="1:42" ht="12.95" customHeight="1" x14ac:dyDescent="0.2">
      <c r="A87" s="2"/>
      <c r="B87" s="55"/>
      <c r="C87" s="55"/>
      <c r="D87" s="144" t="str">
        <f>IF('Invoerveld CMR'!C5="","",VLOOKUP('Invoerveld CMR'!C5,Afzender!A2:B30,2,FALSE))</f>
        <v>Hessing Helmond
Korendijk 9
5704 RD Helmond
The Netherlands</v>
      </c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55"/>
      <c r="R87" s="55"/>
      <c r="S87" s="55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49"/>
      <c r="AE87" s="49"/>
      <c r="AF87" s="2"/>
      <c r="AG87" s="2"/>
      <c r="AH87" s="2"/>
      <c r="AI87" s="2"/>
      <c r="AJ87" s="2"/>
      <c r="AK87" s="2"/>
      <c r="AL87" s="2"/>
      <c r="AM87" s="2"/>
      <c r="AN87" s="2"/>
      <c r="AO87"/>
      <c r="AP87"/>
    </row>
    <row r="88" spans="1:42" ht="12.95" customHeight="1" x14ac:dyDescent="0.2">
      <c r="A88" s="2"/>
      <c r="B88" s="55"/>
      <c r="C88" s="55"/>
      <c r="D88" s="144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55"/>
      <c r="R88" s="55"/>
      <c r="S88" s="55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49"/>
      <c r="AE88" s="49"/>
      <c r="AF88" s="2"/>
      <c r="AG88" s="2"/>
      <c r="AH88" s="2"/>
      <c r="AI88" s="2"/>
      <c r="AJ88" s="2"/>
      <c r="AK88" s="2"/>
      <c r="AL88" s="2"/>
      <c r="AM88" s="2"/>
      <c r="AN88" s="2"/>
      <c r="AO88"/>
      <c r="AP88"/>
    </row>
    <row r="89" spans="1:42" ht="12.95" customHeight="1" x14ac:dyDescent="0.2">
      <c r="A89" s="2"/>
      <c r="B89" s="55"/>
      <c r="C89" s="55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55"/>
      <c r="R89" s="55"/>
      <c r="S89" s="55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49"/>
      <c r="AE89" s="49"/>
      <c r="AF89" s="2"/>
      <c r="AG89" s="2"/>
      <c r="AH89" s="2"/>
      <c r="AI89" s="2"/>
      <c r="AJ89" s="2"/>
      <c r="AK89" s="2"/>
      <c r="AL89" s="2"/>
      <c r="AM89" s="2"/>
      <c r="AN89" s="2"/>
      <c r="AO89"/>
      <c r="AP89"/>
    </row>
    <row r="90" spans="1:42" ht="12.95" customHeight="1" x14ac:dyDescent="0.2">
      <c r="A90" s="2"/>
      <c r="B90" s="55"/>
      <c r="C90" s="55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55"/>
      <c r="R90" s="55"/>
      <c r="S90" s="55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49"/>
      <c r="AE90" s="49"/>
      <c r="AF90" s="2"/>
      <c r="AG90" s="2"/>
      <c r="AH90" s="2"/>
      <c r="AI90" s="2"/>
      <c r="AJ90" s="2"/>
      <c r="AK90" s="2"/>
      <c r="AL90" s="2"/>
      <c r="AM90" s="2"/>
      <c r="AN90" s="2"/>
      <c r="AO90"/>
      <c r="AP90"/>
    </row>
    <row r="91" spans="1:42" ht="12.95" customHeight="1" x14ac:dyDescent="0.25">
      <c r="A91" s="2"/>
      <c r="B91" s="2"/>
      <c r="C91" s="2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60"/>
      <c r="R91" s="60"/>
      <c r="S91" s="60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49"/>
      <c r="AE91" s="49"/>
      <c r="AF91" s="2"/>
      <c r="AG91" s="2"/>
      <c r="AH91" s="2"/>
      <c r="AI91" s="2"/>
      <c r="AJ91" s="2"/>
      <c r="AK91" s="2"/>
      <c r="AL91" s="2"/>
      <c r="AM91" s="2"/>
      <c r="AN91" s="2"/>
      <c r="AO91"/>
      <c r="AP91"/>
    </row>
    <row r="92" spans="1:42" ht="12.95" customHeight="1" x14ac:dyDescent="0.25">
      <c r="A92" s="2"/>
      <c r="B92" s="2"/>
      <c r="C92" s="2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60"/>
      <c r="R92" s="60"/>
      <c r="S92" s="60"/>
      <c r="T92" s="60"/>
      <c r="U92" s="49"/>
      <c r="V92" s="49"/>
      <c r="W92" s="49"/>
      <c r="X92" s="49"/>
      <c r="Y92" s="49"/>
      <c r="Z92" s="49"/>
      <c r="AA92" s="49"/>
      <c r="AB92" s="49"/>
      <c r="AC92" s="49"/>
      <c r="AF92" s="2"/>
      <c r="AG92" s="2"/>
      <c r="AH92" s="2"/>
      <c r="AI92" s="2"/>
      <c r="AJ92" s="2"/>
      <c r="AK92" s="2"/>
      <c r="AL92" s="2"/>
      <c r="AM92" s="57"/>
      <c r="AN92" s="57"/>
      <c r="AO92" s="55"/>
      <c r="AP92" s="55"/>
    </row>
    <row r="93" spans="1:42" ht="12.95" customHeight="1" x14ac:dyDescent="0.25">
      <c r="A93" s="2"/>
      <c r="B93" s="2"/>
      <c r="C93" s="2"/>
      <c r="O93" s="58"/>
      <c r="P93" s="60"/>
      <c r="Q93" s="60"/>
      <c r="R93" s="60"/>
      <c r="T93" s="58" t="str">
        <f>IF('Invoerveld CMR'!D6="","",VLOOKUP('Invoerveld CMR'!D6,Vervoerder!$A$2:$B$102,2,FALSE))</f>
        <v/>
      </c>
      <c r="U93" s="49"/>
      <c r="V93" s="49"/>
      <c r="W93" s="49"/>
      <c r="X93" s="49"/>
      <c r="Y93" s="49"/>
      <c r="Z93" s="49"/>
      <c r="AA93" s="49"/>
      <c r="AB93" s="49"/>
      <c r="AC93" s="49"/>
      <c r="AD93" s="56"/>
      <c r="AE93" s="56"/>
      <c r="AF93" s="2"/>
      <c r="AG93" s="2"/>
      <c r="AH93" s="2"/>
      <c r="AI93" s="2"/>
      <c r="AJ93" s="2"/>
      <c r="AK93" s="2"/>
      <c r="AL93" s="2"/>
      <c r="AM93" s="57"/>
      <c r="AN93" s="57"/>
      <c r="AO93" s="55"/>
      <c r="AP93" s="55"/>
    </row>
    <row r="94" spans="1:42" ht="12.95" customHeight="1" x14ac:dyDescent="0.25">
      <c r="O94" s="58"/>
      <c r="P94" s="60"/>
      <c r="Q94" s="6"/>
      <c r="R94" s="60"/>
      <c r="S94" s="58"/>
      <c r="T94" s="58"/>
      <c r="U94" s="49"/>
      <c r="V94" s="49"/>
      <c r="W94" s="49"/>
      <c r="X94" s="49"/>
      <c r="Y94" s="49"/>
      <c r="Z94" s="49"/>
      <c r="AA94" s="49"/>
      <c r="AB94" s="49"/>
      <c r="AC94" s="49"/>
      <c r="AD94" s="56"/>
      <c r="AE94" s="56"/>
      <c r="AM94" s="55"/>
      <c r="AN94" s="55"/>
      <c r="AO94" s="55"/>
      <c r="AP94" s="55"/>
    </row>
    <row r="95" spans="1:42" ht="12.95" customHeight="1" x14ac:dyDescent="0.25">
      <c r="O95" s="58"/>
      <c r="P95" s="60"/>
      <c r="Q95" s="6"/>
      <c r="R95" s="60"/>
      <c r="S95" s="58"/>
      <c r="T95" s="58"/>
      <c r="U95" s="49"/>
      <c r="V95" s="49"/>
      <c r="W95" s="49"/>
      <c r="X95" s="49"/>
      <c r="Y95" s="49"/>
      <c r="Z95" s="49"/>
      <c r="AA95" s="49"/>
      <c r="AB95" s="49"/>
      <c r="AC95" s="49"/>
      <c r="AD95" s="56"/>
      <c r="AE95" s="56"/>
      <c r="AM95" s="55"/>
      <c r="AN95" s="55"/>
      <c r="AO95" s="55"/>
      <c r="AP95" s="55"/>
    </row>
    <row r="96" spans="1:42" ht="12.95" customHeight="1" x14ac:dyDescent="0.25"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60"/>
      <c r="Q96" s="60"/>
      <c r="R96" s="60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6"/>
      <c r="AD96" s="56"/>
      <c r="AE96" s="56"/>
      <c r="AM96" s="55"/>
      <c r="AN96" s="55"/>
      <c r="AO96" s="55"/>
      <c r="AP96" s="55"/>
    </row>
    <row r="97" spans="4:42" ht="18" customHeight="1" x14ac:dyDescent="0.25"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60"/>
      <c r="Q97" s="60"/>
      <c r="R97" s="60"/>
      <c r="S97" s="58"/>
      <c r="T97" s="58"/>
      <c r="U97" s="58"/>
      <c r="V97" s="58"/>
      <c r="W97" s="58"/>
      <c r="X97" s="58"/>
      <c r="Y97" s="58"/>
      <c r="Z97" s="58"/>
      <c r="AA97" s="58"/>
      <c r="AB97" s="56"/>
      <c r="AC97" s="56"/>
      <c r="AD97" s="56"/>
      <c r="AE97" s="56"/>
      <c r="AM97" s="55"/>
      <c r="AN97" s="55"/>
      <c r="AO97" s="55"/>
      <c r="AP97" s="55"/>
    </row>
  </sheetData>
  <sheetProtection sheet="1" objects="1" scenarios="1" selectLockedCells="1" selectUnlockedCells="1"/>
  <mergeCells count="58">
    <mergeCell ref="Z40:AK41"/>
    <mergeCell ref="M83:X83"/>
    <mergeCell ref="P68:T69"/>
    <mergeCell ref="K69:O69"/>
    <mergeCell ref="M58:V59"/>
    <mergeCell ref="K72:AB73"/>
    <mergeCell ref="Z62:AQ65"/>
    <mergeCell ref="K71:N71"/>
    <mergeCell ref="J60:L61"/>
    <mergeCell ref="J58:L59"/>
    <mergeCell ref="K65:O65"/>
    <mergeCell ref="M60:V61"/>
    <mergeCell ref="P65:T67"/>
    <mergeCell ref="J52:L53"/>
    <mergeCell ref="J54:L55"/>
    <mergeCell ref="M54:V55"/>
    <mergeCell ref="AS28:AU29"/>
    <mergeCell ref="AT32:AV33"/>
    <mergeCell ref="AD32:AF32"/>
    <mergeCell ref="AD30:AF30"/>
    <mergeCell ref="D27:K28"/>
    <mergeCell ref="D29:L30"/>
    <mergeCell ref="AK1:AN2"/>
    <mergeCell ref="Z20:AK22"/>
    <mergeCell ref="AI25:AO25"/>
    <mergeCell ref="AI27:AO27"/>
    <mergeCell ref="AL3:AP3"/>
    <mergeCell ref="AA13:AI18"/>
    <mergeCell ref="D87:P92"/>
    <mergeCell ref="T87:AC91"/>
    <mergeCell ref="M42:V43"/>
    <mergeCell ref="M44:V45"/>
    <mergeCell ref="M46:V47"/>
    <mergeCell ref="M48:V49"/>
    <mergeCell ref="M50:V51"/>
    <mergeCell ref="J42:L43"/>
    <mergeCell ref="K67:O67"/>
    <mergeCell ref="J46:L47"/>
    <mergeCell ref="J48:L49"/>
    <mergeCell ref="J44:L45"/>
    <mergeCell ref="J50:L51"/>
    <mergeCell ref="Y44:AJ45"/>
    <mergeCell ref="Y46:AJ47"/>
    <mergeCell ref="M62:V63"/>
    <mergeCell ref="M52:V53"/>
    <mergeCell ref="D4:Q11"/>
    <mergeCell ref="D39:H39"/>
    <mergeCell ref="D40:H40"/>
    <mergeCell ref="J40:L41"/>
    <mergeCell ref="M40:V41"/>
    <mergeCell ref="D15:T16"/>
    <mergeCell ref="D13:T14"/>
    <mergeCell ref="R17:W18"/>
    <mergeCell ref="D33:K34"/>
    <mergeCell ref="D37:H37"/>
    <mergeCell ref="D38:H38"/>
    <mergeCell ref="D17:Q18"/>
    <mergeCell ref="D22:O23"/>
  </mergeCells>
  <phoneticPr fontId="1" type="noConversion"/>
  <printOptions horizontalCentered="1" verticalCentered="1"/>
  <pageMargins left="0.19685039370078741" right="0.19685039370078741" top="0.11811023622047245" bottom="0" header="0" footer="0"/>
  <pageSetup paperSize="9" scale="66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2"/>
  <sheetViews>
    <sheetView workbookViewId="0">
      <pane ySplit="1" topLeftCell="A2" activePane="bottomLeft" state="frozen"/>
      <selection activeCell="F57" sqref="F57"/>
      <selection pane="bottomLeft" activeCell="A4" sqref="A4"/>
    </sheetView>
  </sheetViews>
  <sheetFormatPr defaultRowHeight="12.75" x14ac:dyDescent="0.2"/>
  <cols>
    <col min="1" max="1" width="30.7109375" style="65" customWidth="1"/>
    <col min="2" max="2" width="30.7109375" style="66" customWidth="1"/>
    <col min="3" max="3" width="23" style="65" bestFit="1" customWidth="1"/>
    <col min="4" max="4" width="9.5703125" style="67" bestFit="1" customWidth="1"/>
    <col min="5" max="5" width="8.42578125" style="66" customWidth="1"/>
  </cols>
  <sheetData>
    <row r="1" spans="1:5" x14ac:dyDescent="0.2">
      <c r="A1" s="68" t="s">
        <v>91</v>
      </c>
      <c r="B1" s="69" t="s">
        <v>92</v>
      </c>
      <c r="C1" s="70" t="s">
        <v>93</v>
      </c>
      <c r="D1" s="71" t="s">
        <v>94</v>
      </c>
      <c r="E1" s="72" t="s">
        <v>90</v>
      </c>
    </row>
    <row r="2" spans="1:5" x14ac:dyDescent="0.2">
      <c r="A2" s="76" t="s">
        <v>32</v>
      </c>
      <c r="B2" s="77" t="s">
        <v>129</v>
      </c>
      <c r="C2" s="76" t="s">
        <v>130</v>
      </c>
      <c r="D2" s="78">
        <v>1932</v>
      </c>
      <c r="E2" s="77">
        <v>240994</v>
      </c>
    </row>
    <row r="3" spans="1:5" x14ac:dyDescent="0.2">
      <c r="A3" s="76" t="s">
        <v>167</v>
      </c>
      <c r="B3" s="77" t="s">
        <v>16</v>
      </c>
      <c r="C3" s="76" t="s">
        <v>17</v>
      </c>
      <c r="D3" s="78">
        <v>2260</v>
      </c>
      <c r="E3" s="77">
        <v>110206</v>
      </c>
    </row>
    <row r="4" spans="1:5" x14ac:dyDescent="0.2">
      <c r="A4" s="76" t="s">
        <v>95</v>
      </c>
      <c r="B4" s="77" t="s">
        <v>129</v>
      </c>
      <c r="C4" s="76" t="s">
        <v>131</v>
      </c>
      <c r="D4" s="78" t="s">
        <v>132</v>
      </c>
      <c r="E4" s="77">
        <v>226656</v>
      </c>
    </row>
    <row r="5" spans="1:5" x14ac:dyDescent="0.2">
      <c r="A5" s="76" t="s">
        <v>96</v>
      </c>
      <c r="B5" s="77" t="s">
        <v>133</v>
      </c>
      <c r="C5" s="76" t="s">
        <v>134</v>
      </c>
      <c r="D5" s="78" t="s">
        <v>135</v>
      </c>
      <c r="E5" s="77">
        <v>157124</v>
      </c>
    </row>
    <row r="6" spans="1:5" x14ac:dyDescent="0.2">
      <c r="A6" s="76" t="s">
        <v>100</v>
      </c>
      <c r="B6" s="77" t="s">
        <v>136</v>
      </c>
      <c r="C6" s="76" t="s">
        <v>137</v>
      </c>
      <c r="D6" s="78" t="s">
        <v>138</v>
      </c>
      <c r="E6" s="77">
        <v>226014</v>
      </c>
    </row>
    <row r="7" spans="1:5" x14ac:dyDescent="0.2">
      <c r="A7" s="76" t="s">
        <v>101</v>
      </c>
      <c r="B7" s="77" t="s">
        <v>102</v>
      </c>
      <c r="C7" s="76" t="s">
        <v>103</v>
      </c>
      <c r="D7" s="78" t="s">
        <v>104</v>
      </c>
      <c r="E7" s="77">
        <v>226012</v>
      </c>
    </row>
    <row r="8" spans="1:5" x14ac:dyDescent="0.2">
      <c r="A8" s="76" t="s">
        <v>163</v>
      </c>
      <c r="B8" s="77" t="s">
        <v>164</v>
      </c>
      <c r="C8" s="76" t="s">
        <v>165</v>
      </c>
      <c r="D8" s="78">
        <v>2870</v>
      </c>
      <c r="E8" s="77">
        <v>226080</v>
      </c>
    </row>
    <row r="9" spans="1:5" x14ac:dyDescent="0.2">
      <c r="A9" s="76" t="s">
        <v>105</v>
      </c>
      <c r="B9" s="77" t="s">
        <v>140</v>
      </c>
      <c r="C9" s="76" t="s">
        <v>141</v>
      </c>
      <c r="D9" s="78" t="s">
        <v>142</v>
      </c>
      <c r="E9" s="77">
        <v>225745</v>
      </c>
    </row>
    <row r="10" spans="1:5" x14ac:dyDescent="0.2">
      <c r="A10" s="76" t="s">
        <v>28</v>
      </c>
      <c r="B10" s="77" t="s">
        <v>143</v>
      </c>
      <c r="C10" s="76" t="s">
        <v>144</v>
      </c>
      <c r="D10" s="78">
        <v>6530</v>
      </c>
      <c r="E10" s="77">
        <v>240836</v>
      </c>
    </row>
    <row r="11" spans="1:5" x14ac:dyDescent="0.2">
      <c r="A11" s="76" t="s">
        <v>166</v>
      </c>
      <c r="B11" s="77" t="s">
        <v>106</v>
      </c>
      <c r="C11" s="76" t="s">
        <v>107</v>
      </c>
      <c r="D11" s="78" t="s">
        <v>108</v>
      </c>
      <c r="E11" s="77">
        <v>225756</v>
      </c>
    </row>
    <row r="12" spans="1:5" x14ac:dyDescent="0.2">
      <c r="A12" s="76" t="s">
        <v>109</v>
      </c>
      <c r="B12" s="77" t="s">
        <v>110</v>
      </c>
      <c r="C12" s="76" t="s">
        <v>111</v>
      </c>
      <c r="D12" s="78" t="s">
        <v>112</v>
      </c>
      <c r="E12" s="77">
        <v>226017</v>
      </c>
    </row>
    <row r="13" spans="1:5" x14ac:dyDescent="0.2">
      <c r="A13" s="76" t="s">
        <v>113</v>
      </c>
      <c r="B13" s="77" t="s">
        <v>114</v>
      </c>
      <c r="C13" s="76" t="s">
        <v>115</v>
      </c>
      <c r="D13" s="78" t="s">
        <v>116</v>
      </c>
      <c r="E13" s="77">
        <v>225749</v>
      </c>
    </row>
    <row r="14" spans="1:5" x14ac:dyDescent="0.2">
      <c r="A14" s="76" t="s">
        <v>117</v>
      </c>
      <c r="B14" s="77" t="s">
        <v>145</v>
      </c>
      <c r="C14" s="76" t="s">
        <v>146</v>
      </c>
      <c r="D14" s="78" t="s">
        <v>147</v>
      </c>
      <c r="E14" s="77">
        <v>225748</v>
      </c>
    </row>
    <row r="15" spans="1:5" x14ac:dyDescent="0.2">
      <c r="A15" s="76" t="s">
        <v>118</v>
      </c>
      <c r="B15" s="77" t="s">
        <v>148</v>
      </c>
      <c r="C15" s="76" t="s">
        <v>149</v>
      </c>
      <c r="D15" s="78" t="s">
        <v>150</v>
      </c>
      <c r="E15" s="77">
        <v>226016</v>
      </c>
    </row>
    <row r="16" spans="1:5" x14ac:dyDescent="0.2">
      <c r="A16" s="76" t="s">
        <v>151</v>
      </c>
      <c r="B16" s="77" t="s">
        <v>152</v>
      </c>
      <c r="C16" s="76" t="s">
        <v>153</v>
      </c>
      <c r="D16" s="78">
        <v>2110</v>
      </c>
      <c r="E16" s="77">
        <v>225750</v>
      </c>
    </row>
    <row r="17" spans="1:5" x14ac:dyDescent="0.2">
      <c r="A17" s="76" t="s">
        <v>35</v>
      </c>
      <c r="B17" s="77" t="s">
        <v>154</v>
      </c>
      <c r="C17" s="76" t="s">
        <v>155</v>
      </c>
      <c r="D17" s="78" t="s">
        <v>156</v>
      </c>
      <c r="E17" s="77">
        <v>248195</v>
      </c>
    </row>
    <row r="18" spans="1:5" x14ac:dyDescent="0.2">
      <c r="A18" s="76" t="s">
        <v>157</v>
      </c>
      <c r="B18" s="77" t="s">
        <v>139</v>
      </c>
      <c r="C18" s="76" t="s">
        <v>158</v>
      </c>
      <c r="D18" s="78">
        <v>2000</v>
      </c>
      <c r="E18" s="77">
        <v>10114</v>
      </c>
    </row>
    <row r="19" spans="1:5" x14ac:dyDescent="0.2">
      <c r="A19" s="76" t="s">
        <v>29</v>
      </c>
      <c r="B19" s="77" t="s">
        <v>159</v>
      </c>
      <c r="C19" s="76" t="s">
        <v>30</v>
      </c>
      <c r="D19" s="78">
        <v>1930</v>
      </c>
      <c r="E19" s="77">
        <v>243427</v>
      </c>
    </row>
    <row r="20" spans="1:5" x14ac:dyDescent="0.2">
      <c r="A20" s="76" t="s">
        <v>0</v>
      </c>
      <c r="B20" s="77" t="s">
        <v>1</v>
      </c>
      <c r="C20" s="76" t="s">
        <v>2</v>
      </c>
      <c r="D20" s="78">
        <v>47906</v>
      </c>
      <c r="E20" s="77">
        <v>225751</v>
      </c>
    </row>
    <row r="21" spans="1:5" x14ac:dyDescent="0.2">
      <c r="A21" s="76" t="s">
        <v>3</v>
      </c>
      <c r="B21" s="77" t="s">
        <v>4</v>
      </c>
      <c r="C21" s="76" t="s">
        <v>5</v>
      </c>
      <c r="D21" s="78" t="s">
        <v>6</v>
      </c>
      <c r="E21" s="77">
        <v>225760</v>
      </c>
    </row>
    <row r="22" spans="1:5" x14ac:dyDescent="0.2">
      <c r="A22" s="76" t="s">
        <v>7</v>
      </c>
      <c r="B22" s="77" t="s">
        <v>8</v>
      </c>
      <c r="C22" s="76" t="s">
        <v>9</v>
      </c>
      <c r="D22" s="78" t="s">
        <v>10</v>
      </c>
      <c r="E22" s="77">
        <v>225864</v>
      </c>
    </row>
    <row r="23" spans="1:5" x14ac:dyDescent="0.2">
      <c r="A23" s="76" t="s">
        <v>36</v>
      </c>
      <c r="B23" s="77" t="s">
        <v>11</v>
      </c>
      <c r="C23" s="76" t="s">
        <v>12</v>
      </c>
      <c r="D23" s="78" t="s">
        <v>156</v>
      </c>
      <c r="E23" s="77">
        <v>258150</v>
      </c>
    </row>
    <row r="24" spans="1:5" x14ac:dyDescent="0.2">
      <c r="A24" s="76" t="s">
        <v>14</v>
      </c>
      <c r="B24" s="77" t="s">
        <v>31</v>
      </c>
      <c r="C24" s="76" t="s">
        <v>30</v>
      </c>
      <c r="D24" s="78">
        <v>1930</v>
      </c>
      <c r="E24" s="77">
        <v>245080</v>
      </c>
    </row>
    <row r="25" spans="1:5" x14ac:dyDescent="0.2">
      <c r="A25" s="76" t="s">
        <v>34</v>
      </c>
      <c r="B25" s="77" t="s">
        <v>15</v>
      </c>
      <c r="C25" s="76" t="s">
        <v>13</v>
      </c>
      <c r="D25" s="78">
        <v>2987</v>
      </c>
      <c r="E25" s="77">
        <v>257155</v>
      </c>
    </row>
    <row r="26" spans="1:5" x14ac:dyDescent="0.2">
      <c r="A26" s="76" t="s">
        <v>160</v>
      </c>
      <c r="B26" s="77" t="s">
        <v>161</v>
      </c>
      <c r="C26" s="76" t="s">
        <v>162</v>
      </c>
      <c r="D26" s="78">
        <v>9400</v>
      </c>
      <c r="E26" s="77">
        <v>258151</v>
      </c>
    </row>
    <row r="27" spans="1:5" x14ac:dyDescent="0.2">
      <c r="A27" s="76" t="s">
        <v>18</v>
      </c>
      <c r="B27" s="77" t="s">
        <v>25</v>
      </c>
      <c r="C27" s="76" t="s">
        <v>26</v>
      </c>
      <c r="D27" s="78">
        <v>2870</v>
      </c>
      <c r="E27" s="77">
        <v>10783</v>
      </c>
    </row>
    <row r="28" spans="1:5" x14ac:dyDescent="0.2">
      <c r="A28" s="76" t="s">
        <v>19</v>
      </c>
      <c r="B28" s="77" t="s">
        <v>20</v>
      </c>
      <c r="C28" s="76" t="s">
        <v>21</v>
      </c>
      <c r="D28" s="78">
        <v>1480</v>
      </c>
      <c r="E28" s="77">
        <v>253846</v>
      </c>
    </row>
    <row r="29" spans="1:5" x14ac:dyDescent="0.2">
      <c r="A29" s="76" t="s">
        <v>22</v>
      </c>
      <c r="B29" s="77" t="s">
        <v>25</v>
      </c>
      <c r="C29" s="76" t="s">
        <v>26</v>
      </c>
      <c r="D29" s="78">
        <v>2870</v>
      </c>
      <c r="E29" s="77">
        <v>249579</v>
      </c>
    </row>
    <row r="30" spans="1:5" x14ac:dyDescent="0.2">
      <c r="A30" s="76" t="s">
        <v>33</v>
      </c>
      <c r="B30" s="77" t="s">
        <v>25</v>
      </c>
      <c r="C30" s="76" t="s">
        <v>26</v>
      </c>
      <c r="D30" s="78">
        <v>2870</v>
      </c>
      <c r="E30" s="77">
        <v>252068</v>
      </c>
    </row>
    <row r="31" spans="1:5" x14ac:dyDescent="0.2">
      <c r="A31" s="76" t="s">
        <v>27</v>
      </c>
      <c r="B31" s="77" t="s">
        <v>23</v>
      </c>
      <c r="C31" s="76" t="s">
        <v>24</v>
      </c>
      <c r="D31" s="78">
        <v>3800</v>
      </c>
      <c r="E31" s="77">
        <v>228110</v>
      </c>
    </row>
    <row r="32" spans="1:5" x14ac:dyDescent="0.2">
      <c r="A32" s="76" t="s">
        <v>168</v>
      </c>
      <c r="B32" s="77" t="s">
        <v>169</v>
      </c>
      <c r="C32" s="76" t="s">
        <v>170</v>
      </c>
      <c r="D32" s="78">
        <v>2000</v>
      </c>
      <c r="E32" s="77"/>
    </row>
    <row r="33" spans="1:5" x14ac:dyDescent="0.2">
      <c r="A33" s="76" t="s">
        <v>173</v>
      </c>
      <c r="B33" s="77" t="s">
        <v>175</v>
      </c>
      <c r="C33" s="76" t="s">
        <v>176</v>
      </c>
      <c r="D33" s="78">
        <v>27204</v>
      </c>
      <c r="E33" s="77"/>
    </row>
    <row r="34" spans="1:5" x14ac:dyDescent="0.2">
      <c r="A34" s="76" t="s">
        <v>174</v>
      </c>
      <c r="B34" s="77" t="s">
        <v>175</v>
      </c>
      <c r="C34" s="76" t="s">
        <v>176</v>
      </c>
      <c r="D34" s="78">
        <v>27204</v>
      </c>
      <c r="E34" s="77"/>
    </row>
    <row r="35" spans="1:5" x14ac:dyDescent="0.2">
      <c r="A35" s="76" t="s">
        <v>177</v>
      </c>
      <c r="B35" s="77" t="s">
        <v>178</v>
      </c>
      <c r="C35" s="76" t="s">
        <v>179</v>
      </c>
      <c r="D35" s="78">
        <v>53121</v>
      </c>
      <c r="E35" s="77"/>
    </row>
    <row r="36" spans="1:5" x14ac:dyDescent="0.2">
      <c r="A36" s="76"/>
      <c r="B36" s="77"/>
      <c r="C36" s="76"/>
      <c r="D36" s="78"/>
      <c r="E36" s="77"/>
    </row>
    <row r="37" spans="1:5" x14ac:dyDescent="0.2">
      <c r="A37" s="76"/>
      <c r="B37" s="77"/>
      <c r="C37" s="76"/>
      <c r="D37" s="78"/>
      <c r="E37" s="77"/>
    </row>
    <row r="38" spans="1:5" x14ac:dyDescent="0.2">
      <c r="A38" s="76"/>
      <c r="B38" s="77"/>
      <c r="C38" s="76"/>
      <c r="D38" s="78"/>
      <c r="E38" s="77"/>
    </row>
    <row r="39" spans="1:5" x14ac:dyDescent="0.2">
      <c r="A39" s="76"/>
      <c r="B39" s="77"/>
      <c r="C39" s="76"/>
      <c r="D39" s="78"/>
      <c r="E39" s="77"/>
    </row>
    <row r="40" spans="1:5" x14ac:dyDescent="0.2">
      <c r="A40" s="76"/>
      <c r="B40" s="77"/>
      <c r="C40" s="76"/>
      <c r="D40" s="78"/>
      <c r="E40" s="77"/>
    </row>
    <row r="41" spans="1:5" x14ac:dyDescent="0.2">
      <c r="A41" s="76"/>
      <c r="B41" s="77"/>
      <c r="C41" s="76"/>
      <c r="D41" s="78"/>
      <c r="E41" s="77"/>
    </row>
    <row r="42" spans="1:5" x14ac:dyDescent="0.2">
      <c r="A42" s="76"/>
      <c r="B42" s="77"/>
      <c r="C42" s="76"/>
      <c r="D42" s="78"/>
      <c r="E42" s="7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30"/>
  <sheetViews>
    <sheetView workbookViewId="0">
      <selection activeCell="A3" sqref="A3:C3"/>
    </sheetView>
  </sheetViews>
  <sheetFormatPr defaultRowHeight="12.75" x14ac:dyDescent="0.2"/>
  <cols>
    <col min="1" max="1" width="21.85546875" style="22" customWidth="1"/>
    <col min="2" max="2" width="32.42578125" style="22" customWidth="1"/>
    <col min="3" max="3" width="25.85546875" style="22" customWidth="1"/>
  </cols>
  <sheetData>
    <row r="1" spans="1:3" x14ac:dyDescent="0.2">
      <c r="A1" s="24" t="s">
        <v>39</v>
      </c>
      <c r="B1" s="24" t="s">
        <v>37</v>
      </c>
      <c r="C1" s="24" t="s">
        <v>40</v>
      </c>
    </row>
    <row r="2" spans="1:3" ht="59.25" customHeight="1" x14ac:dyDescent="0.2">
      <c r="A2" s="25" t="s">
        <v>180</v>
      </c>
      <c r="B2" s="26" t="s">
        <v>201</v>
      </c>
      <c r="C2" s="26" t="s">
        <v>202</v>
      </c>
    </row>
    <row r="3" spans="1:3" ht="84.75" customHeight="1" x14ac:dyDescent="0.2">
      <c r="A3" s="25" t="s">
        <v>180</v>
      </c>
      <c r="B3" s="26" t="s">
        <v>441</v>
      </c>
      <c r="C3" s="26" t="s">
        <v>442</v>
      </c>
    </row>
    <row r="4" spans="1:3" ht="59.25" customHeight="1" x14ac:dyDescent="0.2">
      <c r="A4" s="25"/>
      <c r="B4" s="26"/>
      <c r="C4" s="26"/>
    </row>
    <row r="5" spans="1:3" ht="59.25" customHeight="1" x14ac:dyDescent="0.2">
      <c r="A5" s="25"/>
      <c r="B5" s="26"/>
      <c r="C5" s="26"/>
    </row>
    <row r="6" spans="1:3" ht="59.25" customHeight="1" x14ac:dyDescent="0.2">
      <c r="A6" s="25"/>
      <c r="B6" s="26"/>
      <c r="C6" s="26"/>
    </row>
    <row r="7" spans="1:3" ht="59.25" customHeight="1" x14ac:dyDescent="0.2">
      <c r="A7" s="25"/>
      <c r="B7" s="26"/>
      <c r="C7" s="26"/>
    </row>
    <row r="8" spans="1:3" ht="59.25" customHeight="1" x14ac:dyDescent="0.2">
      <c r="A8" s="25"/>
      <c r="B8" s="26"/>
      <c r="C8" s="26"/>
    </row>
    <row r="9" spans="1:3" ht="59.25" customHeight="1" x14ac:dyDescent="0.2">
      <c r="A9" s="25"/>
      <c r="B9" s="26"/>
      <c r="C9" s="26"/>
    </row>
    <row r="10" spans="1:3" ht="59.25" customHeight="1" x14ac:dyDescent="0.2">
      <c r="A10" s="25"/>
      <c r="B10" s="26"/>
      <c r="C10" s="26"/>
    </row>
    <row r="11" spans="1:3" ht="59.25" customHeight="1" x14ac:dyDescent="0.2">
      <c r="A11" s="25"/>
      <c r="B11" s="26"/>
      <c r="C11" s="26"/>
    </row>
    <row r="12" spans="1:3" ht="59.25" customHeight="1" x14ac:dyDescent="0.2">
      <c r="A12" s="25"/>
      <c r="B12" s="26"/>
      <c r="C12" s="26"/>
    </row>
    <row r="13" spans="1:3" ht="59.25" customHeight="1" x14ac:dyDescent="0.2">
      <c r="A13" s="25"/>
      <c r="B13" s="26"/>
      <c r="C13" s="26"/>
    </row>
    <row r="14" spans="1:3" ht="59.25" customHeight="1" x14ac:dyDescent="0.2">
      <c r="A14" s="25"/>
      <c r="B14" s="26"/>
      <c r="C14" s="26"/>
    </row>
    <row r="15" spans="1:3" ht="59.25" customHeight="1" x14ac:dyDescent="0.2">
      <c r="A15" s="25"/>
      <c r="B15" s="26"/>
      <c r="C15" s="26"/>
    </row>
    <row r="16" spans="1:3" ht="59.25" customHeight="1" x14ac:dyDescent="0.2">
      <c r="A16" s="25"/>
      <c r="B16" s="26"/>
      <c r="C16" s="26"/>
    </row>
    <row r="17" spans="1:3" ht="59.25" customHeight="1" x14ac:dyDescent="0.2">
      <c r="A17" s="25"/>
      <c r="B17" s="26"/>
      <c r="C17" s="26"/>
    </row>
    <row r="18" spans="1:3" ht="59.25" customHeight="1" x14ac:dyDescent="0.2">
      <c r="A18" s="25"/>
      <c r="B18" s="26"/>
      <c r="C18" s="26"/>
    </row>
    <row r="19" spans="1:3" ht="59.25" customHeight="1" x14ac:dyDescent="0.2">
      <c r="A19" s="25"/>
      <c r="B19" s="26"/>
      <c r="C19" s="26"/>
    </row>
    <row r="20" spans="1:3" ht="59.25" customHeight="1" x14ac:dyDescent="0.2">
      <c r="A20" s="25"/>
      <c r="B20" s="26"/>
      <c r="C20" s="26"/>
    </row>
    <row r="21" spans="1:3" ht="59.25" customHeight="1" x14ac:dyDescent="0.2">
      <c r="A21" s="25"/>
      <c r="B21" s="26"/>
      <c r="C21" s="26"/>
    </row>
    <row r="22" spans="1:3" ht="59.25" customHeight="1" x14ac:dyDescent="0.2">
      <c r="A22" s="25"/>
      <c r="B22" s="26"/>
      <c r="C22" s="26"/>
    </row>
    <row r="23" spans="1:3" ht="59.25" customHeight="1" x14ac:dyDescent="0.2">
      <c r="A23" s="25"/>
      <c r="B23" s="26"/>
      <c r="C23" s="26"/>
    </row>
    <row r="24" spans="1:3" ht="59.25" customHeight="1" x14ac:dyDescent="0.2">
      <c r="A24" s="25"/>
      <c r="B24" s="26"/>
      <c r="C24" s="26"/>
    </row>
    <row r="25" spans="1:3" ht="59.25" customHeight="1" x14ac:dyDescent="0.2">
      <c r="A25" s="25"/>
      <c r="B25" s="26"/>
      <c r="C25" s="26"/>
    </row>
    <row r="26" spans="1:3" ht="59.25" customHeight="1" x14ac:dyDescent="0.2">
      <c r="A26" s="25"/>
      <c r="B26" s="26"/>
      <c r="C26" s="26"/>
    </row>
    <row r="27" spans="1:3" ht="59.25" customHeight="1" x14ac:dyDescent="0.2">
      <c r="A27" s="25"/>
      <c r="B27" s="26"/>
      <c r="C27" s="26"/>
    </row>
    <row r="28" spans="1:3" ht="59.25" customHeight="1" x14ac:dyDescent="0.2">
      <c r="A28" s="25"/>
      <c r="B28" s="26"/>
      <c r="C28" s="26"/>
    </row>
    <row r="29" spans="1:3" ht="59.25" customHeight="1" x14ac:dyDescent="0.2">
      <c r="A29" s="25"/>
      <c r="B29" s="26"/>
      <c r="C29" s="26"/>
    </row>
    <row r="30" spans="1:3" ht="59.25" customHeight="1" x14ac:dyDescent="0.2">
      <c r="A30" s="25"/>
      <c r="B30" s="26"/>
      <c r="C30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02"/>
  <sheetViews>
    <sheetView workbookViewId="0">
      <selection activeCell="E64" sqref="E64"/>
    </sheetView>
  </sheetViews>
  <sheetFormatPr defaultRowHeight="12.75" x14ac:dyDescent="0.2"/>
  <cols>
    <col min="1" max="1" width="21.85546875" style="22" customWidth="1"/>
    <col min="2" max="2" width="30.85546875" style="22" customWidth="1"/>
  </cols>
  <sheetData>
    <row r="1" spans="1:2" x14ac:dyDescent="0.2">
      <c r="A1" s="24" t="s">
        <v>39</v>
      </c>
      <c r="B1" s="24" t="s">
        <v>41</v>
      </c>
    </row>
    <row r="2" spans="1:2" ht="60" customHeight="1" x14ac:dyDescent="0.2">
      <c r="A2" s="25" t="s">
        <v>81</v>
      </c>
      <c r="B2" s="26" t="s">
        <v>82</v>
      </c>
    </row>
    <row r="3" spans="1:2" ht="60" customHeight="1" x14ac:dyDescent="0.2">
      <c r="A3" s="25" t="s">
        <v>83</v>
      </c>
      <c r="B3" s="26" t="s">
        <v>84</v>
      </c>
    </row>
    <row r="4" spans="1:2" ht="60" customHeight="1" x14ac:dyDescent="0.2">
      <c r="A4" s="25" t="s">
        <v>120</v>
      </c>
      <c r="B4" s="26" t="s">
        <v>99</v>
      </c>
    </row>
    <row r="5" spans="1:2" ht="60" customHeight="1" x14ac:dyDescent="0.2">
      <c r="A5" s="25" t="s">
        <v>121</v>
      </c>
      <c r="B5" s="26" t="s">
        <v>122</v>
      </c>
    </row>
    <row r="6" spans="1:2" ht="60" customHeight="1" x14ac:dyDescent="0.2">
      <c r="A6" s="25" t="s">
        <v>171</v>
      </c>
      <c r="B6" s="26" t="s">
        <v>172</v>
      </c>
    </row>
    <row r="7" spans="1:2" ht="60" customHeight="1" x14ac:dyDescent="0.2">
      <c r="A7" s="25"/>
      <c r="B7" s="26"/>
    </row>
    <row r="8" spans="1:2" ht="60" customHeight="1" x14ac:dyDescent="0.2">
      <c r="A8" s="25"/>
      <c r="B8" s="26"/>
    </row>
    <row r="9" spans="1:2" ht="60" customHeight="1" x14ac:dyDescent="0.2">
      <c r="A9" s="25"/>
      <c r="B9" s="26"/>
    </row>
    <row r="10" spans="1:2" ht="60" customHeight="1" x14ac:dyDescent="0.2">
      <c r="A10" s="25"/>
      <c r="B10" s="26"/>
    </row>
    <row r="11" spans="1:2" ht="60" customHeight="1" x14ac:dyDescent="0.2">
      <c r="A11" s="25"/>
      <c r="B11" s="26"/>
    </row>
    <row r="12" spans="1:2" ht="60" customHeight="1" x14ac:dyDescent="0.2">
      <c r="A12" s="25"/>
      <c r="B12" s="26"/>
    </row>
    <row r="13" spans="1:2" ht="60" customHeight="1" x14ac:dyDescent="0.2">
      <c r="A13" s="25"/>
      <c r="B13" s="26"/>
    </row>
    <row r="14" spans="1:2" ht="60" customHeight="1" x14ac:dyDescent="0.2">
      <c r="A14" s="25"/>
      <c r="B14" s="26"/>
    </row>
    <row r="15" spans="1:2" ht="60" customHeight="1" x14ac:dyDescent="0.2">
      <c r="A15" s="25"/>
      <c r="B15" s="26"/>
    </row>
    <row r="16" spans="1:2" ht="60" customHeight="1" x14ac:dyDescent="0.2">
      <c r="A16" s="25"/>
      <c r="B16" s="26"/>
    </row>
    <row r="17" spans="1:2" ht="60" customHeight="1" x14ac:dyDescent="0.2">
      <c r="A17" s="25"/>
      <c r="B17" s="26"/>
    </row>
    <row r="18" spans="1:2" ht="60" customHeight="1" x14ac:dyDescent="0.2">
      <c r="A18" s="25"/>
      <c r="B18" s="26"/>
    </row>
    <row r="19" spans="1:2" ht="60" customHeight="1" x14ac:dyDescent="0.2">
      <c r="A19" s="25"/>
      <c r="B19" s="26"/>
    </row>
    <row r="20" spans="1:2" ht="60" customHeight="1" x14ac:dyDescent="0.2">
      <c r="A20" s="25"/>
      <c r="B20" s="26"/>
    </row>
    <row r="21" spans="1:2" ht="60" customHeight="1" x14ac:dyDescent="0.2">
      <c r="A21" s="25"/>
      <c r="B21" s="26"/>
    </row>
    <row r="22" spans="1:2" ht="60" customHeight="1" x14ac:dyDescent="0.2">
      <c r="A22" s="25"/>
      <c r="B22" s="26"/>
    </row>
    <row r="23" spans="1:2" ht="60" customHeight="1" x14ac:dyDescent="0.2">
      <c r="A23" s="25"/>
      <c r="B23" s="26"/>
    </row>
    <row r="24" spans="1:2" ht="60" customHeight="1" x14ac:dyDescent="0.2">
      <c r="A24" s="25"/>
      <c r="B24" s="26"/>
    </row>
    <row r="25" spans="1:2" ht="60" customHeight="1" x14ac:dyDescent="0.2">
      <c r="A25" s="25"/>
      <c r="B25" s="26"/>
    </row>
    <row r="26" spans="1:2" ht="60" customHeight="1" x14ac:dyDescent="0.2">
      <c r="A26" s="25"/>
      <c r="B26" s="26"/>
    </row>
    <row r="27" spans="1:2" ht="60" customHeight="1" x14ac:dyDescent="0.2">
      <c r="A27" s="25"/>
      <c r="B27" s="26"/>
    </row>
    <row r="28" spans="1:2" ht="60" customHeight="1" x14ac:dyDescent="0.2">
      <c r="A28" s="25"/>
      <c r="B28" s="26"/>
    </row>
    <row r="29" spans="1:2" ht="60" customHeight="1" x14ac:dyDescent="0.2">
      <c r="A29" s="25"/>
      <c r="B29" s="26"/>
    </row>
    <row r="30" spans="1:2" ht="60" customHeight="1" x14ac:dyDescent="0.2">
      <c r="A30" s="25"/>
      <c r="B30" s="26"/>
    </row>
    <row r="31" spans="1:2" ht="60" customHeight="1" x14ac:dyDescent="0.2">
      <c r="A31" s="25"/>
      <c r="B31" s="26"/>
    </row>
    <row r="32" spans="1:2" ht="60" customHeight="1" x14ac:dyDescent="0.2">
      <c r="A32" s="25"/>
      <c r="B32" s="26"/>
    </row>
    <row r="33" spans="1:2" ht="60" customHeight="1" x14ac:dyDescent="0.2">
      <c r="A33" s="25"/>
      <c r="B33" s="26"/>
    </row>
    <row r="34" spans="1:2" ht="60" customHeight="1" x14ac:dyDescent="0.2">
      <c r="A34" s="25"/>
      <c r="B34" s="26"/>
    </row>
    <row r="35" spans="1:2" ht="60" customHeight="1" x14ac:dyDescent="0.2">
      <c r="A35" s="25"/>
      <c r="B35" s="26"/>
    </row>
    <row r="36" spans="1:2" ht="60" customHeight="1" x14ac:dyDescent="0.2">
      <c r="A36" s="25"/>
      <c r="B36" s="26"/>
    </row>
    <row r="37" spans="1:2" ht="60" customHeight="1" x14ac:dyDescent="0.2">
      <c r="A37" s="25"/>
      <c r="B37" s="26"/>
    </row>
    <row r="38" spans="1:2" ht="60" customHeight="1" x14ac:dyDescent="0.2">
      <c r="A38" s="25"/>
      <c r="B38" s="26"/>
    </row>
    <row r="39" spans="1:2" ht="60" customHeight="1" x14ac:dyDescent="0.2">
      <c r="A39" s="25"/>
      <c r="B39" s="26"/>
    </row>
    <row r="40" spans="1:2" ht="60" customHeight="1" x14ac:dyDescent="0.2">
      <c r="A40" s="25"/>
      <c r="B40" s="26"/>
    </row>
    <row r="41" spans="1:2" ht="60" customHeight="1" x14ac:dyDescent="0.2">
      <c r="A41" s="25"/>
      <c r="B41" s="26"/>
    </row>
    <row r="42" spans="1:2" ht="60" customHeight="1" x14ac:dyDescent="0.2">
      <c r="A42" s="25"/>
      <c r="B42" s="26"/>
    </row>
    <row r="43" spans="1:2" ht="60" customHeight="1" x14ac:dyDescent="0.2">
      <c r="A43" s="25"/>
      <c r="B43" s="26"/>
    </row>
    <row r="44" spans="1:2" ht="60" customHeight="1" x14ac:dyDescent="0.2">
      <c r="A44" s="25"/>
      <c r="B44" s="26"/>
    </row>
    <row r="45" spans="1:2" ht="60" customHeight="1" x14ac:dyDescent="0.2">
      <c r="A45" s="25"/>
      <c r="B45" s="26"/>
    </row>
    <row r="46" spans="1:2" ht="60" customHeight="1" x14ac:dyDescent="0.2">
      <c r="A46" s="25"/>
      <c r="B46" s="26"/>
    </row>
    <row r="47" spans="1:2" ht="60" customHeight="1" x14ac:dyDescent="0.2">
      <c r="A47" s="25"/>
      <c r="B47" s="26"/>
    </row>
    <row r="48" spans="1:2" ht="60" customHeight="1" x14ac:dyDescent="0.2">
      <c r="A48" s="25"/>
      <c r="B48" s="26"/>
    </row>
    <row r="49" spans="1:2" ht="60" customHeight="1" x14ac:dyDescent="0.2">
      <c r="A49" s="25"/>
      <c r="B49" s="26"/>
    </row>
    <row r="50" spans="1:2" ht="60" customHeight="1" x14ac:dyDescent="0.2">
      <c r="A50" s="25"/>
      <c r="B50" s="26"/>
    </row>
    <row r="51" spans="1:2" ht="60" customHeight="1" x14ac:dyDescent="0.2">
      <c r="A51" s="25"/>
      <c r="B51" s="26"/>
    </row>
    <row r="52" spans="1:2" ht="60" customHeight="1" x14ac:dyDescent="0.2">
      <c r="A52" s="25"/>
      <c r="B52" s="26"/>
    </row>
    <row r="53" spans="1:2" ht="60" customHeight="1" x14ac:dyDescent="0.2">
      <c r="A53" s="25"/>
      <c r="B53" s="26"/>
    </row>
    <row r="54" spans="1:2" ht="60" customHeight="1" x14ac:dyDescent="0.2">
      <c r="A54" s="25"/>
      <c r="B54" s="26"/>
    </row>
    <row r="55" spans="1:2" ht="60" customHeight="1" x14ac:dyDescent="0.2">
      <c r="A55" s="25"/>
      <c r="B55" s="26"/>
    </row>
    <row r="56" spans="1:2" ht="60" customHeight="1" x14ac:dyDescent="0.2">
      <c r="A56" s="25"/>
      <c r="B56" s="26"/>
    </row>
    <row r="57" spans="1:2" ht="60" customHeight="1" x14ac:dyDescent="0.2">
      <c r="A57" s="25"/>
      <c r="B57" s="26"/>
    </row>
    <row r="58" spans="1:2" ht="60" customHeight="1" x14ac:dyDescent="0.2">
      <c r="A58" s="25"/>
      <c r="B58" s="26"/>
    </row>
    <row r="59" spans="1:2" ht="60" customHeight="1" x14ac:dyDescent="0.2">
      <c r="A59" s="25"/>
      <c r="B59" s="26"/>
    </row>
    <row r="60" spans="1:2" ht="60" customHeight="1" x14ac:dyDescent="0.2">
      <c r="A60" s="25"/>
      <c r="B60" s="26"/>
    </row>
    <row r="61" spans="1:2" ht="60" customHeight="1" x14ac:dyDescent="0.2">
      <c r="A61" s="25"/>
      <c r="B61" s="26"/>
    </row>
    <row r="62" spans="1:2" ht="60" customHeight="1" x14ac:dyDescent="0.2">
      <c r="A62" s="25"/>
      <c r="B62" s="26"/>
    </row>
    <row r="63" spans="1:2" ht="60" customHeight="1" x14ac:dyDescent="0.2">
      <c r="A63" s="25"/>
      <c r="B63" s="26"/>
    </row>
    <row r="64" spans="1:2" ht="60" customHeight="1" x14ac:dyDescent="0.2">
      <c r="A64" s="25"/>
      <c r="B64" s="26"/>
    </row>
    <row r="65" spans="1:2" ht="60" customHeight="1" x14ac:dyDescent="0.2">
      <c r="A65" s="25"/>
      <c r="B65" s="26"/>
    </row>
    <row r="66" spans="1:2" ht="60" customHeight="1" x14ac:dyDescent="0.2">
      <c r="A66" s="25"/>
      <c r="B66" s="26"/>
    </row>
    <row r="67" spans="1:2" ht="60" customHeight="1" x14ac:dyDescent="0.2">
      <c r="A67" s="25"/>
      <c r="B67" s="26"/>
    </row>
    <row r="68" spans="1:2" ht="60" customHeight="1" x14ac:dyDescent="0.2">
      <c r="A68" s="25"/>
      <c r="B68" s="26"/>
    </row>
    <row r="69" spans="1:2" ht="60" customHeight="1" x14ac:dyDescent="0.2">
      <c r="A69" s="25"/>
      <c r="B69" s="26"/>
    </row>
    <row r="70" spans="1:2" ht="60" customHeight="1" x14ac:dyDescent="0.2">
      <c r="A70" s="25"/>
      <c r="B70" s="26"/>
    </row>
    <row r="71" spans="1:2" ht="60" customHeight="1" x14ac:dyDescent="0.2">
      <c r="A71" s="25"/>
      <c r="B71" s="26"/>
    </row>
    <row r="72" spans="1:2" ht="60" customHeight="1" x14ac:dyDescent="0.2">
      <c r="A72" s="25"/>
      <c r="B72" s="26"/>
    </row>
    <row r="73" spans="1:2" ht="60" customHeight="1" x14ac:dyDescent="0.2">
      <c r="A73" s="25"/>
      <c r="B73" s="26"/>
    </row>
    <row r="74" spans="1:2" ht="60" customHeight="1" x14ac:dyDescent="0.2">
      <c r="A74" s="25"/>
      <c r="B74" s="26"/>
    </row>
    <row r="75" spans="1:2" ht="60" customHeight="1" x14ac:dyDescent="0.2">
      <c r="A75" s="25"/>
      <c r="B75" s="26"/>
    </row>
    <row r="76" spans="1:2" ht="60" customHeight="1" x14ac:dyDescent="0.2">
      <c r="A76" s="25"/>
      <c r="B76" s="26"/>
    </row>
    <row r="77" spans="1:2" ht="60" customHeight="1" x14ac:dyDescent="0.2">
      <c r="A77" s="25"/>
      <c r="B77" s="26"/>
    </row>
    <row r="78" spans="1:2" ht="60" customHeight="1" x14ac:dyDescent="0.2">
      <c r="A78" s="25"/>
      <c r="B78" s="26"/>
    </row>
    <row r="79" spans="1:2" ht="60" customHeight="1" x14ac:dyDescent="0.2">
      <c r="A79" s="25"/>
      <c r="B79" s="26"/>
    </row>
    <row r="80" spans="1:2" ht="60" customHeight="1" x14ac:dyDescent="0.2">
      <c r="A80" s="25"/>
      <c r="B80" s="26"/>
    </row>
    <row r="81" spans="1:2" ht="60" customHeight="1" x14ac:dyDescent="0.2">
      <c r="A81" s="25"/>
      <c r="B81" s="26"/>
    </row>
    <row r="82" spans="1:2" ht="60" customHeight="1" x14ac:dyDescent="0.2">
      <c r="A82" s="25"/>
      <c r="B82" s="26"/>
    </row>
    <row r="83" spans="1:2" ht="60" customHeight="1" x14ac:dyDescent="0.2">
      <c r="A83" s="25"/>
      <c r="B83" s="26"/>
    </row>
    <row r="84" spans="1:2" ht="60" customHeight="1" x14ac:dyDescent="0.2">
      <c r="A84" s="25"/>
      <c r="B84" s="26"/>
    </row>
    <row r="85" spans="1:2" ht="60" customHeight="1" x14ac:dyDescent="0.2">
      <c r="A85" s="25"/>
      <c r="B85" s="26"/>
    </row>
    <row r="86" spans="1:2" ht="60" customHeight="1" x14ac:dyDescent="0.2">
      <c r="A86" s="25"/>
      <c r="B86" s="26"/>
    </row>
    <row r="87" spans="1:2" ht="60" customHeight="1" x14ac:dyDescent="0.2">
      <c r="A87" s="25"/>
      <c r="B87" s="26"/>
    </row>
    <row r="88" spans="1:2" ht="60" customHeight="1" x14ac:dyDescent="0.2">
      <c r="A88" s="25"/>
      <c r="B88" s="26"/>
    </row>
    <row r="89" spans="1:2" ht="60" customHeight="1" x14ac:dyDescent="0.2">
      <c r="A89" s="25"/>
      <c r="B89" s="26"/>
    </row>
    <row r="90" spans="1:2" ht="60" customHeight="1" x14ac:dyDescent="0.2">
      <c r="A90" s="25"/>
      <c r="B90" s="26"/>
    </row>
    <row r="91" spans="1:2" ht="60" customHeight="1" x14ac:dyDescent="0.2">
      <c r="A91" s="25"/>
      <c r="B91" s="26"/>
    </row>
    <row r="92" spans="1:2" ht="60" customHeight="1" x14ac:dyDescent="0.2">
      <c r="A92" s="25"/>
      <c r="B92" s="26"/>
    </row>
    <row r="93" spans="1:2" ht="60" customHeight="1" x14ac:dyDescent="0.2">
      <c r="A93" s="25"/>
      <c r="B93" s="26"/>
    </row>
    <row r="94" spans="1:2" ht="60" customHeight="1" x14ac:dyDescent="0.2">
      <c r="A94" s="25"/>
      <c r="B94" s="26"/>
    </row>
    <row r="95" spans="1:2" ht="60" customHeight="1" x14ac:dyDescent="0.2">
      <c r="A95" s="25"/>
      <c r="B95" s="26"/>
    </row>
    <row r="96" spans="1:2" ht="60" customHeight="1" x14ac:dyDescent="0.2">
      <c r="A96" s="25"/>
      <c r="B96" s="26"/>
    </row>
    <row r="97" spans="1:2" ht="60" customHeight="1" x14ac:dyDescent="0.2">
      <c r="A97" s="25"/>
      <c r="B97" s="26"/>
    </row>
    <row r="98" spans="1:2" ht="60" customHeight="1" x14ac:dyDescent="0.2">
      <c r="A98" s="25"/>
      <c r="B98" s="26"/>
    </row>
    <row r="99" spans="1:2" ht="60" customHeight="1" x14ac:dyDescent="0.2">
      <c r="A99" s="25"/>
      <c r="B99" s="26"/>
    </row>
    <row r="100" spans="1:2" ht="60" customHeight="1" x14ac:dyDescent="0.2">
      <c r="A100" s="25"/>
      <c r="B100" s="26"/>
    </row>
    <row r="101" spans="1:2" ht="60" customHeight="1" x14ac:dyDescent="0.2">
      <c r="A101" s="25"/>
      <c r="B101" s="26"/>
    </row>
    <row r="102" spans="1:2" x14ac:dyDescent="0.2">
      <c r="A102" s="25"/>
      <c r="B102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00"/>
  <sheetViews>
    <sheetView topLeftCell="C1" workbookViewId="0">
      <selection activeCell="F57" sqref="F57"/>
    </sheetView>
  </sheetViews>
  <sheetFormatPr defaultRowHeight="12.75" x14ac:dyDescent="0.2"/>
  <cols>
    <col min="1" max="1" width="39.42578125" style="22" customWidth="1"/>
    <col min="2" max="2" width="6.7109375" customWidth="1"/>
    <col min="3" max="3" width="20.7109375" style="23" customWidth="1"/>
    <col min="4" max="4" width="6.7109375" customWidth="1"/>
    <col min="5" max="5" width="20.7109375" style="23" customWidth="1"/>
    <col min="6" max="6" width="6.7109375" customWidth="1"/>
    <col min="7" max="7" width="20.7109375" style="23" customWidth="1"/>
    <col min="9" max="9" width="20.7109375" style="23" customWidth="1"/>
  </cols>
  <sheetData>
    <row r="1" spans="1:9" ht="25.5" x14ac:dyDescent="0.2">
      <c r="A1" s="38" t="s">
        <v>66</v>
      </c>
      <c r="C1" s="38" t="s">
        <v>71</v>
      </c>
      <c r="E1" s="38" t="s">
        <v>72</v>
      </c>
      <c r="G1" s="38" t="s">
        <v>38</v>
      </c>
      <c r="I1" s="38" t="s">
        <v>75</v>
      </c>
    </row>
    <row r="2" spans="1:9" ht="69.95" customHeight="1" x14ac:dyDescent="0.2">
      <c r="A2" s="37"/>
      <c r="C2" s="45" t="s">
        <v>42</v>
      </c>
      <c r="E2" s="37" t="s">
        <v>85</v>
      </c>
      <c r="G2" s="45" t="s">
        <v>73</v>
      </c>
      <c r="I2" s="45" t="s">
        <v>97</v>
      </c>
    </row>
    <row r="3" spans="1:9" ht="69.95" customHeight="1" x14ac:dyDescent="0.2">
      <c r="A3" s="25"/>
      <c r="C3" s="37" t="s">
        <v>67</v>
      </c>
      <c r="E3" s="37" t="s">
        <v>86</v>
      </c>
      <c r="G3" s="37" t="s">
        <v>74</v>
      </c>
      <c r="I3" s="37" t="s">
        <v>123</v>
      </c>
    </row>
    <row r="4" spans="1:9" ht="69.95" customHeight="1" x14ac:dyDescent="0.2">
      <c r="A4" s="25"/>
      <c r="E4" s="37"/>
      <c r="I4" s="37" t="s">
        <v>98</v>
      </c>
    </row>
    <row r="5" spans="1:9" ht="69.95" customHeight="1" x14ac:dyDescent="0.2">
      <c r="A5" s="25"/>
      <c r="E5" s="37"/>
      <c r="I5" s="37" t="s">
        <v>124</v>
      </c>
    </row>
    <row r="6" spans="1:9" ht="69.95" customHeight="1" x14ac:dyDescent="0.2">
      <c r="A6" s="25"/>
      <c r="E6" s="37"/>
      <c r="I6" s="37" t="s">
        <v>125</v>
      </c>
    </row>
    <row r="7" spans="1:9" ht="69.95" customHeight="1" x14ac:dyDescent="0.2">
      <c r="A7" s="25"/>
      <c r="E7" s="37"/>
      <c r="I7" s="37" t="s">
        <v>126</v>
      </c>
    </row>
    <row r="8" spans="1:9" ht="69.95" customHeight="1" x14ac:dyDescent="0.2">
      <c r="A8" s="25"/>
      <c r="E8" s="37"/>
      <c r="I8" s="37" t="s">
        <v>127</v>
      </c>
    </row>
    <row r="9" spans="1:9" ht="69.95" customHeight="1" x14ac:dyDescent="0.2">
      <c r="A9" s="25"/>
      <c r="E9" s="37"/>
      <c r="I9" s="37" t="s">
        <v>128</v>
      </c>
    </row>
    <row r="10" spans="1:9" ht="69.95" customHeight="1" x14ac:dyDescent="0.2">
      <c r="A10" s="25"/>
      <c r="E10"/>
      <c r="F10" s="23"/>
      <c r="G10"/>
      <c r="H10" s="23"/>
      <c r="I10" s="37"/>
    </row>
    <row r="11" spans="1:9" ht="69.95" customHeight="1" x14ac:dyDescent="0.2">
      <c r="A11" s="25"/>
      <c r="E11"/>
      <c r="F11" s="23"/>
      <c r="G11"/>
      <c r="H11" s="23"/>
      <c r="I11" s="37"/>
    </row>
    <row r="12" spans="1:9" ht="69.95" customHeight="1" x14ac:dyDescent="0.2">
      <c r="A12" s="25"/>
      <c r="E12"/>
      <c r="F12" s="23"/>
      <c r="G12"/>
      <c r="H12" s="23"/>
      <c r="I12"/>
    </row>
    <row r="13" spans="1:9" ht="69.95" customHeight="1" x14ac:dyDescent="0.2">
      <c r="A13" s="25"/>
      <c r="E13"/>
      <c r="F13" s="23"/>
      <c r="G13"/>
      <c r="H13" s="23"/>
      <c r="I13"/>
    </row>
    <row r="14" spans="1:9" ht="69.95" customHeight="1" x14ac:dyDescent="0.2">
      <c r="A14" s="25"/>
      <c r="E14"/>
      <c r="F14" s="23"/>
      <c r="G14"/>
      <c r="H14" s="23"/>
      <c r="I14"/>
    </row>
    <row r="15" spans="1:9" ht="69.95" customHeight="1" x14ac:dyDescent="0.2">
      <c r="A15" s="25"/>
      <c r="E15"/>
      <c r="F15" s="23"/>
      <c r="G15"/>
      <c r="H15" s="23"/>
      <c r="I15"/>
    </row>
    <row r="16" spans="1:9" ht="69.95" customHeight="1" x14ac:dyDescent="0.2">
      <c r="A16" s="25"/>
      <c r="E16"/>
      <c r="F16" s="23"/>
      <c r="G16"/>
      <c r="H16" s="23"/>
      <c r="I16"/>
    </row>
    <row r="17" spans="1:9" ht="69.95" customHeight="1" x14ac:dyDescent="0.2">
      <c r="A17" s="25"/>
      <c r="E17"/>
      <c r="F17" s="23"/>
      <c r="G17"/>
      <c r="H17" s="23"/>
      <c r="I17"/>
    </row>
    <row r="18" spans="1:9" ht="69.95" customHeight="1" x14ac:dyDescent="0.2">
      <c r="A18" s="25"/>
      <c r="E18"/>
      <c r="F18" s="23"/>
      <c r="G18"/>
      <c r="H18" s="23"/>
      <c r="I18"/>
    </row>
    <row r="19" spans="1:9" ht="69.95" customHeight="1" x14ac:dyDescent="0.2">
      <c r="A19" s="25"/>
      <c r="E19"/>
      <c r="F19" s="23"/>
      <c r="G19"/>
      <c r="H19" s="23"/>
      <c r="I19"/>
    </row>
    <row r="20" spans="1:9" ht="69.95" customHeight="1" x14ac:dyDescent="0.2">
      <c r="A20" s="25"/>
      <c r="E20"/>
      <c r="F20" s="23"/>
      <c r="G20"/>
      <c r="H20" s="23"/>
      <c r="I20"/>
    </row>
    <row r="21" spans="1:9" ht="69.95" customHeight="1" x14ac:dyDescent="0.2">
      <c r="A21" s="25"/>
      <c r="E21"/>
      <c r="F21" s="23"/>
      <c r="G21"/>
      <c r="H21" s="23"/>
      <c r="I21"/>
    </row>
    <row r="22" spans="1:9" ht="69.95" customHeight="1" x14ac:dyDescent="0.2">
      <c r="A22" s="25"/>
      <c r="E22"/>
      <c r="F22" s="23"/>
      <c r="G22"/>
      <c r="H22" s="23"/>
      <c r="I22"/>
    </row>
    <row r="23" spans="1:9" ht="69.95" customHeight="1" x14ac:dyDescent="0.2">
      <c r="A23" s="25"/>
      <c r="E23"/>
      <c r="F23" s="23"/>
      <c r="G23"/>
      <c r="H23" s="23"/>
      <c r="I23"/>
    </row>
    <row r="24" spans="1:9" ht="69.95" customHeight="1" x14ac:dyDescent="0.2">
      <c r="A24" s="25"/>
      <c r="E24"/>
      <c r="F24" s="23"/>
      <c r="G24"/>
      <c r="H24" s="23"/>
      <c r="I24"/>
    </row>
    <row r="25" spans="1:9" ht="69.95" customHeight="1" x14ac:dyDescent="0.2">
      <c r="A25" s="25"/>
      <c r="E25"/>
      <c r="F25" s="23"/>
      <c r="G25"/>
      <c r="H25" s="23"/>
      <c r="I25"/>
    </row>
    <row r="26" spans="1:9" ht="69.95" customHeight="1" x14ac:dyDescent="0.2">
      <c r="A26" s="25"/>
      <c r="E26"/>
      <c r="F26" s="23"/>
      <c r="G26"/>
      <c r="H26" s="23"/>
      <c r="I26"/>
    </row>
    <row r="27" spans="1:9" ht="69.95" customHeight="1" x14ac:dyDescent="0.2">
      <c r="A27" s="25"/>
      <c r="E27"/>
      <c r="F27" s="23"/>
      <c r="G27"/>
      <c r="H27" s="23"/>
      <c r="I27"/>
    </row>
    <row r="28" spans="1:9" ht="69.95" customHeight="1" x14ac:dyDescent="0.2">
      <c r="A28" s="25"/>
      <c r="E28"/>
      <c r="F28" s="23"/>
      <c r="G28"/>
      <c r="H28" s="23"/>
      <c r="I28"/>
    </row>
    <row r="29" spans="1:9" ht="69.95" customHeight="1" x14ac:dyDescent="0.2">
      <c r="A29" s="25"/>
      <c r="E29"/>
      <c r="F29" s="23"/>
      <c r="G29"/>
      <c r="H29" s="23"/>
      <c r="I29"/>
    </row>
    <row r="30" spans="1:9" ht="69.95" customHeight="1" x14ac:dyDescent="0.2">
      <c r="A30" s="25"/>
      <c r="E30"/>
      <c r="F30" s="23"/>
      <c r="G30"/>
      <c r="H30" s="23"/>
      <c r="I30"/>
    </row>
    <row r="31" spans="1:9" ht="69.95" customHeight="1" x14ac:dyDescent="0.2">
      <c r="A31" s="25"/>
      <c r="E31"/>
      <c r="F31" s="23"/>
      <c r="G31"/>
      <c r="H31" s="23"/>
      <c r="I31"/>
    </row>
    <row r="32" spans="1:9" ht="69.95" customHeight="1" x14ac:dyDescent="0.2">
      <c r="A32" s="25"/>
      <c r="E32"/>
      <c r="F32" s="23"/>
      <c r="G32"/>
      <c r="H32" s="23"/>
      <c r="I32"/>
    </row>
    <row r="33" spans="1:9" ht="69.95" customHeight="1" x14ac:dyDescent="0.2">
      <c r="A33" s="25"/>
      <c r="E33"/>
      <c r="F33" s="23"/>
      <c r="G33"/>
      <c r="H33" s="23"/>
      <c r="I33"/>
    </row>
    <row r="34" spans="1:9" ht="69.95" customHeight="1" x14ac:dyDescent="0.2">
      <c r="A34" s="25"/>
      <c r="E34"/>
      <c r="F34" s="23"/>
      <c r="G34"/>
      <c r="H34" s="23"/>
      <c r="I34"/>
    </row>
    <row r="35" spans="1:9" ht="69.95" customHeight="1" x14ac:dyDescent="0.2">
      <c r="A35" s="25"/>
      <c r="E35"/>
      <c r="F35" s="23"/>
      <c r="G35"/>
      <c r="H35" s="23"/>
      <c r="I35"/>
    </row>
    <row r="36" spans="1:9" ht="69.95" customHeight="1" x14ac:dyDescent="0.2">
      <c r="A36" s="25"/>
      <c r="E36"/>
      <c r="F36" s="23"/>
      <c r="G36"/>
      <c r="H36" s="23"/>
      <c r="I36"/>
    </row>
    <row r="37" spans="1:9" ht="69.95" customHeight="1" x14ac:dyDescent="0.2">
      <c r="A37" s="25"/>
      <c r="E37"/>
      <c r="F37" s="23"/>
      <c r="G37"/>
      <c r="H37" s="23"/>
      <c r="I37"/>
    </row>
    <row r="38" spans="1:9" ht="69.95" customHeight="1" x14ac:dyDescent="0.2">
      <c r="A38" s="25"/>
      <c r="E38"/>
      <c r="F38" s="23"/>
      <c r="G38"/>
      <c r="H38" s="23"/>
      <c r="I38"/>
    </row>
    <row r="39" spans="1:9" ht="69.95" customHeight="1" x14ac:dyDescent="0.2">
      <c r="A39" s="25"/>
      <c r="E39"/>
      <c r="F39" s="23"/>
      <c r="G39"/>
      <c r="H39" s="23"/>
      <c r="I39"/>
    </row>
    <row r="40" spans="1:9" ht="69.95" customHeight="1" x14ac:dyDescent="0.2">
      <c r="A40" s="25"/>
      <c r="E40"/>
      <c r="F40" s="23"/>
      <c r="G40"/>
      <c r="H40" s="23"/>
      <c r="I40"/>
    </row>
    <row r="41" spans="1:9" ht="69.95" customHeight="1" x14ac:dyDescent="0.2">
      <c r="A41" s="25"/>
      <c r="E41"/>
      <c r="F41" s="23"/>
      <c r="G41"/>
      <c r="H41" s="23"/>
      <c r="I41"/>
    </row>
    <row r="42" spans="1:9" ht="69.95" customHeight="1" x14ac:dyDescent="0.2">
      <c r="A42" s="25"/>
      <c r="E42"/>
      <c r="F42" s="23"/>
      <c r="G42"/>
      <c r="H42" s="23"/>
      <c r="I42"/>
    </row>
    <row r="43" spans="1:9" ht="69.95" customHeight="1" x14ac:dyDescent="0.2">
      <c r="A43" s="25"/>
      <c r="E43"/>
      <c r="F43" s="23"/>
      <c r="G43"/>
      <c r="H43" s="23"/>
      <c r="I43"/>
    </row>
    <row r="44" spans="1:9" ht="69.95" customHeight="1" x14ac:dyDescent="0.2">
      <c r="A44" s="25"/>
      <c r="E44"/>
      <c r="F44" s="23"/>
      <c r="G44"/>
      <c r="H44" s="23"/>
      <c r="I44"/>
    </row>
    <row r="45" spans="1:9" ht="69.95" customHeight="1" x14ac:dyDescent="0.2">
      <c r="A45" s="25"/>
      <c r="E45"/>
      <c r="F45" s="23"/>
      <c r="G45"/>
      <c r="H45" s="23"/>
      <c r="I45"/>
    </row>
    <row r="46" spans="1:9" ht="69.95" customHeight="1" x14ac:dyDescent="0.2">
      <c r="A46" s="25"/>
      <c r="E46"/>
      <c r="F46" s="23"/>
      <c r="G46"/>
      <c r="H46" s="23"/>
      <c r="I46"/>
    </row>
    <row r="47" spans="1:9" ht="69.95" customHeight="1" x14ac:dyDescent="0.2">
      <c r="A47" s="25"/>
      <c r="E47"/>
      <c r="F47" s="23"/>
      <c r="G47"/>
      <c r="H47" s="23"/>
      <c r="I47"/>
    </row>
    <row r="48" spans="1:9" ht="69.95" customHeight="1" x14ac:dyDescent="0.2">
      <c r="A48" s="25"/>
      <c r="E48"/>
      <c r="F48" s="23"/>
      <c r="G48"/>
      <c r="H48" s="23"/>
      <c r="I48"/>
    </row>
    <row r="49" spans="1:9" ht="69.95" customHeight="1" x14ac:dyDescent="0.2">
      <c r="A49" s="25"/>
      <c r="E49"/>
      <c r="F49" s="23"/>
      <c r="G49"/>
      <c r="H49" s="23"/>
      <c r="I49"/>
    </row>
    <row r="50" spans="1:9" ht="69.95" customHeight="1" x14ac:dyDescent="0.2">
      <c r="A50" s="25"/>
      <c r="E50"/>
      <c r="F50" s="23"/>
      <c r="G50"/>
      <c r="H50" s="23"/>
      <c r="I50"/>
    </row>
    <row r="51" spans="1:9" ht="69.95" customHeight="1" x14ac:dyDescent="0.2">
      <c r="A51" s="25"/>
      <c r="E51"/>
      <c r="F51" s="23"/>
      <c r="G51"/>
      <c r="H51" s="23"/>
      <c r="I51"/>
    </row>
    <row r="52" spans="1:9" ht="69.95" customHeight="1" x14ac:dyDescent="0.2">
      <c r="A52" s="25"/>
      <c r="E52"/>
      <c r="F52" s="23"/>
      <c r="G52"/>
      <c r="H52" s="23"/>
      <c r="I52"/>
    </row>
    <row r="53" spans="1:9" ht="69.95" customHeight="1" x14ac:dyDescent="0.2">
      <c r="A53" s="25"/>
      <c r="E53"/>
      <c r="F53" s="23"/>
      <c r="G53"/>
      <c r="H53" s="23"/>
      <c r="I53"/>
    </row>
    <row r="54" spans="1:9" ht="69.95" customHeight="1" x14ac:dyDescent="0.2">
      <c r="A54" s="25"/>
      <c r="E54"/>
      <c r="F54" s="23"/>
      <c r="G54"/>
      <c r="H54" s="23"/>
      <c r="I54"/>
    </row>
    <row r="55" spans="1:9" ht="69.95" customHeight="1" x14ac:dyDescent="0.2">
      <c r="A55" s="25"/>
      <c r="E55"/>
      <c r="F55" s="23"/>
      <c r="G55"/>
      <c r="H55" s="23"/>
      <c r="I55"/>
    </row>
    <row r="56" spans="1:9" ht="69.95" customHeight="1" x14ac:dyDescent="0.2">
      <c r="A56" s="25"/>
      <c r="E56"/>
      <c r="F56" s="23"/>
      <c r="G56"/>
      <c r="H56" s="23"/>
      <c r="I56"/>
    </row>
    <row r="57" spans="1:9" ht="69.95" customHeight="1" x14ac:dyDescent="0.2">
      <c r="A57" s="25"/>
      <c r="E57"/>
      <c r="F57" s="23"/>
      <c r="G57"/>
      <c r="H57" s="23"/>
      <c r="I57"/>
    </row>
    <row r="58" spans="1:9" ht="69.95" customHeight="1" x14ac:dyDescent="0.2">
      <c r="A58" s="25"/>
      <c r="E58"/>
      <c r="F58" s="23"/>
      <c r="G58"/>
      <c r="H58" s="23"/>
      <c r="I58"/>
    </row>
    <row r="59" spans="1:9" ht="69.95" customHeight="1" x14ac:dyDescent="0.2">
      <c r="A59" s="25"/>
      <c r="E59"/>
      <c r="F59" s="23"/>
      <c r="G59"/>
      <c r="H59" s="23"/>
      <c r="I59"/>
    </row>
    <row r="60" spans="1:9" ht="69.95" customHeight="1" x14ac:dyDescent="0.2">
      <c r="A60" s="25"/>
      <c r="E60"/>
      <c r="F60" s="23"/>
      <c r="G60"/>
      <c r="H60" s="23"/>
      <c r="I60"/>
    </row>
    <row r="61" spans="1:9" ht="69.95" customHeight="1" x14ac:dyDescent="0.2">
      <c r="A61" s="25"/>
      <c r="E61"/>
      <c r="F61" s="23"/>
      <c r="G61"/>
      <c r="H61" s="23"/>
      <c r="I61"/>
    </row>
    <row r="62" spans="1:9" ht="69.95" customHeight="1" x14ac:dyDescent="0.2">
      <c r="A62" s="25"/>
      <c r="E62"/>
      <c r="F62" s="23"/>
      <c r="G62"/>
      <c r="H62" s="23"/>
      <c r="I62"/>
    </row>
    <row r="63" spans="1:9" ht="69.95" customHeight="1" x14ac:dyDescent="0.2">
      <c r="A63" s="25"/>
      <c r="E63"/>
      <c r="F63" s="23"/>
      <c r="G63"/>
      <c r="H63" s="23"/>
      <c r="I63"/>
    </row>
    <row r="64" spans="1:9" ht="69.95" customHeight="1" x14ac:dyDescent="0.2">
      <c r="A64" s="25"/>
      <c r="E64"/>
      <c r="F64" s="23"/>
      <c r="G64"/>
      <c r="H64" s="23"/>
      <c r="I64"/>
    </row>
    <row r="65" spans="1:9" ht="69.95" customHeight="1" x14ac:dyDescent="0.2">
      <c r="A65" s="25"/>
      <c r="E65"/>
      <c r="F65" s="23"/>
      <c r="G65"/>
      <c r="H65" s="23"/>
      <c r="I65"/>
    </row>
    <row r="66" spans="1:9" ht="69.95" customHeight="1" x14ac:dyDescent="0.2">
      <c r="A66" s="25"/>
      <c r="E66"/>
      <c r="F66" s="23"/>
      <c r="G66"/>
      <c r="H66" s="23"/>
      <c r="I66"/>
    </row>
    <row r="67" spans="1:9" ht="69.95" customHeight="1" x14ac:dyDescent="0.2">
      <c r="A67" s="25"/>
      <c r="E67"/>
      <c r="F67" s="23"/>
      <c r="G67"/>
      <c r="H67" s="23"/>
      <c r="I67"/>
    </row>
    <row r="68" spans="1:9" ht="69.95" customHeight="1" x14ac:dyDescent="0.2">
      <c r="A68" s="25"/>
      <c r="E68"/>
      <c r="F68" s="23"/>
      <c r="G68"/>
      <c r="H68" s="23"/>
      <c r="I68"/>
    </row>
    <row r="69" spans="1:9" ht="69.95" customHeight="1" x14ac:dyDescent="0.2">
      <c r="A69" s="25"/>
      <c r="E69"/>
      <c r="F69" s="23"/>
      <c r="G69"/>
      <c r="H69" s="23"/>
      <c r="I69"/>
    </row>
    <row r="70" spans="1:9" ht="69.95" customHeight="1" x14ac:dyDescent="0.2">
      <c r="A70" s="25"/>
      <c r="E70"/>
      <c r="F70" s="23"/>
      <c r="G70"/>
      <c r="H70" s="23"/>
      <c r="I70"/>
    </row>
    <row r="71" spans="1:9" ht="69.95" customHeight="1" x14ac:dyDescent="0.2">
      <c r="A71" s="25"/>
      <c r="E71"/>
      <c r="F71" s="23"/>
      <c r="G71"/>
      <c r="H71" s="23"/>
      <c r="I71"/>
    </row>
    <row r="72" spans="1:9" ht="69.95" customHeight="1" x14ac:dyDescent="0.2">
      <c r="A72" s="25"/>
      <c r="E72"/>
      <c r="F72" s="23"/>
      <c r="G72"/>
      <c r="H72" s="23"/>
      <c r="I72"/>
    </row>
    <row r="73" spans="1:9" ht="69.95" customHeight="1" x14ac:dyDescent="0.2">
      <c r="A73" s="25"/>
      <c r="E73"/>
      <c r="F73" s="23"/>
      <c r="G73"/>
      <c r="H73" s="23"/>
      <c r="I73"/>
    </row>
    <row r="74" spans="1:9" ht="69.95" customHeight="1" x14ac:dyDescent="0.2">
      <c r="A74" s="25"/>
      <c r="E74"/>
      <c r="F74" s="23"/>
      <c r="G74"/>
      <c r="H74" s="23"/>
      <c r="I74"/>
    </row>
    <row r="75" spans="1:9" ht="69.95" customHeight="1" x14ac:dyDescent="0.2">
      <c r="A75" s="25"/>
      <c r="E75"/>
      <c r="F75" s="23"/>
      <c r="G75"/>
      <c r="H75" s="23"/>
      <c r="I75"/>
    </row>
    <row r="76" spans="1:9" ht="69.95" customHeight="1" x14ac:dyDescent="0.2">
      <c r="A76" s="25"/>
      <c r="E76"/>
      <c r="F76" s="23"/>
      <c r="G76"/>
      <c r="H76" s="23"/>
      <c r="I76"/>
    </row>
    <row r="77" spans="1:9" ht="69.95" customHeight="1" x14ac:dyDescent="0.2">
      <c r="A77" s="25"/>
      <c r="E77"/>
      <c r="F77" s="23"/>
      <c r="G77"/>
      <c r="H77" s="23"/>
      <c r="I77"/>
    </row>
    <row r="78" spans="1:9" ht="69.95" customHeight="1" x14ac:dyDescent="0.2">
      <c r="A78" s="25"/>
      <c r="E78"/>
      <c r="F78" s="23"/>
      <c r="G78"/>
      <c r="H78" s="23"/>
      <c r="I78"/>
    </row>
    <row r="79" spans="1:9" ht="69.95" customHeight="1" x14ac:dyDescent="0.2">
      <c r="A79" s="25"/>
      <c r="E79"/>
      <c r="F79" s="23"/>
      <c r="G79"/>
      <c r="H79" s="23"/>
      <c r="I79"/>
    </row>
    <row r="80" spans="1:9" ht="69.95" customHeight="1" x14ac:dyDescent="0.2">
      <c r="A80" s="25"/>
      <c r="E80"/>
      <c r="F80" s="23"/>
      <c r="G80"/>
      <c r="H80" s="23"/>
      <c r="I80"/>
    </row>
    <row r="81" spans="1:9" ht="69.95" customHeight="1" x14ac:dyDescent="0.2">
      <c r="A81" s="25"/>
      <c r="E81"/>
      <c r="F81" s="23"/>
      <c r="G81"/>
      <c r="H81" s="23"/>
      <c r="I81"/>
    </row>
    <row r="82" spans="1:9" ht="69.95" customHeight="1" x14ac:dyDescent="0.2">
      <c r="A82" s="25"/>
      <c r="E82"/>
      <c r="F82" s="23"/>
      <c r="G82"/>
      <c r="H82" s="23"/>
      <c r="I82"/>
    </row>
    <row r="83" spans="1:9" ht="69.95" customHeight="1" x14ac:dyDescent="0.2">
      <c r="A83" s="25"/>
      <c r="E83"/>
      <c r="F83" s="23"/>
      <c r="G83"/>
      <c r="H83" s="23"/>
      <c r="I83"/>
    </row>
    <row r="84" spans="1:9" ht="69.95" customHeight="1" x14ac:dyDescent="0.2">
      <c r="A84" s="25"/>
      <c r="E84"/>
      <c r="F84" s="23"/>
      <c r="G84"/>
      <c r="H84" s="23"/>
      <c r="I84"/>
    </row>
    <row r="85" spans="1:9" ht="69.95" customHeight="1" x14ac:dyDescent="0.2">
      <c r="A85" s="25"/>
      <c r="E85"/>
      <c r="F85" s="23"/>
      <c r="G85"/>
      <c r="H85" s="23"/>
      <c r="I85"/>
    </row>
    <row r="86" spans="1:9" ht="69.95" customHeight="1" x14ac:dyDescent="0.2">
      <c r="A86" s="25"/>
      <c r="E86"/>
      <c r="F86" s="23"/>
      <c r="G86"/>
      <c r="H86" s="23"/>
      <c r="I86"/>
    </row>
    <row r="87" spans="1:9" ht="69.95" customHeight="1" x14ac:dyDescent="0.2">
      <c r="A87" s="25"/>
      <c r="E87"/>
      <c r="F87" s="23"/>
      <c r="G87"/>
      <c r="H87" s="23"/>
      <c r="I87"/>
    </row>
    <row r="88" spans="1:9" ht="69.95" customHeight="1" x14ac:dyDescent="0.2">
      <c r="A88" s="25"/>
      <c r="E88"/>
      <c r="F88" s="23"/>
      <c r="G88"/>
      <c r="H88" s="23"/>
      <c r="I88"/>
    </row>
    <row r="89" spans="1:9" ht="69.95" customHeight="1" x14ac:dyDescent="0.2">
      <c r="A89" s="25"/>
      <c r="E89"/>
      <c r="F89" s="23"/>
      <c r="G89"/>
      <c r="H89" s="23"/>
      <c r="I89"/>
    </row>
    <row r="90" spans="1:9" ht="69.95" customHeight="1" x14ac:dyDescent="0.2">
      <c r="A90" s="25"/>
      <c r="E90"/>
      <c r="F90" s="23"/>
      <c r="G90"/>
      <c r="H90" s="23"/>
      <c r="I90"/>
    </row>
    <row r="91" spans="1:9" ht="69.95" customHeight="1" x14ac:dyDescent="0.2">
      <c r="A91" s="25"/>
      <c r="E91"/>
      <c r="F91" s="23"/>
      <c r="G91"/>
      <c r="H91" s="23"/>
      <c r="I91"/>
    </row>
    <row r="92" spans="1:9" ht="69.95" customHeight="1" x14ac:dyDescent="0.2">
      <c r="A92" s="25"/>
      <c r="E92"/>
      <c r="F92" s="23"/>
      <c r="G92"/>
      <c r="H92" s="23"/>
      <c r="I92"/>
    </row>
    <row r="93" spans="1:9" ht="69.95" customHeight="1" x14ac:dyDescent="0.2">
      <c r="A93" s="25"/>
      <c r="E93"/>
      <c r="F93" s="23"/>
      <c r="G93"/>
      <c r="H93" s="23"/>
      <c r="I93"/>
    </row>
    <row r="94" spans="1:9" ht="69.95" customHeight="1" x14ac:dyDescent="0.2">
      <c r="A94" s="25"/>
      <c r="E94"/>
      <c r="F94" s="23"/>
      <c r="G94"/>
      <c r="H94" s="23"/>
      <c r="I94"/>
    </row>
    <row r="95" spans="1:9" ht="69.95" customHeight="1" x14ac:dyDescent="0.2">
      <c r="A95" s="25"/>
      <c r="E95"/>
      <c r="F95" s="23"/>
      <c r="G95"/>
      <c r="H95" s="23"/>
      <c r="I95"/>
    </row>
    <row r="96" spans="1:9" ht="69.95" customHeight="1" x14ac:dyDescent="0.2">
      <c r="A96" s="25"/>
      <c r="E96"/>
      <c r="F96" s="23"/>
      <c r="G96"/>
      <c r="H96" s="23"/>
      <c r="I96"/>
    </row>
    <row r="97" spans="1:9" ht="69.95" customHeight="1" x14ac:dyDescent="0.2">
      <c r="A97" s="25"/>
      <c r="E97"/>
      <c r="F97" s="23"/>
      <c r="G97"/>
      <c r="H97" s="23"/>
      <c r="I97"/>
    </row>
    <row r="98" spans="1:9" ht="69.95" customHeight="1" x14ac:dyDescent="0.2">
      <c r="A98" s="25"/>
      <c r="E98"/>
      <c r="F98" s="23"/>
      <c r="G98"/>
      <c r="H98" s="23"/>
      <c r="I98"/>
    </row>
    <row r="99" spans="1:9" ht="69.95" customHeight="1" x14ac:dyDescent="0.2">
      <c r="A99" s="25"/>
      <c r="E99"/>
      <c r="F99" s="23"/>
      <c r="G99"/>
      <c r="H99" s="23"/>
      <c r="I99"/>
    </row>
    <row r="100" spans="1:9" ht="69.95" customHeight="1" x14ac:dyDescent="0.2">
      <c r="A100" s="25"/>
      <c r="E100"/>
      <c r="F100" s="23"/>
      <c r="G100"/>
      <c r="H100" s="23"/>
      <c r="I100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5EFEAD-6415-4934-A3B8-31AE954F585F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customXml/itemProps2.xml><?xml version="1.0" encoding="utf-8"?>
<ds:datastoreItem xmlns:ds="http://schemas.openxmlformats.org/officeDocument/2006/customXml" ds:itemID="{7809AAE0-C31E-4685-9780-7696DBD3737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98ECD9-1609-4CCE-8B68-6C7F2B3477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Invoerveld CMR</vt:lpstr>
      <vt:lpstr>CMR</vt:lpstr>
      <vt:lpstr>GEGEVENS FOOD</vt:lpstr>
      <vt:lpstr>CMR - print Blanco</vt:lpstr>
      <vt:lpstr>Ontvanger</vt:lpstr>
      <vt:lpstr>Afzender</vt:lpstr>
      <vt:lpstr>Vervoerder</vt:lpstr>
      <vt:lpstr>Others</vt:lpstr>
      <vt:lpstr>Afzender</vt:lpstr>
      <vt:lpstr>Delivery_terms</vt:lpstr>
      <vt:lpstr>Goederenomschrijving</vt:lpstr>
      <vt:lpstr>Notification</vt:lpstr>
      <vt:lpstr>Vervoerder!Ontvanger</vt:lpstr>
      <vt:lpstr>ontvanger</vt:lpstr>
      <vt:lpstr>ontvanger2</vt:lpstr>
      <vt:lpstr>PAYABLE</vt:lpstr>
      <vt:lpstr>CMR!Print_Area</vt:lpstr>
      <vt:lpstr>'CMR - print Blanco'!Print_Area</vt:lpstr>
      <vt:lpstr>verpakking</vt:lpstr>
      <vt:lpstr>Vervoerder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Karis</dc:creator>
  <cp:lastModifiedBy>Gonçalo Latino Candido</cp:lastModifiedBy>
  <cp:lastPrinted>2026-04-18T06:17:43Z</cp:lastPrinted>
  <dcterms:created xsi:type="dcterms:W3CDTF">2006-11-30T07:54:48Z</dcterms:created>
  <dcterms:modified xsi:type="dcterms:W3CDTF">2026-04-18T12:26:00Z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