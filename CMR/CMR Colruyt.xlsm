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/>
  <mc:AlternateContent xmlns:mc="http://schemas.openxmlformats.org/markup-compatibility/2006">
    <mc:Choice Requires="x15">
      <x15ac:absPath xmlns:x15ac="http://schemas.microsoft.com/office/spreadsheetml/2010/11/ac" url="https://hessingeu-my.sharepoint.com/personal/goncalolatinocandido_hessing_eu/Documents/Bureaublad/"/>
    </mc:Choice>
  </mc:AlternateContent>
  <xr:revisionPtr revIDLastSave="5" documentId="11_AD4DB114E441178AC67DF4AB8E95C6D0693EDF2F" xr6:coauthVersionLast="47" xr6:coauthVersionMax="47" xr10:uidLastSave="{F9444665-80F7-4BE2-9489-CB6D65D11B62}"/>
  <bookViews>
    <workbookView xWindow="28680" yWindow="-120" windowWidth="29040" windowHeight="15720" xr2:uid="{00000000-000D-0000-FFFF-FFFF00000000}"/>
  </bookViews>
  <sheets>
    <sheet name="CMR" sheetId="2" r:id="rId1"/>
  </sheets>
  <externalReferences>
    <externalReference r:id="rId2"/>
  </externalReferences>
  <definedNames>
    <definedName name="Afzender">[1]Afzender!$A$2:$A$3</definedName>
    <definedName name="Delivery_terms">[1]Others!$G$2:$G$3</definedName>
    <definedName name="Goederenomschrijving">[1]Others!$E$2:$E$9</definedName>
    <definedName name="ontvanger">[1]Ontvanger!$A$2:$A$3</definedName>
    <definedName name="ontvanger2">[1]Ontvanger!$A$2:$A$42</definedName>
    <definedName name="_xlnm.Print_Area" localSheetId="0">CMR!$A$1:$AD$74</definedName>
    <definedName name="verpakking">[1]Others!$I$2:$I$5</definedName>
    <definedName name="Vervoerder">[1]Vervoerder!$A$2:$A$12</definedName>
    <definedName name="Z_0FD69B58_EF51_4C18_B4D6_31C971A37616_.wvu.PrintArea" localSheetId="0" hidden="1">CMR!$A$1:$AD$74</definedName>
    <definedName name="Z_5AD85DBA_9152_408A_8DDF_ED51A0D1643C_.wvu.PrintArea" localSheetId="0" hidden="1">CMR!$A$1:$AD$74</definedName>
    <definedName name="Z_5EA326BD_F0E0_4501_86FD_55E0C4AA7966_.wvu.PrintArea" localSheetId="0" hidden="1">CMR!$A$1:$AD$74</definedName>
    <definedName name="Z_9F043586_0BF8_4ECE_8BAA_2CCCC21889D8_.wvu.PrintArea" localSheetId="0" hidden="1">CMR!$C$1:$AD$74</definedName>
    <definedName name="Z_A48852C1_940B_4F33_BDC4_7FBF2863703E_.wvu.PrintArea" localSheetId="0" hidden="1">CMR!$C$1:$AD$74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9" i="2" l="1"/>
  <c r="C69" i="2"/>
  <c r="G68" i="2"/>
  <c r="J64" i="2"/>
  <c r="I51" i="2"/>
  <c r="F45" i="2"/>
  <c r="E45" i="2"/>
  <c r="C45" i="2"/>
  <c r="F44" i="2"/>
  <c r="E44" i="2"/>
  <c r="C44" i="2"/>
  <c r="F43" i="2"/>
  <c r="E43" i="2"/>
  <c r="F42" i="2"/>
  <c r="C42" i="2"/>
  <c r="F40" i="2"/>
  <c r="C40" i="2"/>
  <c r="C39" i="2"/>
  <c r="C36" i="2"/>
  <c r="C35" i="2"/>
  <c r="C31" i="2"/>
  <c r="Y30" i="2"/>
  <c r="C30" i="2"/>
  <c r="Y28" i="2"/>
  <c r="C27" i="2"/>
  <c r="AD25" i="2"/>
  <c r="C25" i="2"/>
  <c r="C21" i="2"/>
  <c r="C17" i="2"/>
  <c r="C16" i="2"/>
  <c r="P14" i="2"/>
  <c r="C14" i="2"/>
  <c r="C1" i="2"/>
</calcChain>
</file>

<file path=xl/sharedStrings.xml><?xml version="1.0" encoding="utf-8"?>
<sst xmlns="http://schemas.openxmlformats.org/spreadsheetml/2006/main" count="9" uniqueCount="9">
  <si>
    <t>Nieuwmarkt 8</t>
  </si>
  <si>
    <t>1681 NP Zwaagdijk-Oost (NL)</t>
  </si>
  <si>
    <t>tel. 0228-515744 // fax. 0228-514455</t>
  </si>
  <si>
    <t xml:space="preserve"> </t>
  </si>
  <si>
    <t>HESSING ORDERNO. VCSO001303671</t>
  </si>
  <si>
    <t>DELIVERED EMBALLAGE</t>
  </si>
  <si>
    <t>1 D_S702016</t>
  </si>
  <si>
    <t>Bij koelverse producten koelmotor instellen op 3 graden</t>
  </si>
  <si>
    <t>L22301698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</si>
</sst>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]dddd\ d\ mmmm\ yyyy"/>
    <numFmt numFmtId="165" formatCode="[$-413]d\ mmmm\ yyyy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b/>
      <sz val="13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sz val="15"/>
      <name val="Arial"/>
      <family val="2"/>
    </font>
    <font>
      <b/>
      <sz val="10"/>
      <name val="Tahoma"/>
      <family val="2"/>
    </font>
    <font>
      <sz val="14"/>
      <name val="Arial"/>
      <family val="2"/>
    </font>
    <font>
      <sz val="13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sz val="8"/>
      <name val="Tahoma"/>
      <family val="2"/>
    </font>
    <font>
      <sz val="12"/>
      <name val="Tahoma"/>
      <family val="2"/>
    </font>
    <font>
      <sz val="28"/>
      <color rgb="FF000000"/>
      <name val="Aptos"/>
      <family val="2"/>
    </font>
    <font>
      <b/>
      <sz val="2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5">
    <xf numFmtId="0" fontId="0" fillId="0" borderId="0" xfId="0"/>
    <xf numFmtId="0" fontId="3" fillId="0" borderId="0" xfId="2" applyFont="1"/>
    <xf numFmtId="0" fontId="4" fillId="0" borderId="0" xfId="2" applyFont="1" applyAlignment="1">
      <alignment horizontal="left" vertical="top" wrapText="1"/>
    </xf>
    <xf numFmtId="0" fontId="5" fillId="0" borderId="0" xfId="2" applyFont="1" applyAlignment="1">
      <alignment wrapText="1"/>
    </xf>
    <xf numFmtId="0" fontId="2" fillId="0" borderId="0" xfId="2"/>
    <xf numFmtId="0" fontId="6" fillId="0" borderId="0" xfId="2" applyFont="1" applyAlignment="1">
      <alignment horizontal="left" wrapText="1"/>
    </xf>
    <xf numFmtId="0" fontId="6" fillId="0" borderId="0" xfId="2" applyFont="1" applyAlignment="1">
      <alignment horizontal="left"/>
    </xf>
    <xf numFmtId="0" fontId="7" fillId="0" borderId="0" xfId="1" applyFont="1" applyAlignment="1">
      <alignment horizontal="left"/>
    </xf>
    <xf numFmtId="0" fontId="6" fillId="0" borderId="0" xfId="2" applyFont="1" applyAlignment="1">
      <alignment horizontal="left" wrapText="1"/>
    </xf>
    <xf numFmtId="0" fontId="7" fillId="0" borderId="0" xfId="1" applyFont="1" applyAlignment="1">
      <alignment horizontal="left"/>
    </xf>
    <xf numFmtId="0" fontId="8" fillId="0" borderId="0" xfId="2" applyFont="1" applyAlignment="1">
      <alignment horizontal="left"/>
    </xf>
    <xf numFmtId="1" fontId="3" fillId="0" borderId="0" xfId="2" applyNumberFormat="1" applyFont="1"/>
    <xf numFmtId="0" fontId="9" fillId="0" borderId="0" xfId="2" applyFont="1" applyAlignment="1">
      <alignment horizontal="left"/>
    </xf>
    <xf numFmtId="0" fontId="9" fillId="0" borderId="0" xfId="2" applyFont="1"/>
    <xf numFmtId="0" fontId="10" fillId="0" borderId="0" xfId="2" applyFont="1"/>
    <xf numFmtId="0" fontId="10" fillId="0" borderId="0" xfId="2" applyFont="1" applyAlignment="1">
      <alignment horizontal="left"/>
    </xf>
    <xf numFmtId="0" fontId="8" fillId="0" borderId="0" xfId="2" applyFont="1"/>
    <xf numFmtId="0" fontId="5" fillId="0" borderId="0" xfId="2" applyFont="1"/>
    <xf numFmtId="0" fontId="11" fillId="0" borderId="0" xfId="2" applyFont="1"/>
    <xf numFmtId="0" fontId="3" fillId="0" borderId="0" xfId="2" applyFont="1" applyAlignment="1">
      <alignment horizontal="center"/>
    </xf>
    <xf numFmtId="14" fontId="9" fillId="0" borderId="0" xfId="2" applyNumberFormat="1" applyFont="1" applyAlignment="1">
      <alignment horizontal="center"/>
    </xf>
    <xf numFmtId="14" fontId="9" fillId="0" borderId="0" xfId="2" applyNumberFormat="1" applyFont="1" applyAlignment="1">
      <alignment horizontal="left"/>
    </xf>
    <xf numFmtId="164" fontId="8" fillId="0" borderId="0" xfId="2" applyNumberFormat="1" applyFont="1" applyAlignment="1">
      <alignment horizontal="left"/>
    </xf>
    <xf numFmtId="0" fontId="5" fillId="0" borderId="0" xfId="2" applyFont="1" applyAlignment="1">
      <alignment horizontal="left"/>
    </xf>
    <xf numFmtId="20" fontId="10" fillId="0" borderId="0" xfId="2" applyNumberFormat="1" applyFont="1" applyAlignment="1">
      <alignment horizontal="center"/>
    </xf>
    <xf numFmtId="164" fontId="8" fillId="0" borderId="0" xfId="2" applyNumberFormat="1" applyFont="1"/>
    <xf numFmtId="1" fontId="10" fillId="0" borderId="0" xfId="2" applyNumberFormat="1" applyFont="1"/>
    <xf numFmtId="1" fontId="6" fillId="0" borderId="0" xfId="2" applyNumberFormat="1" applyFont="1" applyAlignment="1">
      <alignment horizontal="left"/>
    </xf>
    <xf numFmtId="0" fontId="2" fillId="2" borderId="0" xfId="2" applyFill="1"/>
    <xf numFmtId="0" fontId="10" fillId="0" borderId="0" xfId="2" applyFont="1" applyAlignment="1">
      <alignment horizontal="center"/>
    </xf>
    <xf numFmtId="0" fontId="12" fillId="0" borderId="0" xfId="2" applyFont="1"/>
    <xf numFmtId="0" fontId="10" fillId="0" borderId="0" xfId="2" applyFont="1" applyAlignment="1">
      <alignment horizontal="center"/>
    </xf>
    <xf numFmtId="0" fontId="12" fillId="0" borderId="0" xfId="2" applyFont="1" applyAlignment="1">
      <alignment horizontal="left"/>
    </xf>
    <xf numFmtId="0" fontId="13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1" fillId="0" borderId="0" xfId="2" applyFont="1" applyAlignment="1">
      <alignment horizontal="center"/>
    </xf>
    <xf numFmtId="1" fontId="13" fillId="0" borderId="1" xfId="2" applyNumberFormat="1" applyFont="1" applyBorder="1" applyAlignment="1">
      <alignment horizontal="center"/>
    </xf>
    <xf numFmtId="0" fontId="13" fillId="0" borderId="1" xfId="2" applyFont="1" applyBorder="1" applyAlignment="1">
      <alignment horizontal="left"/>
    </xf>
    <xf numFmtId="0" fontId="13" fillId="0" borderId="2" xfId="2" applyFont="1" applyBorder="1" applyAlignment="1">
      <alignment horizontal="left"/>
    </xf>
    <xf numFmtId="0" fontId="13" fillId="0" borderId="3" xfId="2" applyFont="1" applyBorder="1" applyAlignment="1">
      <alignment horizontal="left"/>
    </xf>
    <xf numFmtId="1" fontId="13" fillId="0" borderId="0" xfId="2" applyNumberFormat="1" applyFont="1" applyAlignment="1">
      <alignment horizontal="center"/>
    </xf>
    <xf numFmtId="0" fontId="13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3" fillId="0" borderId="1" xfId="2" applyFont="1" applyBorder="1" applyAlignment="1">
      <alignment horizontal="center"/>
    </xf>
    <xf numFmtId="3" fontId="1" fillId="0" borderId="0" xfId="2" applyNumberFormat="1" applyFont="1"/>
    <xf numFmtId="0" fontId="9" fillId="0" borderId="0" xfId="2" applyFont="1" applyAlignment="1">
      <alignment horizontal="center"/>
    </xf>
    <xf numFmtId="0" fontId="14" fillId="0" borderId="0" xfId="1" applyFont="1" applyProtection="1">
      <protection locked="0"/>
    </xf>
    <xf numFmtId="0" fontId="15" fillId="0" borderId="0" xfId="1" applyFont="1" applyProtection="1">
      <protection locked="0"/>
    </xf>
    <xf numFmtId="0" fontId="15" fillId="0" borderId="0" xfId="1" applyFont="1"/>
    <xf numFmtId="0" fontId="14" fillId="0" borderId="0" xfId="1" applyFont="1"/>
    <xf numFmtId="0" fontId="1" fillId="0" borderId="0" xfId="2" applyFont="1"/>
    <xf numFmtId="0" fontId="15" fillId="0" borderId="0" xfId="1" applyFont="1" applyAlignment="1">
      <alignment horizontal="left"/>
    </xf>
    <xf numFmtId="0" fontId="2" fillId="0" borderId="0" xfId="2" applyAlignment="1">
      <alignment horizontal="left" wrapText="1"/>
    </xf>
    <xf numFmtId="0" fontId="5" fillId="0" borderId="0" xfId="2" applyFont="1" applyAlignment="1">
      <alignment horizontal="center"/>
    </xf>
    <xf numFmtId="1" fontId="1" fillId="0" borderId="0" xfId="2" applyNumberFormat="1" applyFont="1" applyAlignment="1">
      <alignment horizontal="left"/>
    </xf>
    <xf numFmtId="1" fontId="5" fillId="0" borderId="0" xfId="2" applyNumberFormat="1" applyFont="1" applyAlignment="1">
      <alignment horizontal="center"/>
    </xf>
    <xf numFmtId="0" fontId="16" fillId="0" borderId="0" xfId="2" applyFont="1"/>
    <xf numFmtId="0" fontId="17" fillId="0" borderId="0" xfId="2" applyFont="1"/>
    <xf numFmtId="0" fontId="3" fillId="0" borderId="0" xfId="2" applyFont="1" applyAlignment="1">
      <alignment horizontal="left"/>
    </xf>
    <xf numFmtId="164" fontId="9" fillId="0" borderId="0" xfId="2" applyNumberFormat="1" applyFont="1" applyAlignment="1">
      <alignment horizontal="left"/>
    </xf>
    <xf numFmtId="0" fontId="8" fillId="0" borderId="0" xfId="2" applyFont="1" applyAlignment="1">
      <alignment wrapText="1"/>
    </xf>
    <xf numFmtId="165" fontId="9" fillId="0" borderId="0" xfId="2" applyNumberFormat="1" applyFont="1" applyAlignment="1">
      <alignment horizontal="center" vertical="center"/>
    </xf>
    <xf numFmtId="1" fontId="5" fillId="0" borderId="0" xfId="2" applyNumberFormat="1" applyFont="1" applyAlignment="1">
      <alignment horizontal="left"/>
    </xf>
    <xf numFmtId="0" fontId="10" fillId="0" borderId="0" xfId="2" applyFont="1" applyAlignment="1">
      <alignment wrapText="1"/>
    </xf>
    <xf numFmtId="0" fontId="8" fillId="0" borderId="0" xfId="2" applyFont="1" applyAlignment="1">
      <alignment horizontal="left" wrapText="1"/>
    </xf>
  </cellXfs>
  <cellStyles count="3">
    <cellStyle name="Normal" xfId="0" builtinId="0"/>
    <cellStyle name="Normal 2" xfId="2" xr:uid="{6A272E52-5BFC-4EC1-9942-59EB0C29A014}"/>
    <cellStyle name="Standaard_VRACHTBRIEVEN(1)" xfId="1" xr:uid="{59F3AA06-45D4-447D-80EB-4D2AE766AD2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essingeu.sharepoint.com/sites/administrationvenlo/Shared%20Documents/All%20customers/Colruyt/Colruyt%20%20%20%20%20%20%20%20%20%20%20%20CMR%20DOCUMENT.xlsm" TargetMode="External"/><Relationship Id="rId1" Type="http://schemas.openxmlformats.org/officeDocument/2006/relationships/externalLinkPath" Target="https://hessingeu.sharepoint.com/sites/administrationvenlo/Shared%20Documents/All%20customers/Colruyt/Colruyt%20%20%20%20%20%20%20%20%20%20%20%20CMR%20DOCU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oerveld CMR"/>
      <sheetName val="CMR"/>
      <sheetName val="GEGEVENS FOOD"/>
      <sheetName val="CMR - print Blanco"/>
      <sheetName val="Ontvanger"/>
      <sheetName val="Afzender"/>
      <sheetName val="Vervoerder"/>
      <sheetName val="Others"/>
    </sheetNames>
    <sheetDataSet>
      <sheetData sheetId="0">
        <row r="2">
          <cell r="D2">
            <v>476455</v>
          </cell>
        </row>
        <row r="5">
          <cell r="C5" t="str">
            <v>Hessing Supervers Maasbree</v>
          </cell>
        </row>
        <row r="13">
          <cell r="C13" t="str">
            <v>Delivery note</v>
          </cell>
        </row>
      </sheetData>
      <sheetData sheetId="1"/>
      <sheetData sheetId="2">
        <row r="4">
          <cell r="A4" t="str">
            <v>BONN61</v>
          </cell>
          <cell r="B4" t="str">
            <v>Regel</v>
          </cell>
          <cell r="C4" t="str">
            <v>DEBN61</v>
          </cell>
          <cell r="D4" t="str">
            <v>NAAS01</v>
          </cell>
          <cell r="E4" t="str">
            <v>ADRS01</v>
          </cell>
          <cell r="F4" t="str">
            <v>PSTK01</v>
          </cell>
          <cell r="G4" t="str">
            <v>WNPL01</v>
          </cell>
          <cell r="H4" t="str">
            <v>TRAN01</v>
          </cell>
          <cell r="I4" t="str">
            <v>OMSC03</v>
          </cell>
          <cell r="J4" t="str">
            <v>EMBA61</v>
          </cell>
          <cell r="K4" t="str">
            <v>OMSC032</v>
          </cell>
          <cell r="L4" t="str">
            <v>00011</v>
          </cell>
          <cell r="M4" t="str">
            <v>EXTN61</v>
          </cell>
          <cell r="N4" t="str">
            <v>KOHR61</v>
          </cell>
          <cell r="O4" t="str">
            <v>REDT61</v>
          </cell>
        </row>
        <row r="5">
          <cell r="A5">
            <v>72077</v>
          </cell>
          <cell r="B5" t="str">
            <v>72077 - 1</v>
          </cell>
          <cell r="C5">
            <v>2367</v>
          </cell>
          <cell r="D5" t="str">
            <v>VAN GORP GREENFOOD</v>
          </cell>
          <cell r="E5" t="str">
            <v>Kerkberg 9</v>
          </cell>
          <cell r="F5" t="str">
            <v>5951 DD</v>
          </cell>
          <cell r="G5" t="str">
            <v>Belfeld (NL)</v>
          </cell>
          <cell r="H5">
            <v>5</v>
          </cell>
          <cell r="I5" t="str">
            <v>Niet in gebruik</v>
          </cell>
          <cell r="J5">
            <v>71</v>
          </cell>
          <cell r="K5" t="str">
            <v>EPS 17 middel (60/40/15)</v>
          </cell>
          <cell r="L5">
            <v>29</v>
          </cell>
          <cell r="M5" t="str">
            <v/>
          </cell>
          <cell r="N5">
            <v>2</v>
          </cell>
          <cell r="O5">
            <v>42917</v>
          </cell>
        </row>
        <row r="6">
          <cell r="A6">
            <v>72081</v>
          </cell>
          <cell r="B6" t="str">
            <v>72081 - 1</v>
          </cell>
          <cell r="C6">
            <v>8999</v>
          </cell>
          <cell r="D6" t="str">
            <v>HESSING ZWAAGDIJK BV</v>
          </cell>
          <cell r="E6" t="str">
            <v>Nieuwmarkt 8</v>
          </cell>
          <cell r="F6" t="str">
            <v>1681 NP</v>
          </cell>
          <cell r="G6" t="str">
            <v>WERVERSHOOF</v>
          </cell>
          <cell r="H6">
            <v>1</v>
          </cell>
          <cell r="I6" t="str">
            <v>Hessing Logistiek</v>
          </cell>
          <cell r="J6">
            <v>10</v>
          </cell>
          <cell r="K6" t="str">
            <v>LD Poolpallet 120x100</v>
          </cell>
          <cell r="L6">
            <v>26</v>
          </cell>
          <cell r="M6" t="str">
            <v/>
          </cell>
          <cell r="N6">
            <v>2</v>
          </cell>
          <cell r="O6">
            <v>42917</v>
          </cell>
        </row>
        <row r="7">
          <cell r="A7">
            <v>72081</v>
          </cell>
          <cell r="B7" t="str">
            <v>72081 - 2</v>
          </cell>
          <cell r="C7">
            <v>8999</v>
          </cell>
          <cell r="D7" t="str">
            <v>HESSING ZWAAGDIJK BV</v>
          </cell>
          <cell r="E7" t="str">
            <v>Nieuwmarkt 8</v>
          </cell>
          <cell r="F7" t="str">
            <v>1681 NP</v>
          </cell>
          <cell r="G7" t="str">
            <v>WERVERSHOOF</v>
          </cell>
          <cell r="H7">
            <v>1</v>
          </cell>
          <cell r="I7" t="str">
            <v>Hessing Logistiek</v>
          </cell>
          <cell r="J7">
            <v>72</v>
          </cell>
          <cell r="K7" t="str">
            <v>EPS 23 hoog (60/40/23)</v>
          </cell>
          <cell r="L7">
            <v>1300</v>
          </cell>
          <cell r="M7" t="str">
            <v/>
          </cell>
          <cell r="N7">
            <v>2</v>
          </cell>
          <cell r="O7">
            <v>42917</v>
          </cell>
        </row>
        <row r="8">
          <cell r="A8">
            <v>72083</v>
          </cell>
          <cell r="B8" t="str">
            <v>72083 - 1</v>
          </cell>
          <cell r="C8">
            <v>8999</v>
          </cell>
          <cell r="D8" t="str">
            <v>HESSING ZWAAGDIJK BV</v>
          </cell>
          <cell r="E8" t="str">
            <v>Nieuwmarkt 8</v>
          </cell>
          <cell r="F8" t="str">
            <v>1681 NP</v>
          </cell>
          <cell r="G8" t="str">
            <v>WERVERSHOOF</v>
          </cell>
          <cell r="H8">
            <v>1</v>
          </cell>
          <cell r="I8" t="str">
            <v>Hessing Logistiek</v>
          </cell>
          <cell r="J8">
            <v>10</v>
          </cell>
          <cell r="K8" t="str">
            <v>LD Poolpallet 120x100</v>
          </cell>
          <cell r="L8">
            <v>26</v>
          </cell>
          <cell r="M8" t="str">
            <v/>
          </cell>
          <cell r="N8">
            <v>2</v>
          </cell>
          <cell r="O8">
            <v>42917</v>
          </cell>
        </row>
        <row r="9">
          <cell r="A9">
            <v>72083</v>
          </cell>
          <cell r="B9" t="str">
            <v>72083 - 2</v>
          </cell>
          <cell r="C9">
            <v>8999</v>
          </cell>
          <cell r="D9" t="str">
            <v>HESSING ZWAAGDIJK BV</v>
          </cell>
          <cell r="E9" t="str">
            <v>Nieuwmarkt 8</v>
          </cell>
          <cell r="F9" t="str">
            <v>1681 NP</v>
          </cell>
          <cell r="G9" t="str">
            <v>WERVERSHOOF</v>
          </cell>
          <cell r="H9">
            <v>1</v>
          </cell>
          <cell r="I9" t="str">
            <v>Hessing Logistiek</v>
          </cell>
          <cell r="J9">
            <v>72</v>
          </cell>
          <cell r="K9" t="str">
            <v>EPS 23 hoog (60/40/23)</v>
          </cell>
          <cell r="L9">
            <v>1300</v>
          </cell>
          <cell r="M9" t="str">
            <v/>
          </cell>
          <cell r="N9">
            <v>2</v>
          </cell>
          <cell r="O9">
            <v>42917</v>
          </cell>
        </row>
        <row r="10">
          <cell r="A10">
            <v>72084</v>
          </cell>
          <cell r="B10" t="str">
            <v>72084 - 1</v>
          </cell>
          <cell r="C10">
            <v>8999</v>
          </cell>
          <cell r="D10" t="str">
            <v>HESSING ZWAAGDIJK BV</v>
          </cell>
          <cell r="E10" t="str">
            <v>Nieuwmarkt 8</v>
          </cell>
          <cell r="F10" t="str">
            <v>1681 NP</v>
          </cell>
          <cell r="G10" t="str">
            <v>WERVERSHOOF</v>
          </cell>
          <cell r="H10">
            <v>1</v>
          </cell>
          <cell r="I10" t="str">
            <v>Hessing Logistiek</v>
          </cell>
          <cell r="J10">
            <v>10</v>
          </cell>
          <cell r="K10" t="str">
            <v>LD Poolpallet 120x100</v>
          </cell>
          <cell r="L10">
            <v>26</v>
          </cell>
          <cell r="M10" t="str">
            <v/>
          </cell>
          <cell r="N10">
            <v>2</v>
          </cell>
          <cell r="O10">
            <v>42917</v>
          </cell>
        </row>
        <row r="11">
          <cell r="A11">
            <v>72084</v>
          </cell>
          <cell r="B11" t="str">
            <v>72084 - 2</v>
          </cell>
          <cell r="C11">
            <v>8999</v>
          </cell>
          <cell r="D11" t="str">
            <v>HESSING ZWAAGDIJK BV</v>
          </cell>
          <cell r="E11" t="str">
            <v>Nieuwmarkt 8</v>
          </cell>
          <cell r="F11" t="str">
            <v>1681 NP</v>
          </cell>
          <cell r="G11" t="str">
            <v>WERVERSHOOF</v>
          </cell>
          <cell r="H11">
            <v>1</v>
          </cell>
          <cell r="I11" t="str">
            <v>Hessing Logistiek</v>
          </cell>
          <cell r="J11">
            <v>76</v>
          </cell>
          <cell r="K11" t="str">
            <v>KF EPS 24 hoog (60/40/23)</v>
          </cell>
          <cell r="L11">
            <v>1300</v>
          </cell>
          <cell r="M11" t="str">
            <v/>
          </cell>
          <cell r="N11">
            <v>2</v>
          </cell>
          <cell r="O11">
            <v>42917</v>
          </cell>
        </row>
        <row r="12">
          <cell r="A12">
            <v>72088</v>
          </cell>
          <cell r="B12" t="str">
            <v>72088 - 1</v>
          </cell>
          <cell r="C12">
            <v>8999</v>
          </cell>
          <cell r="D12" t="str">
            <v>HESSING ZWAAGDIJK BV</v>
          </cell>
          <cell r="E12" t="str">
            <v>Nieuwmarkt 8</v>
          </cell>
          <cell r="F12" t="str">
            <v>1681 NP</v>
          </cell>
          <cell r="G12" t="str">
            <v>WERVERSHOOF</v>
          </cell>
          <cell r="H12">
            <v>1</v>
          </cell>
          <cell r="I12" t="str">
            <v>Hessing Logistiek</v>
          </cell>
          <cell r="J12">
            <v>1</v>
          </cell>
          <cell r="K12" t="str">
            <v>CBL11 60/40/11 zwart</v>
          </cell>
          <cell r="L12">
            <v>20</v>
          </cell>
          <cell r="M12" t="str">
            <v/>
          </cell>
          <cell r="N12">
            <v>2</v>
          </cell>
          <cell r="O12">
            <v>42917</v>
          </cell>
        </row>
        <row r="13">
          <cell r="A13">
            <v>72088</v>
          </cell>
          <cell r="B13" t="str">
            <v>72088 - 2</v>
          </cell>
          <cell r="C13">
            <v>8999</v>
          </cell>
          <cell r="D13" t="str">
            <v>HESSING ZWAAGDIJK BV</v>
          </cell>
          <cell r="E13" t="str">
            <v>Nieuwmarkt 8</v>
          </cell>
          <cell r="F13" t="str">
            <v>1681 NP</v>
          </cell>
          <cell r="G13" t="str">
            <v>WERVERSHOOF</v>
          </cell>
          <cell r="H13">
            <v>1</v>
          </cell>
          <cell r="I13" t="str">
            <v>Hessing Logistiek</v>
          </cell>
          <cell r="J13">
            <v>38</v>
          </cell>
          <cell r="K13" t="str">
            <v>LD Hessing Supervers pallet</v>
          </cell>
          <cell r="L13">
            <v>6</v>
          </cell>
          <cell r="M13" t="str">
            <v/>
          </cell>
          <cell r="N13">
            <v>2</v>
          </cell>
          <cell r="O13">
            <v>42917</v>
          </cell>
        </row>
        <row r="14">
          <cell r="A14">
            <v>72088</v>
          </cell>
          <cell r="B14" t="str">
            <v>72088 - 3</v>
          </cell>
          <cell r="C14">
            <v>8999</v>
          </cell>
          <cell r="D14" t="str">
            <v>HESSING ZWAAGDIJK BV</v>
          </cell>
          <cell r="E14" t="str">
            <v>Nieuwmarkt 8</v>
          </cell>
          <cell r="F14" t="str">
            <v>1681 NP</v>
          </cell>
          <cell r="G14" t="str">
            <v>WERVERSHOOF</v>
          </cell>
          <cell r="H14">
            <v>1</v>
          </cell>
          <cell r="I14" t="str">
            <v>Hessing Logistiek</v>
          </cell>
          <cell r="J14">
            <v>72</v>
          </cell>
          <cell r="K14" t="str">
            <v>EPS 23 hoog (60/40/23)</v>
          </cell>
          <cell r="L14">
            <v>80</v>
          </cell>
          <cell r="M14" t="str">
            <v/>
          </cell>
          <cell r="N14">
            <v>2</v>
          </cell>
          <cell r="O14">
            <v>42917</v>
          </cell>
        </row>
        <row r="15">
          <cell r="A15">
            <v>72101</v>
          </cell>
          <cell r="B15" t="str">
            <v>72101 - 1</v>
          </cell>
          <cell r="C15">
            <v>8999</v>
          </cell>
          <cell r="D15" t="str">
            <v>HESSING ZWAAGDIJK BV</v>
          </cell>
          <cell r="E15" t="str">
            <v>Nieuwmarkt 8</v>
          </cell>
          <cell r="F15" t="str">
            <v>1681 NP</v>
          </cell>
          <cell r="G15" t="str">
            <v>WERVERSHOOF</v>
          </cell>
          <cell r="H15">
            <v>1</v>
          </cell>
          <cell r="I15" t="str">
            <v>Hessing Logistiek</v>
          </cell>
          <cell r="J15">
            <v>3</v>
          </cell>
          <cell r="K15" t="str">
            <v>CBL23 60/40/23 zwart</v>
          </cell>
          <cell r="L15">
            <v>160</v>
          </cell>
          <cell r="M15" t="str">
            <v/>
          </cell>
          <cell r="N15">
            <v>2</v>
          </cell>
          <cell r="O15">
            <v>42917</v>
          </cell>
        </row>
        <row r="16">
          <cell r="A16">
            <v>72101</v>
          </cell>
          <cell r="B16" t="str">
            <v>72101 - 2</v>
          </cell>
          <cell r="C16">
            <v>8999</v>
          </cell>
          <cell r="D16" t="str">
            <v>HESSING ZWAAGDIJK BV</v>
          </cell>
          <cell r="E16" t="str">
            <v>Nieuwmarkt 8</v>
          </cell>
          <cell r="F16" t="str">
            <v>1681 NP</v>
          </cell>
          <cell r="G16" t="str">
            <v>WERVERSHOOF</v>
          </cell>
          <cell r="H16">
            <v>1</v>
          </cell>
          <cell r="I16" t="str">
            <v>Hessing Logistiek</v>
          </cell>
          <cell r="J16">
            <v>38</v>
          </cell>
          <cell r="K16" t="str">
            <v>LD Hessing Supervers pallet</v>
          </cell>
          <cell r="L16">
            <v>4</v>
          </cell>
          <cell r="M16" t="str">
            <v/>
          </cell>
          <cell r="N16">
            <v>2</v>
          </cell>
          <cell r="O16">
            <v>42917</v>
          </cell>
        </row>
        <row r="17">
          <cell r="A17">
            <v>436290</v>
          </cell>
          <cell r="B17" t="str">
            <v>436290 - 1</v>
          </cell>
          <cell r="C17">
            <v>2422</v>
          </cell>
          <cell r="D17" t="str">
            <v>CARREFOUR KDC</v>
          </cell>
          <cell r="E17" t="str">
            <v>DREVENDAAL 3</v>
          </cell>
          <cell r="F17" t="str">
            <v>2860</v>
          </cell>
          <cell r="G17" t="str">
            <v>SINT KATELIJNE WAVER Belgium</v>
          </cell>
          <cell r="H17">
            <v>1</v>
          </cell>
          <cell r="I17" t="str">
            <v>Hessing Logistiek</v>
          </cell>
          <cell r="J17">
            <v>70</v>
          </cell>
          <cell r="K17" t="str">
            <v>LD Chep pallet 120x80 + SSCC</v>
          </cell>
          <cell r="L17">
            <v>0</v>
          </cell>
          <cell r="M17" t="str">
            <v>4801600153</v>
          </cell>
          <cell r="N17">
            <v>1</v>
          </cell>
          <cell r="O17">
            <v>43099</v>
          </cell>
        </row>
        <row r="18">
          <cell r="A18">
            <v>436290</v>
          </cell>
          <cell r="B18" t="str">
            <v>436290 - 2</v>
          </cell>
          <cell r="C18">
            <v>2422</v>
          </cell>
          <cell r="D18" t="str">
            <v>CARREFOUR KDC</v>
          </cell>
          <cell r="E18" t="str">
            <v>DREVENDAAL 3</v>
          </cell>
          <cell r="F18" t="str">
            <v>2860</v>
          </cell>
          <cell r="G18" t="str">
            <v>SINT KATELIJNE WAVER Belgium</v>
          </cell>
          <cell r="H18">
            <v>1</v>
          </cell>
          <cell r="I18" t="str">
            <v>Hessing Logistiek</v>
          </cell>
          <cell r="J18">
            <v>74</v>
          </cell>
          <cell r="K18" t="str">
            <v>KF EPS 46 klein (30/40/15)</v>
          </cell>
          <cell r="L18">
            <v>0</v>
          </cell>
          <cell r="M18" t="str">
            <v>4801600153</v>
          </cell>
          <cell r="N18">
            <v>1</v>
          </cell>
          <cell r="O18">
            <v>43099</v>
          </cell>
        </row>
        <row r="19">
          <cell r="A19">
            <v>475490</v>
          </cell>
          <cell r="B19" t="str">
            <v>475490 - 1</v>
          </cell>
          <cell r="C19">
            <v>2499</v>
          </cell>
          <cell r="D19" t="str">
            <v>HAVI LOGISTICS GMBH</v>
          </cell>
          <cell r="E19" t="str">
            <v>Hochstrasse 179</v>
          </cell>
          <cell r="F19" t="str">
            <v>47228</v>
          </cell>
          <cell r="G19" t="str">
            <v>Duisburg Germany</v>
          </cell>
          <cell r="H19">
            <v>13</v>
          </cell>
          <cell r="I19" t="str">
            <v>Hendrikx Transport Service</v>
          </cell>
          <cell r="J19">
            <v>20</v>
          </cell>
          <cell r="K19" t="str">
            <v>LD Europallet + SSCC</v>
          </cell>
          <cell r="L19">
            <v>5</v>
          </cell>
          <cell r="M19" t="str">
            <v>10289630/01</v>
          </cell>
          <cell r="N19">
            <v>1</v>
          </cell>
          <cell r="O19">
            <v>42919</v>
          </cell>
        </row>
        <row r="20">
          <cell r="A20">
            <v>475492</v>
          </cell>
          <cell r="B20" t="str">
            <v>475492 - 1</v>
          </cell>
          <cell r="C20">
            <v>2499</v>
          </cell>
          <cell r="D20" t="str">
            <v>HAVI LOGISTICS GMBH</v>
          </cell>
          <cell r="E20" t="str">
            <v>Hochstrasse 179</v>
          </cell>
          <cell r="F20" t="str">
            <v>47228</v>
          </cell>
          <cell r="G20" t="str">
            <v>Duisburg Germany</v>
          </cell>
          <cell r="H20">
            <v>13</v>
          </cell>
          <cell r="I20" t="str">
            <v>Hendrikx Transport Service</v>
          </cell>
          <cell r="J20">
            <v>20</v>
          </cell>
          <cell r="K20" t="str">
            <v>LD Europallet + SSCC</v>
          </cell>
          <cell r="L20">
            <v>4</v>
          </cell>
          <cell r="M20" t="str">
            <v>10289640/01</v>
          </cell>
          <cell r="N20">
            <v>1</v>
          </cell>
          <cell r="O20">
            <v>42919</v>
          </cell>
        </row>
        <row r="21">
          <cell r="A21">
            <v>475493</v>
          </cell>
          <cell r="B21" t="str">
            <v>475493 - 1</v>
          </cell>
          <cell r="C21">
            <v>2499</v>
          </cell>
          <cell r="D21" t="str">
            <v>HAVI LOGISTICS GMBH</v>
          </cell>
          <cell r="E21" t="str">
            <v>Hochstrasse 179</v>
          </cell>
          <cell r="F21" t="str">
            <v>47228</v>
          </cell>
          <cell r="G21" t="str">
            <v>Duisburg Germany</v>
          </cell>
          <cell r="H21">
            <v>13</v>
          </cell>
          <cell r="I21" t="str">
            <v>Hendrikx Transport Service</v>
          </cell>
          <cell r="J21">
            <v>20</v>
          </cell>
          <cell r="K21" t="str">
            <v>LD Europallet + SSCC</v>
          </cell>
          <cell r="L21">
            <v>4</v>
          </cell>
          <cell r="M21" t="str">
            <v>10289635/01</v>
          </cell>
          <cell r="N21">
            <v>1</v>
          </cell>
          <cell r="O21">
            <v>42919</v>
          </cell>
        </row>
        <row r="22">
          <cell r="A22">
            <v>475494</v>
          </cell>
          <cell r="B22" t="str">
            <v>475494 - 1</v>
          </cell>
          <cell r="C22">
            <v>2499</v>
          </cell>
          <cell r="D22" t="str">
            <v>HAVI LOGISTICS GMBH</v>
          </cell>
          <cell r="E22" t="str">
            <v>Hochstrasse 179</v>
          </cell>
          <cell r="F22" t="str">
            <v>47228</v>
          </cell>
          <cell r="G22" t="str">
            <v>Duisburg Germany</v>
          </cell>
          <cell r="H22">
            <v>13</v>
          </cell>
          <cell r="I22" t="str">
            <v>Hendrikx Transport Service</v>
          </cell>
          <cell r="J22">
            <v>20</v>
          </cell>
          <cell r="K22" t="str">
            <v>LD Europallet + SSCC</v>
          </cell>
          <cell r="L22">
            <v>2</v>
          </cell>
          <cell r="M22" t="str">
            <v>10289636/01</v>
          </cell>
          <cell r="N22">
            <v>1</v>
          </cell>
          <cell r="O22">
            <v>42919</v>
          </cell>
        </row>
        <row r="23">
          <cell r="A23">
            <v>475501</v>
          </cell>
          <cell r="B23" t="str">
            <v>475501 - 1</v>
          </cell>
          <cell r="C23">
            <v>2499</v>
          </cell>
          <cell r="D23" t="str">
            <v>HAVI LOGISTICS GMBH</v>
          </cell>
          <cell r="E23" t="str">
            <v>Hochstrasse 179</v>
          </cell>
          <cell r="F23" t="str">
            <v>47228</v>
          </cell>
          <cell r="G23" t="str">
            <v>Duisburg Germany</v>
          </cell>
          <cell r="H23">
            <v>13</v>
          </cell>
          <cell r="I23" t="str">
            <v>Hendrikx Transport Service</v>
          </cell>
          <cell r="J23">
            <v>20</v>
          </cell>
          <cell r="K23" t="str">
            <v>LD Europallet + SSCC</v>
          </cell>
          <cell r="L23">
            <v>6</v>
          </cell>
          <cell r="M23" t="str">
            <v>10289633/01</v>
          </cell>
          <cell r="N23">
            <v>1</v>
          </cell>
          <cell r="O23">
            <v>42920</v>
          </cell>
        </row>
        <row r="24">
          <cell r="A24">
            <v>475502</v>
          </cell>
          <cell r="B24" t="str">
            <v>475502 - 1</v>
          </cell>
          <cell r="C24">
            <v>2499</v>
          </cell>
          <cell r="D24" t="str">
            <v>HAVI LOGISTICS GMBH</v>
          </cell>
          <cell r="E24" t="str">
            <v>Hochstrasse 179</v>
          </cell>
          <cell r="F24" t="str">
            <v>47228</v>
          </cell>
          <cell r="G24" t="str">
            <v>Duisburg Germany</v>
          </cell>
          <cell r="H24">
            <v>13</v>
          </cell>
          <cell r="I24" t="str">
            <v>Hendrikx Transport Service</v>
          </cell>
          <cell r="J24">
            <v>20</v>
          </cell>
          <cell r="K24" t="str">
            <v>LD Europallet + SSCC</v>
          </cell>
          <cell r="L24">
            <v>4</v>
          </cell>
          <cell r="M24" t="str">
            <v>10289632/01</v>
          </cell>
          <cell r="N24">
            <v>1</v>
          </cell>
          <cell r="O24">
            <v>42920</v>
          </cell>
        </row>
        <row r="25">
          <cell r="A25">
            <v>475506</v>
          </cell>
          <cell r="B25" t="str">
            <v>475506 - 1</v>
          </cell>
          <cell r="C25">
            <v>2499</v>
          </cell>
          <cell r="D25" t="str">
            <v>HAVI LOGISTICS GMBH</v>
          </cell>
          <cell r="E25" t="str">
            <v>Hochstrasse 179</v>
          </cell>
          <cell r="F25" t="str">
            <v>47228</v>
          </cell>
          <cell r="G25" t="str">
            <v>Duisburg Germany</v>
          </cell>
          <cell r="H25">
            <v>13</v>
          </cell>
          <cell r="I25" t="str">
            <v>Hendrikx Transport Service</v>
          </cell>
          <cell r="J25">
            <v>20</v>
          </cell>
          <cell r="K25" t="str">
            <v>LD Europallet + SSCC</v>
          </cell>
          <cell r="L25">
            <v>4</v>
          </cell>
          <cell r="M25" t="str">
            <v>10289638/01</v>
          </cell>
          <cell r="N25">
            <v>1</v>
          </cell>
          <cell r="O25">
            <v>42920</v>
          </cell>
        </row>
        <row r="26">
          <cell r="A26">
            <v>475507</v>
          </cell>
          <cell r="B26" t="str">
            <v>475507 - 1</v>
          </cell>
          <cell r="C26">
            <v>2499</v>
          </cell>
          <cell r="D26" t="str">
            <v>HAVI LOGISTICS GMBH</v>
          </cell>
          <cell r="E26" t="str">
            <v>Hochstrasse 179</v>
          </cell>
          <cell r="F26" t="str">
            <v>47228</v>
          </cell>
          <cell r="G26" t="str">
            <v>Duisburg Germany</v>
          </cell>
          <cell r="H26">
            <v>13</v>
          </cell>
          <cell r="I26" t="str">
            <v>Hendrikx Transport Service</v>
          </cell>
          <cell r="J26">
            <v>20</v>
          </cell>
          <cell r="K26" t="str">
            <v>LD Europallet + SSCC</v>
          </cell>
          <cell r="L26">
            <v>1</v>
          </cell>
          <cell r="M26" t="str">
            <v>10289650/01</v>
          </cell>
          <cell r="N26">
            <v>1</v>
          </cell>
          <cell r="O26">
            <v>42920</v>
          </cell>
        </row>
        <row r="27">
          <cell r="A27">
            <v>475508</v>
          </cell>
          <cell r="B27" t="str">
            <v>475508 - 1</v>
          </cell>
          <cell r="C27">
            <v>2499</v>
          </cell>
          <cell r="D27" t="str">
            <v>HAVI LOGISTICS GMBH</v>
          </cell>
          <cell r="E27" t="str">
            <v>Hochstrasse 179</v>
          </cell>
          <cell r="F27" t="str">
            <v>47228</v>
          </cell>
          <cell r="G27" t="str">
            <v>Duisburg Germany</v>
          </cell>
          <cell r="H27">
            <v>13</v>
          </cell>
          <cell r="I27" t="str">
            <v>Hendrikx Transport Service</v>
          </cell>
          <cell r="J27">
            <v>20</v>
          </cell>
          <cell r="K27" t="str">
            <v>LD Europallet + SSCC</v>
          </cell>
          <cell r="L27">
            <v>1</v>
          </cell>
          <cell r="M27" t="str">
            <v>10289649/01</v>
          </cell>
          <cell r="N27">
            <v>1</v>
          </cell>
          <cell r="O27">
            <v>42920</v>
          </cell>
        </row>
        <row r="28">
          <cell r="A28">
            <v>475509</v>
          </cell>
          <cell r="B28" t="str">
            <v>475509 - 1</v>
          </cell>
          <cell r="C28">
            <v>2499</v>
          </cell>
          <cell r="D28" t="str">
            <v>HAVI LOGISTICS GMBH</v>
          </cell>
          <cell r="E28" t="str">
            <v>Hochstrasse 179</v>
          </cell>
          <cell r="F28" t="str">
            <v>47228</v>
          </cell>
          <cell r="G28" t="str">
            <v>Duisburg Germany</v>
          </cell>
          <cell r="H28">
            <v>13</v>
          </cell>
          <cell r="I28" t="str">
            <v>Hendrikx Transport Service</v>
          </cell>
          <cell r="J28">
            <v>20</v>
          </cell>
          <cell r="K28" t="str">
            <v>LD Europallet + SSCC</v>
          </cell>
          <cell r="L28">
            <v>1</v>
          </cell>
          <cell r="M28" t="str">
            <v>10289648/01</v>
          </cell>
          <cell r="N28">
            <v>1</v>
          </cell>
          <cell r="O28">
            <v>42920</v>
          </cell>
        </row>
        <row r="29">
          <cell r="A29">
            <v>475510</v>
          </cell>
          <cell r="B29" t="str">
            <v>475510 - 1</v>
          </cell>
          <cell r="C29">
            <v>2499</v>
          </cell>
          <cell r="D29" t="str">
            <v>HAVI LOGISTICS GMBH</v>
          </cell>
          <cell r="E29" t="str">
            <v>Hochstrasse 179</v>
          </cell>
          <cell r="F29" t="str">
            <v>47228</v>
          </cell>
          <cell r="G29" t="str">
            <v>Duisburg Germany</v>
          </cell>
          <cell r="H29">
            <v>13</v>
          </cell>
          <cell r="I29" t="str">
            <v>Hendrikx Transport Service</v>
          </cell>
          <cell r="J29">
            <v>20</v>
          </cell>
          <cell r="K29" t="str">
            <v>LD Europallet + SSCC</v>
          </cell>
          <cell r="L29">
            <v>1</v>
          </cell>
          <cell r="M29" t="str">
            <v>10289647/01</v>
          </cell>
          <cell r="N29">
            <v>1</v>
          </cell>
          <cell r="O29">
            <v>42920</v>
          </cell>
        </row>
        <row r="30">
          <cell r="A30">
            <v>475511</v>
          </cell>
          <cell r="B30" t="str">
            <v>475511 - 1</v>
          </cell>
          <cell r="C30">
            <v>2499</v>
          </cell>
          <cell r="D30" t="str">
            <v>HAVI LOGISTICS GMBH</v>
          </cell>
          <cell r="E30" t="str">
            <v>Hochstrasse 179</v>
          </cell>
          <cell r="F30" t="str">
            <v>47228</v>
          </cell>
          <cell r="G30" t="str">
            <v>Duisburg Germany</v>
          </cell>
          <cell r="H30">
            <v>13</v>
          </cell>
          <cell r="I30" t="str">
            <v>Hendrikx Transport Service</v>
          </cell>
          <cell r="J30">
            <v>20</v>
          </cell>
          <cell r="K30" t="str">
            <v>LD Europallet + SSCC</v>
          </cell>
          <cell r="L30">
            <v>1</v>
          </cell>
          <cell r="M30" t="str">
            <v>10289645/01</v>
          </cell>
          <cell r="N30">
            <v>1</v>
          </cell>
          <cell r="O30">
            <v>42920</v>
          </cell>
        </row>
        <row r="31">
          <cell r="A31">
            <v>475512</v>
          </cell>
          <cell r="B31" t="str">
            <v>475512 - 1</v>
          </cell>
          <cell r="C31">
            <v>2499</v>
          </cell>
          <cell r="D31" t="str">
            <v>HAVI LOGISTICS GMBH</v>
          </cell>
          <cell r="E31" t="str">
            <v>Hochstrasse 179</v>
          </cell>
          <cell r="F31" t="str">
            <v>47228</v>
          </cell>
          <cell r="G31" t="str">
            <v>Duisburg Germany</v>
          </cell>
          <cell r="H31">
            <v>13</v>
          </cell>
          <cell r="I31" t="str">
            <v>Hendrikx Transport Service</v>
          </cell>
          <cell r="J31">
            <v>20</v>
          </cell>
          <cell r="K31" t="str">
            <v>LD Europallet + SSCC</v>
          </cell>
          <cell r="L31">
            <v>1</v>
          </cell>
          <cell r="M31" t="str">
            <v>10289644/01</v>
          </cell>
          <cell r="N31">
            <v>1</v>
          </cell>
          <cell r="O31">
            <v>42920</v>
          </cell>
        </row>
        <row r="32">
          <cell r="A32">
            <v>475513</v>
          </cell>
          <cell r="B32" t="str">
            <v>475513 - 1</v>
          </cell>
          <cell r="C32">
            <v>2499</v>
          </cell>
          <cell r="D32" t="str">
            <v>HAVI LOGISTICS GMBH</v>
          </cell>
          <cell r="E32" t="str">
            <v>Hochstrasse 179</v>
          </cell>
          <cell r="F32" t="str">
            <v>47228</v>
          </cell>
          <cell r="G32" t="str">
            <v>Duisburg Germany</v>
          </cell>
          <cell r="H32">
            <v>13</v>
          </cell>
          <cell r="I32" t="str">
            <v>Hendrikx Transport Service</v>
          </cell>
          <cell r="J32">
            <v>20</v>
          </cell>
          <cell r="K32" t="str">
            <v>LD Europallet + SSCC</v>
          </cell>
          <cell r="L32">
            <v>1</v>
          </cell>
          <cell r="M32" t="str">
            <v>10289642/01</v>
          </cell>
          <cell r="N32">
            <v>1</v>
          </cell>
          <cell r="O32">
            <v>42920</v>
          </cell>
        </row>
        <row r="33">
          <cell r="A33">
            <v>475514</v>
          </cell>
          <cell r="B33" t="str">
            <v>475514 - 1</v>
          </cell>
          <cell r="C33">
            <v>2466</v>
          </cell>
          <cell r="D33" t="str">
            <v>HAVI BELGIUM</v>
          </cell>
          <cell r="E33" t="str">
            <v>Lammerdries-Oost 32</v>
          </cell>
          <cell r="F33" t="str">
            <v>2250</v>
          </cell>
          <cell r="G33" t="str">
            <v>Olen - Belgie</v>
          </cell>
          <cell r="H33">
            <v>1</v>
          </cell>
          <cell r="I33" t="str">
            <v>Hessing Logistiek</v>
          </cell>
          <cell r="J33">
            <v>70</v>
          </cell>
          <cell r="K33" t="str">
            <v>LD Chep pallet 120x80 + SSCC</v>
          </cell>
          <cell r="L33">
            <v>1</v>
          </cell>
          <cell r="M33" t="str">
            <v>99114227/01</v>
          </cell>
          <cell r="N33">
            <v>1</v>
          </cell>
          <cell r="O33">
            <v>42921</v>
          </cell>
        </row>
        <row r="34">
          <cell r="A34">
            <v>476455</v>
          </cell>
          <cell r="B34" t="str">
            <v>476455 - 1</v>
          </cell>
          <cell r="C34">
            <v>6007</v>
          </cell>
          <cell r="D34" t="str">
            <v>COLRUYT MAGAZIJN DASSENVELD F4</v>
          </cell>
          <cell r="E34" t="str">
            <v>Zinkstraat 4</v>
          </cell>
          <cell r="F34" t="str">
            <v>1500</v>
          </cell>
          <cell r="G34" t="str">
            <v>B-Halle  Belgie</v>
          </cell>
          <cell r="H34">
            <v>1</v>
          </cell>
          <cell r="I34" t="str">
            <v>Hessing Logistiek</v>
          </cell>
          <cell r="J34">
            <v>70</v>
          </cell>
          <cell r="K34" t="str">
            <v>LD Chep pallet 120x80 + SSCC</v>
          </cell>
          <cell r="L34">
            <v>22</v>
          </cell>
          <cell r="M34" t="str">
            <v>POF2462283</v>
          </cell>
          <cell r="N34">
            <v>1</v>
          </cell>
          <cell r="O34">
            <v>42917</v>
          </cell>
        </row>
        <row r="35">
          <cell r="A35">
            <v>476455</v>
          </cell>
          <cell r="B35" t="str">
            <v>476455 - 2</v>
          </cell>
          <cell r="C35">
            <v>6007</v>
          </cell>
          <cell r="D35" t="str">
            <v>COLRUYT MAGAZIJN DASSENVELD F4</v>
          </cell>
          <cell r="E35" t="str">
            <v>Zinkstraat 4</v>
          </cell>
          <cell r="F35" t="str">
            <v>1500</v>
          </cell>
          <cell r="G35" t="str">
            <v>B-Halle  Belgie</v>
          </cell>
          <cell r="H35">
            <v>1</v>
          </cell>
          <cell r="I35" t="str">
            <v>Hessing Logistiek</v>
          </cell>
          <cell r="J35">
            <v>95</v>
          </cell>
          <cell r="K35" t="str">
            <v>Doos</v>
          </cell>
          <cell r="L35">
            <v>1596</v>
          </cell>
          <cell r="M35" t="str">
            <v>POF2462283</v>
          </cell>
          <cell r="N35">
            <v>1</v>
          </cell>
          <cell r="O35">
            <v>42917</v>
          </cell>
        </row>
        <row r="36">
          <cell r="A36">
            <v>476470</v>
          </cell>
          <cell r="B36" t="str">
            <v>476470 - 1</v>
          </cell>
          <cell r="C36">
            <v>2463</v>
          </cell>
          <cell r="D36" t="str">
            <v>LSG SKY CHEFS NV</v>
          </cell>
          <cell r="E36" t="str">
            <v>Brussel National Airport</v>
          </cell>
          <cell r="F36" t="str">
            <v>1930</v>
          </cell>
          <cell r="G36" t="str">
            <v>ZAVENTEM Belgium</v>
          </cell>
          <cell r="H36">
            <v>1</v>
          </cell>
          <cell r="I36" t="str">
            <v>Hessing Logistiek</v>
          </cell>
          <cell r="J36">
            <v>5</v>
          </cell>
          <cell r="K36" t="str">
            <v>EPS 11 laag (60/40/11)</v>
          </cell>
          <cell r="L36">
            <v>41</v>
          </cell>
          <cell r="M36" t="str">
            <v>45058560554505856053</v>
          </cell>
          <cell r="N36">
            <v>1</v>
          </cell>
          <cell r="O36">
            <v>42917</v>
          </cell>
        </row>
        <row r="37">
          <cell r="A37">
            <v>476490</v>
          </cell>
          <cell r="B37" t="str">
            <v>476490 - 1</v>
          </cell>
          <cell r="C37">
            <v>1728</v>
          </cell>
          <cell r="D37" t="str">
            <v>SMESHING BV</v>
          </cell>
          <cell r="E37" t="str">
            <v>De Wissel 78</v>
          </cell>
          <cell r="F37" t="str">
            <v>9076 PT</v>
          </cell>
          <cell r="G37" t="str">
            <v>ST ANNA PAROCHIE</v>
          </cell>
          <cell r="H37">
            <v>1</v>
          </cell>
          <cell r="I37" t="str">
            <v>Hessing Logistiek</v>
          </cell>
          <cell r="J37">
            <v>26</v>
          </cell>
          <cell r="K37" t="str">
            <v>LD LPR Pallet 120*100</v>
          </cell>
          <cell r="L37">
            <v>11</v>
          </cell>
          <cell r="M37" t="str">
            <v>045244</v>
          </cell>
          <cell r="N37">
            <v>1</v>
          </cell>
          <cell r="O37">
            <v>42917</v>
          </cell>
        </row>
        <row r="38">
          <cell r="A38">
            <v>476490</v>
          </cell>
          <cell r="B38" t="str">
            <v>476490 - 2</v>
          </cell>
          <cell r="C38">
            <v>1728</v>
          </cell>
          <cell r="D38" t="str">
            <v>SMESHING BV</v>
          </cell>
          <cell r="E38" t="str">
            <v>De Wissel 78</v>
          </cell>
          <cell r="F38" t="str">
            <v>9076 PT</v>
          </cell>
          <cell r="G38" t="str">
            <v>ST ANNA PAROCHIE</v>
          </cell>
          <cell r="H38">
            <v>1</v>
          </cell>
          <cell r="I38" t="str">
            <v>Hessing Logistiek</v>
          </cell>
          <cell r="J38">
            <v>212</v>
          </cell>
          <cell r="K38" t="str">
            <v>FL Deli XL Groen laag</v>
          </cell>
          <cell r="L38">
            <v>186</v>
          </cell>
          <cell r="M38" t="str">
            <v>045244</v>
          </cell>
          <cell r="N38">
            <v>1</v>
          </cell>
          <cell r="O38">
            <v>42917</v>
          </cell>
        </row>
        <row r="39">
          <cell r="A39">
            <v>476490</v>
          </cell>
          <cell r="B39" t="str">
            <v>476490 - 3</v>
          </cell>
          <cell r="C39">
            <v>1728</v>
          </cell>
          <cell r="D39" t="str">
            <v>SMESHING BV</v>
          </cell>
          <cell r="E39" t="str">
            <v>De Wissel 78</v>
          </cell>
          <cell r="F39" t="str">
            <v>9076 PT</v>
          </cell>
          <cell r="G39" t="str">
            <v>ST ANNA PAROCHIE</v>
          </cell>
          <cell r="H39">
            <v>1</v>
          </cell>
          <cell r="I39" t="str">
            <v>Hessing Logistiek</v>
          </cell>
          <cell r="J39">
            <v>213</v>
          </cell>
          <cell r="K39" t="str">
            <v>FL Deli XL Groen hoog</v>
          </cell>
          <cell r="L39">
            <v>22</v>
          </cell>
          <cell r="M39" t="str">
            <v>045244</v>
          </cell>
          <cell r="N39">
            <v>1</v>
          </cell>
          <cell r="O39">
            <v>42917</v>
          </cell>
        </row>
        <row r="40">
          <cell r="A40">
            <v>476500</v>
          </cell>
          <cell r="B40" t="str">
            <v>476500 - 1</v>
          </cell>
          <cell r="C40">
            <v>2469</v>
          </cell>
          <cell r="D40" t="str">
            <v>HAVI LOGISTICS BV</v>
          </cell>
          <cell r="E40" t="str">
            <v/>
          </cell>
          <cell r="F40" t="str">
            <v/>
          </cell>
          <cell r="G40" t="str">
            <v>Amersfoort</v>
          </cell>
          <cell r="H40">
            <v>1</v>
          </cell>
          <cell r="I40" t="str">
            <v>Hessing Logistiek</v>
          </cell>
          <cell r="J40">
            <v>70</v>
          </cell>
          <cell r="K40" t="str">
            <v>LD Chep pallet 120x80 + SSCC</v>
          </cell>
          <cell r="L40">
            <v>12</v>
          </cell>
          <cell r="M40" t="str">
            <v>99284803/1</v>
          </cell>
          <cell r="N40">
            <v>1</v>
          </cell>
          <cell r="O40">
            <v>42917</v>
          </cell>
        </row>
        <row r="41">
          <cell r="A41">
            <v>476500</v>
          </cell>
          <cell r="B41" t="str">
            <v>476500 - 2</v>
          </cell>
          <cell r="C41">
            <v>2469</v>
          </cell>
          <cell r="D41" t="str">
            <v>HAVI LOGISTICS BV</v>
          </cell>
          <cell r="E41" t="str">
            <v/>
          </cell>
          <cell r="F41" t="str">
            <v/>
          </cell>
          <cell r="G41" t="str">
            <v>Amersfoort</v>
          </cell>
          <cell r="H41">
            <v>1</v>
          </cell>
          <cell r="I41" t="str">
            <v>Hessing Logistiek</v>
          </cell>
          <cell r="J41">
            <v>95</v>
          </cell>
          <cell r="K41" t="str">
            <v>Doos</v>
          </cell>
          <cell r="L41">
            <v>1188</v>
          </cell>
          <cell r="M41" t="str">
            <v>99284803/1</v>
          </cell>
          <cell r="N41">
            <v>1</v>
          </cell>
          <cell r="O41">
            <v>42917</v>
          </cell>
        </row>
        <row r="42">
          <cell r="A42">
            <v>476503</v>
          </cell>
          <cell r="B42" t="str">
            <v>476503 - 1</v>
          </cell>
          <cell r="C42">
            <v>2466</v>
          </cell>
          <cell r="D42" t="str">
            <v>HAVI BELGIUM</v>
          </cell>
          <cell r="E42" t="str">
            <v>Lammerdries-Oost 32</v>
          </cell>
          <cell r="F42" t="str">
            <v>2250</v>
          </cell>
          <cell r="G42" t="str">
            <v>Olen - Belgie</v>
          </cell>
          <cell r="H42">
            <v>1</v>
          </cell>
          <cell r="I42" t="str">
            <v>Hessing Logistiek</v>
          </cell>
          <cell r="J42">
            <v>70</v>
          </cell>
          <cell r="K42" t="str">
            <v>LD Chep pallet 120x80 + SSCC</v>
          </cell>
          <cell r="L42">
            <v>1</v>
          </cell>
          <cell r="M42" t="str">
            <v>99114464/02</v>
          </cell>
          <cell r="N42">
            <v>1</v>
          </cell>
          <cell r="O42">
            <v>42917</v>
          </cell>
        </row>
        <row r="43">
          <cell r="A43">
            <v>476503</v>
          </cell>
          <cell r="B43" t="str">
            <v>476503 - 2</v>
          </cell>
          <cell r="C43">
            <v>2466</v>
          </cell>
          <cell r="D43" t="str">
            <v>HAVI BELGIUM</v>
          </cell>
          <cell r="E43" t="str">
            <v>Lammerdries-Oost 32</v>
          </cell>
          <cell r="F43" t="str">
            <v>2250</v>
          </cell>
          <cell r="G43" t="str">
            <v>Olen - Belgie</v>
          </cell>
          <cell r="H43">
            <v>1</v>
          </cell>
          <cell r="I43" t="str">
            <v>Hessing Logistiek</v>
          </cell>
          <cell r="J43">
            <v>95</v>
          </cell>
          <cell r="K43" t="str">
            <v>Doos</v>
          </cell>
          <cell r="L43">
            <v>120</v>
          </cell>
          <cell r="M43" t="str">
            <v>99114464/02</v>
          </cell>
          <cell r="N43">
            <v>1</v>
          </cell>
          <cell r="O43">
            <v>42917</v>
          </cell>
        </row>
        <row r="44">
          <cell r="A44">
            <v>476504</v>
          </cell>
          <cell r="B44" t="str">
            <v>476504 - 1</v>
          </cell>
          <cell r="C44">
            <v>429</v>
          </cell>
          <cell r="D44" t="str">
            <v>SMEDING GROOTHANDEL</v>
          </cell>
          <cell r="E44" t="str">
            <v>Adres</v>
          </cell>
          <cell r="F44" t="str">
            <v>1</v>
          </cell>
          <cell r="G44" t="str">
            <v>St Anna Parochie</v>
          </cell>
          <cell r="H44">
            <v>1</v>
          </cell>
          <cell r="I44" t="str">
            <v>Hessing Logistiek</v>
          </cell>
          <cell r="J44">
            <v>31</v>
          </cell>
          <cell r="K44" t="str">
            <v>LD LPR Pallet 120*100 + SSCC</v>
          </cell>
          <cell r="L44">
            <v>18</v>
          </cell>
          <cell r="M44" t="str">
            <v>41446675</v>
          </cell>
          <cell r="N44">
            <v>1</v>
          </cell>
          <cell r="O44">
            <v>42917</v>
          </cell>
        </row>
        <row r="45">
          <cell r="A45">
            <v>476504</v>
          </cell>
          <cell r="B45" t="str">
            <v>476504 - 2</v>
          </cell>
          <cell r="C45">
            <v>429</v>
          </cell>
          <cell r="D45" t="str">
            <v>SMEDING GROOTHANDEL</v>
          </cell>
          <cell r="E45" t="str">
            <v>Adres</v>
          </cell>
          <cell r="F45" t="str">
            <v>1</v>
          </cell>
          <cell r="G45" t="str">
            <v>St Anna Parochie</v>
          </cell>
          <cell r="H45">
            <v>1</v>
          </cell>
          <cell r="I45" t="str">
            <v>Hessing Logistiek</v>
          </cell>
          <cell r="J45">
            <v>98</v>
          </cell>
          <cell r="K45" t="str">
            <v>Dummy container t.b.v. SSCC</v>
          </cell>
          <cell r="L45">
            <v>6</v>
          </cell>
          <cell r="M45" t="str">
            <v>41446675</v>
          </cell>
          <cell r="N45">
            <v>1</v>
          </cell>
          <cell r="O45">
            <v>42917</v>
          </cell>
        </row>
        <row r="46">
          <cell r="A46">
            <v>476504</v>
          </cell>
          <cell r="B46" t="str">
            <v>476504 - 3</v>
          </cell>
          <cell r="C46">
            <v>429</v>
          </cell>
          <cell r="D46" t="str">
            <v>SMEDING GROOTHANDEL</v>
          </cell>
          <cell r="E46" t="str">
            <v>Adres</v>
          </cell>
          <cell r="F46" t="str">
            <v>1</v>
          </cell>
          <cell r="G46" t="str">
            <v>St Anna Parochie</v>
          </cell>
          <cell r="H46">
            <v>1</v>
          </cell>
          <cell r="I46" t="str">
            <v>Hessing Logistiek</v>
          </cell>
          <cell r="J46">
            <v>241</v>
          </cell>
          <cell r="K46" t="str">
            <v>15404 KF EPS Zwart 40x30x15</v>
          </cell>
          <cell r="L46">
            <v>37</v>
          </cell>
          <cell r="M46" t="str">
            <v>41446675</v>
          </cell>
          <cell r="N46">
            <v>1</v>
          </cell>
          <cell r="O46">
            <v>42917</v>
          </cell>
        </row>
        <row r="47">
          <cell r="A47">
            <v>476504</v>
          </cell>
          <cell r="B47" t="str">
            <v>476504 - 4</v>
          </cell>
          <cell r="C47">
            <v>429</v>
          </cell>
          <cell r="D47" t="str">
            <v>SMEDING GROOTHANDEL</v>
          </cell>
          <cell r="E47" t="str">
            <v>Adres</v>
          </cell>
          <cell r="F47" t="str">
            <v>1</v>
          </cell>
          <cell r="G47" t="str">
            <v>St Anna Parochie</v>
          </cell>
          <cell r="H47">
            <v>1</v>
          </cell>
          <cell r="I47" t="str">
            <v>Hessing Logistiek</v>
          </cell>
          <cell r="J47">
            <v>244</v>
          </cell>
          <cell r="K47" t="str">
            <v>18604 KF EPS Zwart 60x40x18</v>
          </cell>
          <cell r="L47">
            <v>306</v>
          </cell>
          <cell r="M47" t="str">
            <v>41446675</v>
          </cell>
          <cell r="N47">
            <v>1</v>
          </cell>
          <cell r="O47">
            <v>42917</v>
          </cell>
        </row>
        <row r="48">
          <cell r="A48">
            <v>476506</v>
          </cell>
          <cell r="B48" t="str">
            <v>476506 - 1</v>
          </cell>
          <cell r="C48">
            <v>2466</v>
          </cell>
          <cell r="D48" t="str">
            <v>HAVI BELGIUM</v>
          </cell>
          <cell r="E48" t="str">
            <v>Lammerdries-Oost 32</v>
          </cell>
          <cell r="F48" t="str">
            <v>2250</v>
          </cell>
          <cell r="G48" t="str">
            <v>Olen - Belgie</v>
          </cell>
          <cell r="H48">
            <v>1</v>
          </cell>
          <cell r="I48" t="str">
            <v>Hessing Logistiek</v>
          </cell>
          <cell r="J48">
            <v>70</v>
          </cell>
          <cell r="K48" t="str">
            <v>LD Chep pallet 120x80 + SSCC</v>
          </cell>
          <cell r="L48">
            <v>8</v>
          </cell>
          <cell r="M48" t="str">
            <v>99114463/01</v>
          </cell>
          <cell r="N48">
            <v>1</v>
          </cell>
          <cell r="O48">
            <v>42917</v>
          </cell>
        </row>
        <row r="49">
          <cell r="A49">
            <v>476506</v>
          </cell>
          <cell r="B49" t="str">
            <v>476506 - 2</v>
          </cell>
          <cell r="C49">
            <v>2466</v>
          </cell>
          <cell r="D49" t="str">
            <v>HAVI BELGIUM</v>
          </cell>
          <cell r="E49" t="str">
            <v>Lammerdries-Oost 32</v>
          </cell>
          <cell r="F49" t="str">
            <v>2250</v>
          </cell>
          <cell r="G49" t="str">
            <v>Olen - Belgie</v>
          </cell>
          <cell r="H49">
            <v>1</v>
          </cell>
          <cell r="I49" t="str">
            <v>Hessing Logistiek</v>
          </cell>
          <cell r="J49">
            <v>95</v>
          </cell>
          <cell r="K49" t="str">
            <v>Doos</v>
          </cell>
          <cell r="L49">
            <v>520</v>
          </cell>
          <cell r="M49" t="str">
            <v>99114463/01</v>
          </cell>
          <cell r="N49">
            <v>1</v>
          </cell>
          <cell r="O49">
            <v>42917</v>
          </cell>
        </row>
        <row r="50">
          <cell r="A50">
            <v>476508</v>
          </cell>
          <cell r="B50" t="str">
            <v>476508 - 1</v>
          </cell>
          <cell r="C50">
            <v>2469</v>
          </cell>
          <cell r="D50" t="str">
            <v>HAVI LOGISTICS BV</v>
          </cell>
          <cell r="E50" t="str">
            <v/>
          </cell>
          <cell r="F50" t="str">
            <v/>
          </cell>
          <cell r="G50" t="str">
            <v>Amersfoort</v>
          </cell>
          <cell r="H50">
            <v>1</v>
          </cell>
          <cell r="I50" t="str">
            <v>Hessing Logistiek</v>
          </cell>
          <cell r="J50">
            <v>95</v>
          </cell>
          <cell r="K50" t="str">
            <v>Doos</v>
          </cell>
          <cell r="L50">
            <v>33</v>
          </cell>
          <cell r="M50" t="str">
            <v>99284789/1</v>
          </cell>
          <cell r="N50">
            <v>1</v>
          </cell>
          <cell r="O50">
            <v>42917</v>
          </cell>
        </row>
        <row r="51">
          <cell r="A51">
            <v>476508</v>
          </cell>
          <cell r="B51" t="str">
            <v>476508 - 2</v>
          </cell>
          <cell r="C51">
            <v>2469</v>
          </cell>
          <cell r="D51" t="str">
            <v>HAVI LOGISTICS BV</v>
          </cell>
          <cell r="E51" t="str">
            <v/>
          </cell>
          <cell r="F51" t="str">
            <v/>
          </cell>
          <cell r="G51" t="str">
            <v>Amersfoort</v>
          </cell>
          <cell r="H51">
            <v>1</v>
          </cell>
          <cell r="I51" t="str">
            <v>Hessing Logistiek</v>
          </cell>
          <cell r="J51">
            <v>157</v>
          </cell>
          <cell r="K51" t="str">
            <v>LD Havi Rolcontainer</v>
          </cell>
          <cell r="L51">
            <v>2</v>
          </cell>
          <cell r="M51" t="str">
            <v>99284789/1</v>
          </cell>
          <cell r="N51">
            <v>1</v>
          </cell>
          <cell r="O51">
            <v>42917</v>
          </cell>
        </row>
        <row r="52">
          <cell r="A52">
            <v>476509</v>
          </cell>
          <cell r="B52" t="str">
            <v>476509 - 1</v>
          </cell>
          <cell r="C52">
            <v>8999</v>
          </cell>
          <cell r="D52" t="str">
            <v>HESSING ZWAAGDIJK BV</v>
          </cell>
          <cell r="E52" t="str">
            <v>Nieuwmarkt 8</v>
          </cell>
          <cell r="F52" t="str">
            <v>1681 NP</v>
          </cell>
          <cell r="G52" t="str">
            <v>WERVERSHOOF</v>
          </cell>
          <cell r="H52">
            <v>1</v>
          </cell>
          <cell r="I52" t="str">
            <v>Hessing Logistiek</v>
          </cell>
          <cell r="J52">
            <v>1</v>
          </cell>
          <cell r="K52" t="str">
            <v>CBL11 60/40/11 zwart</v>
          </cell>
          <cell r="L52">
            <v>90</v>
          </cell>
          <cell r="M52" t="str">
            <v>447629</v>
          </cell>
          <cell r="N52">
            <v>1</v>
          </cell>
          <cell r="O52">
            <v>42917</v>
          </cell>
        </row>
        <row r="53">
          <cell r="A53">
            <v>476509</v>
          </cell>
          <cell r="B53" t="str">
            <v>476509 - 2</v>
          </cell>
          <cell r="C53">
            <v>8999</v>
          </cell>
          <cell r="D53" t="str">
            <v>HESSING ZWAAGDIJK BV</v>
          </cell>
          <cell r="E53" t="str">
            <v>Nieuwmarkt 8</v>
          </cell>
          <cell r="F53" t="str">
            <v>1681 NP</v>
          </cell>
          <cell r="G53" t="str">
            <v>WERVERSHOOF</v>
          </cell>
          <cell r="H53">
            <v>1</v>
          </cell>
          <cell r="I53" t="str">
            <v>Hessing Logistiek</v>
          </cell>
          <cell r="J53">
            <v>26</v>
          </cell>
          <cell r="K53" t="str">
            <v>LD LPR Pallet 120*100</v>
          </cell>
          <cell r="L53">
            <v>1</v>
          </cell>
          <cell r="M53" t="str">
            <v>447629</v>
          </cell>
          <cell r="N53">
            <v>1</v>
          </cell>
          <cell r="O53">
            <v>42917</v>
          </cell>
        </row>
        <row r="54">
          <cell r="A54">
            <v>476528</v>
          </cell>
          <cell r="B54" t="str">
            <v>476528 - 1</v>
          </cell>
          <cell r="C54">
            <v>2463</v>
          </cell>
          <cell r="D54" t="str">
            <v>LSG SKY CHEFS NV</v>
          </cell>
          <cell r="E54" t="str">
            <v>Brussel National Airport</v>
          </cell>
          <cell r="F54" t="str">
            <v>1930</v>
          </cell>
          <cell r="G54" t="str">
            <v>ZAVENTEM Belgium</v>
          </cell>
          <cell r="H54">
            <v>1</v>
          </cell>
          <cell r="I54" t="str">
            <v>Hessing Logistiek</v>
          </cell>
          <cell r="J54">
            <v>5</v>
          </cell>
          <cell r="K54" t="str">
            <v>EPS 11 laag (60/40/11)</v>
          </cell>
          <cell r="L54">
            <v>2</v>
          </cell>
          <cell r="M54" t="str">
            <v>45058564964505856493</v>
          </cell>
          <cell r="N54">
            <v>1</v>
          </cell>
          <cell r="O54">
            <v>42917</v>
          </cell>
        </row>
        <row r="55">
          <cell r="A55">
            <v>476532</v>
          </cell>
          <cell r="B55" t="str">
            <v>476532 - 1</v>
          </cell>
          <cell r="C55">
            <v>2501</v>
          </cell>
          <cell r="D55" t="str">
            <v>PETER VAN HALDER BV</v>
          </cell>
          <cell r="E55" t="str">
            <v>Hedikhuizerweg 31</v>
          </cell>
          <cell r="F55" t="str">
            <v>5222 BC</v>
          </cell>
          <cell r="G55" t="str">
            <v>Den Bosch</v>
          </cell>
          <cell r="H55">
            <v>1</v>
          </cell>
          <cell r="I55" t="str">
            <v>Hessing Logistiek</v>
          </cell>
          <cell r="J55">
            <v>3</v>
          </cell>
          <cell r="K55" t="str">
            <v>CBL23 60/40/23 zwart</v>
          </cell>
          <cell r="L55">
            <v>17</v>
          </cell>
          <cell r="M55" t="str">
            <v>20156</v>
          </cell>
          <cell r="N55">
            <v>1</v>
          </cell>
          <cell r="O55">
            <v>42917</v>
          </cell>
        </row>
        <row r="56">
          <cell r="A56">
            <v>476532</v>
          </cell>
          <cell r="B56" t="str">
            <v>476532 - 2</v>
          </cell>
          <cell r="C56">
            <v>2501</v>
          </cell>
          <cell r="D56" t="str">
            <v>PETER VAN HALDER BV</v>
          </cell>
          <cell r="E56" t="str">
            <v>Hedikhuizerweg 31</v>
          </cell>
          <cell r="F56" t="str">
            <v>5222 BC</v>
          </cell>
          <cell r="G56" t="str">
            <v>Den Bosch</v>
          </cell>
          <cell r="H56">
            <v>1</v>
          </cell>
          <cell r="I56" t="str">
            <v>Hessing Logistiek</v>
          </cell>
          <cell r="J56">
            <v>5</v>
          </cell>
          <cell r="K56" t="str">
            <v>EPS 11 laag (60/40/11)</v>
          </cell>
          <cell r="L56">
            <v>4</v>
          </cell>
          <cell r="M56" t="str">
            <v>20156</v>
          </cell>
          <cell r="N56">
            <v>1</v>
          </cell>
          <cell r="O56">
            <v>42917</v>
          </cell>
        </row>
        <row r="57">
          <cell r="A57">
            <v>476532</v>
          </cell>
          <cell r="B57" t="str">
            <v>476532 - 3</v>
          </cell>
          <cell r="C57">
            <v>2501</v>
          </cell>
          <cell r="D57" t="str">
            <v>PETER VAN HALDER BV</v>
          </cell>
          <cell r="E57" t="str">
            <v>Hedikhuizerweg 31</v>
          </cell>
          <cell r="F57" t="str">
            <v>5222 BC</v>
          </cell>
          <cell r="G57" t="str">
            <v>Den Bosch</v>
          </cell>
          <cell r="H57">
            <v>1</v>
          </cell>
          <cell r="I57" t="str">
            <v>Hessing Logistiek</v>
          </cell>
          <cell r="J57">
            <v>26</v>
          </cell>
          <cell r="K57" t="str">
            <v>LD LPR Pallet 120*100</v>
          </cell>
          <cell r="L57">
            <v>1</v>
          </cell>
          <cell r="M57" t="str">
            <v>20156</v>
          </cell>
          <cell r="N57">
            <v>1</v>
          </cell>
          <cell r="O57">
            <v>42917</v>
          </cell>
        </row>
        <row r="58">
          <cell r="A58">
            <v>476532</v>
          </cell>
          <cell r="B58" t="str">
            <v>476532 - 4</v>
          </cell>
          <cell r="C58">
            <v>2501</v>
          </cell>
          <cell r="D58" t="str">
            <v>PETER VAN HALDER BV</v>
          </cell>
          <cell r="E58" t="str">
            <v>Hedikhuizerweg 31</v>
          </cell>
          <cell r="F58" t="str">
            <v>5222 BC</v>
          </cell>
          <cell r="G58" t="str">
            <v>Den Bosch</v>
          </cell>
          <cell r="H58">
            <v>1</v>
          </cell>
          <cell r="I58" t="str">
            <v>Hessing Logistiek</v>
          </cell>
          <cell r="J58">
            <v>72</v>
          </cell>
          <cell r="K58" t="str">
            <v>EPS 23 hoog (60/40/23)</v>
          </cell>
          <cell r="L58">
            <v>1</v>
          </cell>
          <cell r="M58" t="str">
            <v>20156</v>
          </cell>
          <cell r="N58">
            <v>1</v>
          </cell>
          <cell r="O58">
            <v>42917</v>
          </cell>
        </row>
        <row r="59">
          <cell r="A59">
            <v>476540</v>
          </cell>
          <cell r="B59" t="str">
            <v>476540 - 1</v>
          </cell>
          <cell r="C59">
            <v>2499</v>
          </cell>
          <cell r="D59" t="str">
            <v>HAVI LOGISTICS GMBH</v>
          </cell>
          <cell r="E59" t="str">
            <v>Hochstrasse 179</v>
          </cell>
          <cell r="F59" t="str">
            <v>47228</v>
          </cell>
          <cell r="G59" t="str">
            <v>Duisburg Germany</v>
          </cell>
          <cell r="H59">
            <v>13</v>
          </cell>
          <cell r="I59" t="str">
            <v>Hendrikx Transport Service</v>
          </cell>
          <cell r="J59">
            <v>20</v>
          </cell>
          <cell r="K59" t="str">
            <v>LD Europallet + SSCC</v>
          </cell>
          <cell r="L59">
            <v>2</v>
          </cell>
          <cell r="M59" t="str">
            <v>10291273/01</v>
          </cell>
          <cell r="N59">
            <v>1</v>
          </cell>
          <cell r="O59">
            <v>42917</v>
          </cell>
        </row>
        <row r="60">
          <cell r="A60">
            <v>476540</v>
          </cell>
          <cell r="B60" t="str">
            <v>476540 - 2</v>
          </cell>
          <cell r="C60">
            <v>2499</v>
          </cell>
          <cell r="D60" t="str">
            <v>HAVI LOGISTICS GMBH</v>
          </cell>
          <cell r="E60" t="str">
            <v>Hochstrasse 179</v>
          </cell>
          <cell r="F60" t="str">
            <v>47228</v>
          </cell>
          <cell r="G60" t="str">
            <v>Duisburg Germany</v>
          </cell>
          <cell r="H60">
            <v>13</v>
          </cell>
          <cell r="I60" t="str">
            <v>Hendrikx Transport Service</v>
          </cell>
          <cell r="J60">
            <v>68</v>
          </cell>
          <cell r="K60" t="str">
            <v>4279 DoosAutlockMcD DE24x17x10</v>
          </cell>
          <cell r="L60">
            <v>504</v>
          </cell>
          <cell r="M60" t="str">
            <v>10291273/01</v>
          </cell>
          <cell r="N60">
            <v>1</v>
          </cell>
          <cell r="O60">
            <v>42917</v>
          </cell>
        </row>
        <row r="61">
          <cell r="A61">
            <v>476541</v>
          </cell>
          <cell r="B61" t="str">
            <v>476541 - 1</v>
          </cell>
          <cell r="C61">
            <v>2499</v>
          </cell>
          <cell r="D61" t="str">
            <v>HAVI LOGISTICS GMBH</v>
          </cell>
          <cell r="E61" t="str">
            <v>Hochstrasse 179</v>
          </cell>
          <cell r="F61" t="str">
            <v>47228</v>
          </cell>
          <cell r="G61" t="str">
            <v>Duisburg Germany</v>
          </cell>
          <cell r="H61">
            <v>13</v>
          </cell>
          <cell r="I61" t="str">
            <v>Hendrikx Transport Service</v>
          </cell>
          <cell r="J61">
            <v>20</v>
          </cell>
          <cell r="K61" t="str">
            <v>LD Europallet + SSCC</v>
          </cell>
          <cell r="L61">
            <v>2</v>
          </cell>
          <cell r="M61" t="str">
            <v>10291276/01</v>
          </cell>
          <cell r="N61">
            <v>1</v>
          </cell>
          <cell r="O61">
            <v>42917</v>
          </cell>
        </row>
        <row r="62">
          <cell r="A62">
            <v>476541</v>
          </cell>
          <cell r="B62" t="str">
            <v>476541 - 2</v>
          </cell>
          <cell r="C62">
            <v>2499</v>
          </cell>
          <cell r="D62" t="str">
            <v>HAVI LOGISTICS GMBH</v>
          </cell>
          <cell r="E62" t="str">
            <v>Hochstrasse 179</v>
          </cell>
          <cell r="F62" t="str">
            <v>47228</v>
          </cell>
          <cell r="G62" t="str">
            <v>Duisburg Germany</v>
          </cell>
          <cell r="H62">
            <v>13</v>
          </cell>
          <cell r="I62" t="str">
            <v>Hendrikx Transport Service</v>
          </cell>
          <cell r="J62">
            <v>68</v>
          </cell>
          <cell r="K62" t="str">
            <v>4279 DoosAutlockMcD DE24x17x10</v>
          </cell>
          <cell r="L62">
            <v>399</v>
          </cell>
          <cell r="M62" t="str">
            <v>10291276/01</v>
          </cell>
          <cell r="N62">
            <v>1</v>
          </cell>
          <cell r="O62">
            <v>42917</v>
          </cell>
        </row>
        <row r="63">
          <cell r="A63">
            <v>476542</v>
          </cell>
          <cell r="B63" t="str">
            <v>476542 - 1</v>
          </cell>
          <cell r="C63">
            <v>2499</v>
          </cell>
          <cell r="D63" t="str">
            <v>HAVI LOGISTICS GMBH</v>
          </cell>
          <cell r="E63" t="str">
            <v>Hochstrasse 179</v>
          </cell>
          <cell r="F63" t="str">
            <v>47228</v>
          </cell>
          <cell r="G63" t="str">
            <v>Duisburg Germany</v>
          </cell>
          <cell r="H63">
            <v>13</v>
          </cell>
          <cell r="I63" t="str">
            <v>Hendrikx Transport Service</v>
          </cell>
          <cell r="J63">
            <v>20</v>
          </cell>
          <cell r="K63" t="str">
            <v>LD Europallet + SSCC</v>
          </cell>
          <cell r="L63">
            <v>3</v>
          </cell>
          <cell r="M63" t="str">
            <v>10291270/01</v>
          </cell>
          <cell r="N63">
            <v>1</v>
          </cell>
          <cell r="O63">
            <v>42917</v>
          </cell>
        </row>
        <row r="64">
          <cell r="A64">
            <v>476542</v>
          </cell>
          <cell r="B64" t="str">
            <v>476542 - 2</v>
          </cell>
          <cell r="C64">
            <v>2499</v>
          </cell>
          <cell r="D64" t="str">
            <v>HAVI LOGISTICS GMBH</v>
          </cell>
          <cell r="E64" t="str">
            <v>Hochstrasse 179</v>
          </cell>
          <cell r="F64" t="str">
            <v>47228</v>
          </cell>
          <cell r="G64" t="str">
            <v>Duisburg Germany</v>
          </cell>
          <cell r="H64">
            <v>13</v>
          </cell>
          <cell r="I64" t="str">
            <v>Hendrikx Transport Service</v>
          </cell>
          <cell r="J64">
            <v>68</v>
          </cell>
          <cell r="K64" t="str">
            <v>4279 DoosAutlockMcD DE24x17x10</v>
          </cell>
          <cell r="L64">
            <v>693</v>
          </cell>
          <cell r="M64" t="str">
            <v>10291270/01</v>
          </cell>
          <cell r="N64">
            <v>1</v>
          </cell>
          <cell r="O64">
            <v>42917</v>
          </cell>
        </row>
        <row r="65">
          <cell r="A65">
            <v>476552</v>
          </cell>
          <cell r="B65" t="str">
            <v>476552 - 1</v>
          </cell>
          <cell r="C65">
            <v>8999</v>
          </cell>
          <cell r="D65" t="str">
            <v>HESSING ZWAAGDIJK BV</v>
          </cell>
          <cell r="E65" t="str">
            <v>Nieuwmarkt 8</v>
          </cell>
          <cell r="F65" t="str">
            <v>1681 NP</v>
          </cell>
          <cell r="G65" t="str">
            <v>WERVERSHOOF</v>
          </cell>
          <cell r="H65">
            <v>1</v>
          </cell>
          <cell r="I65" t="str">
            <v>Hessing Logistiek</v>
          </cell>
          <cell r="J65">
            <v>78</v>
          </cell>
          <cell r="K65" t="str">
            <v>LD Chep pallet 120X80</v>
          </cell>
          <cell r="L65">
            <v>2</v>
          </cell>
          <cell r="M65" t="str">
            <v>447666</v>
          </cell>
          <cell r="N65">
            <v>1</v>
          </cell>
          <cell r="O65">
            <v>42917</v>
          </cell>
        </row>
        <row r="66">
          <cell r="A66">
            <v>476552</v>
          </cell>
          <cell r="B66" t="str">
            <v>476552 - 2</v>
          </cell>
          <cell r="C66">
            <v>8999</v>
          </cell>
          <cell r="D66" t="str">
            <v>HESSING ZWAAGDIJK BV</v>
          </cell>
          <cell r="E66" t="str">
            <v>Nieuwmarkt 8</v>
          </cell>
          <cell r="F66" t="str">
            <v>1681 NP</v>
          </cell>
          <cell r="G66" t="str">
            <v>WERVERSHOOF</v>
          </cell>
          <cell r="H66">
            <v>1</v>
          </cell>
          <cell r="I66" t="str">
            <v>Hessing Logistiek</v>
          </cell>
          <cell r="J66">
            <v>95</v>
          </cell>
          <cell r="K66" t="str">
            <v>Doos</v>
          </cell>
          <cell r="L66">
            <v>55</v>
          </cell>
          <cell r="M66" t="str">
            <v>447666</v>
          </cell>
          <cell r="N66">
            <v>1</v>
          </cell>
          <cell r="O66">
            <v>42917</v>
          </cell>
        </row>
        <row r="67">
          <cell r="A67">
            <v>476557</v>
          </cell>
          <cell r="B67" t="str">
            <v>476557 - 1</v>
          </cell>
          <cell r="C67">
            <v>8999</v>
          </cell>
          <cell r="D67" t="str">
            <v>HESSING ZWAAGDIJK BV</v>
          </cell>
          <cell r="E67" t="str">
            <v>Nieuwmarkt 8</v>
          </cell>
          <cell r="F67" t="str">
            <v>1681 NP</v>
          </cell>
          <cell r="G67" t="str">
            <v>WERVERSHOOF</v>
          </cell>
          <cell r="H67">
            <v>1</v>
          </cell>
          <cell r="I67" t="str">
            <v>Hessing Logistiek</v>
          </cell>
          <cell r="J67">
            <v>26</v>
          </cell>
          <cell r="K67" t="str">
            <v>LD LPR Pallet 120*100</v>
          </cell>
          <cell r="L67">
            <v>42</v>
          </cell>
          <cell r="M67" t="str">
            <v>447669</v>
          </cell>
          <cell r="N67">
            <v>1</v>
          </cell>
          <cell r="O67">
            <v>42917</v>
          </cell>
        </row>
        <row r="68">
          <cell r="A68">
            <v>476557</v>
          </cell>
          <cell r="B68" t="str">
            <v>476557 - 2</v>
          </cell>
          <cell r="C68">
            <v>8999</v>
          </cell>
          <cell r="D68" t="str">
            <v>HESSING ZWAAGDIJK BV</v>
          </cell>
          <cell r="E68" t="str">
            <v>Nieuwmarkt 8</v>
          </cell>
          <cell r="F68" t="str">
            <v>1681 NP</v>
          </cell>
          <cell r="G68" t="str">
            <v>WERVERSHOOF</v>
          </cell>
          <cell r="H68">
            <v>1</v>
          </cell>
          <cell r="I68" t="str">
            <v>Hessing Logistiek</v>
          </cell>
          <cell r="J68">
            <v>240</v>
          </cell>
          <cell r="K68" t="str">
            <v>10404 KF EPS Zwart 40x30x10</v>
          </cell>
          <cell r="L68">
            <v>3309</v>
          </cell>
          <cell r="M68" t="str">
            <v>447669</v>
          </cell>
          <cell r="N68">
            <v>1</v>
          </cell>
          <cell r="O68">
            <v>42917</v>
          </cell>
        </row>
        <row r="69">
          <cell r="A69">
            <v>476557</v>
          </cell>
          <cell r="B69" t="str">
            <v>476557 - 3</v>
          </cell>
          <cell r="C69">
            <v>8999</v>
          </cell>
          <cell r="D69" t="str">
            <v>HESSING ZWAAGDIJK BV</v>
          </cell>
          <cell r="E69" t="str">
            <v>Nieuwmarkt 8</v>
          </cell>
          <cell r="F69" t="str">
            <v>1681 NP</v>
          </cell>
          <cell r="G69" t="str">
            <v>WERVERSHOOF</v>
          </cell>
          <cell r="H69">
            <v>1</v>
          </cell>
          <cell r="I69" t="str">
            <v>Hessing Logistiek</v>
          </cell>
          <cell r="J69">
            <v>242</v>
          </cell>
          <cell r="K69" t="str">
            <v>10604 KF EPS Zwart 60x40x10</v>
          </cell>
          <cell r="L69">
            <v>2193</v>
          </cell>
          <cell r="M69" t="str">
            <v>447669</v>
          </cell>
          <cell r="N69">
            <v>1</v>
          </cell>
          <cell r="O69">
            <v>42917</v>
          </cell>
        </row>
        <row r="70">
          <cell r="A70">
            <v>476558</v>
          </cell>
          <cell r="B70" t="str">
            <v>476558 - 1</v>
          </cell>
          <cell r="C70">
            <v>8999</v>
          </cell>
          <cell r="D70" t="str">
            <v>HESSING ZWAAGDIJK BV</v>
          </cell>
          <cell r="E70" t="str">
            <v>Nieuwmarkt 8</v>
          </cell>
          <cell r="F70" t="str">
            <v>1681 NP</v>
          </cell>
          <cell r="G70" t="str">
            <v>WERVERSHOOF</v>
          </cell>
          <cell r="H70">
            <v>1</v>
          </cell>
          <cell r="I70" t="str">
            <v>Hessing Logistiek</v>
          </cell>
          <cell r="J70">
            <v>26</v>
          </cell>
          <cell r="K70" t="str">
            <v>LD LPR Pallet 120*100</v>
          </cell>
          <cell r="L70">
            <v>2</v>
          </cell>
          <cell r="M70" t="str">
            <v>447670</v>
          </cell>
          <cell r="N70">
            <v>1</v>
          </cell>
          <cell r="O70">
            <v>42917</v>
          </cell>
        </row>
        <row r="71">
          <cell r="A71">
            <v>476558</v>
          </cell>
          <cell r="B71" t="str">
            <v>476558 - 2</v>
          </cell>
          <cell r="C71">
            <v>8999</v>
          </cell>
          <cell r="D71" t="str">
            <v>HESSING ZWAAGDIJK BV</v>
          </cell>
          <cell r="E71" t="str">
            <v>Nieuwmarkt 8</v>
          </cell>
          <cell r="F71" t="str">
            <v>1681 NP</v>
          </cell>
          <cell r="G71" t="str">
            <v>WERVERSHOOF</v>
          </cell>
          <cell r="H71">
            <v>1</v>
          </cell>
          <cell r="I71" t="str">
            <v>Hessing Logistiek</v>
          </cell>
          <cell r="J71">
            <v>241</v>
          </cell>
          <cell r="K71" t="str">
            <v>15404 KF EPS Zwart 40x30x15</v>
          </cell>
          <cell r="L71">
            <v>175</v>
          </cell>
          <cell r="M71" t="str">
            <v>447670</v>
          </cell>
          <cell r="N71">
            <v>1</v>
          </cell>
          <cell r="O71">
            <v>42917</v>
          </cell>
        </row>
        <row r="72">
          <cell r="A72">
            <v>476559</v>
          </cell>
          <cell r="B72" t="str">
            <v>476559 - 1</v>
          </cell>
          <cell r="C72">
            <v>539</v>
          </cell>
          <cell r="D72" t="str">
            <v>TACKEN GMBH</v>
          </cell>
          <cell r="E72" t="str">
            <v>Vogelsrather Weg 1-5</v>
          </cell>
          <cell r="F72" t="str">
            <v>D-41366</v>
          </cell>
          <cell r="G72" t="str">
            <v>Schwalmtal Germany</v>
          </cell>
          <cell r="H72">
            <v>5</v>
          </cell>
          <cell r="I72" t="str">
            <v>Niet in gebruik</v>
          </cell>
          <cell r="J72">
            <v>12</v>
          </cell>
          <cell r="K72" t="str">
            <v>LD Europallets 120x80</v>
          </cell>
          <cell r="L72">
            <v>21</v>
          </cell>
          <cell r="M72" t="str">
            <v/>
          </cell>
          <cell r="N72">
            <v>1</v>
          </cell>
          <cell r="O72">
            <v>42917</v>
          </cell>
        </row>
        <row r="73">
          <cell r="A73">
            <v>476559</v>
          </cell>
          <cell r="B73" t="str">
            <v>476559 - 2</v>
          </cell>
          <cell r="C73">
            <v>539</v>
          </cell>
          <cell r="D73" t="str">
            <v>TACKEN GMBH</v>
          </cell>
          <cell r="E73" t="str">
            <v>Vogelsrather Weg 1-5</v>
          </cell>
          <cell r="F73" t="str">
            <v>D-41366</v>
          </cell>
          <cell r="G73" t="str">
            <v>Schwalmtal Germany</v>
          </cell>
          <cell r="H73">
            <v>5</v>
          </cell>
          <cell r="I73" t="str">
            <v>Niet in gebruik</v>
          </cell>
          <cell r="J73">
            <v>17</v>
          </cell>
          <cell r="K73" t="str">
            <v>CBL 7 60/40/7 zwart</v>
          </cell>
          <cell r="L73">
            <v>210</v>
          </cell>
          <cell r="M73" t="str">
            <v/>
          </cell>
          <cell r="N73">
            <v>1</v>
          </cell>
          <cell r="O73">
            <v>42917</v>
          </cell>
        </row>
        <row r="74">
          <cell r="A74">
            <v>476559</v>
          </cell>
          <cell r="B74" t="str">
            <v>476559 - 3</v>
          </cell>
          <cell r="C74">
            <v>539</v>
          </cell>
          <cell r="D74" t="str">
            <v>TACKEN GMBH</v>
          </cell>
          <cell r="E74" t="str">
            <v>Vogelsrather Weg 1-5</v>
          </cell>
          <cell r="F74" t="str">
            <v>D-41366</v>
          </cell>
          <cell r="G74" t="str">
            <v>Schwalmtal Germany</v>
          </cell>
          <cell r="H74">
            <v>5</v>
          </cell>
          <cell r="I74" t="str">
            <v>Niet in gebruik</v>
          </cell>
          <cell r="J74">
            <v>95</v>
          </cell>
          <cell r="K74" t="str">
            <v>Doos</v>
          </cell>
          <cell r="L74">
            <v>502</v>
          </cell>
          <cell r="M74" t="str">
            <v/>
          </cell>
          <cell r="N74">
            <v>1</v>
          </cell>
          <cell r="O74">
            <v>42917</v>
          </cell>
        </row>
        <row r="75">
          <cell r="A75">
            <v>476559</v>
          </cell>
          <cell r="B75" t="str">
            <v>476559 - 4</v>
          </cell>
          <cell r="C75">
            <v>539</v>
          </cell>
          <cell r="D75" t="str">
            <v>TACKEN GMBH</v>
          </cell>
          <cell r="E75" t="str">
            <v>Vogelsrather Weg 1-5</v>
          </cell>
          <cell r="F75" t="str">
            <v>D-41366</v>
          </cell>
          <cell r="G75" t="str">
            <v>Schwalmtal Germany</v>
          </cell>
          <cell r="H75">
            <v>5</v>
          </cell>
          <cell r="I75" t="str">
            <v>Niet in gebruik</v>
          </cell>
          <cell r="J75">
            <v>289</v>
          </cell>
          <cell r="K75" t="str">
            <v>1148 Doos bruin 60x40x17cm</v>
          </cell>
          <cell r="L75">
            <v>1299</v>
          </cell>
          <cell r="M75" t="str">
            <v/>
          </cell>
          <cell r="N75">
            <v>1</v>
          </cell>
          <cell r="O75">
            <v>42917</v>
          </cell>
        </row>
        <row r="76">
          <cell r="A76">
            <v>476561</v>
          </cell>
          <cell r="B76" t="str">
            <v>476561 - 1</v>
          </cell>
          <cell r="C76">
            <v>8999</v>
          </cell>
          <cell r="D76" t="str">
            <v>HESSING ZWAAGDIJK BV</v>
          </cell>
          <cell r="E76" t="str">
            <v>Nieuwmarkt 8</v>
          </cell>
          <cell r="F76" t="str">
            <v>1681 NP</v>
          </cell>
          <cell r="G76" t="str">
            <v>WERVERSHOOF</v>
          </cell>
          <cell r="H76">
            <v>1</v>
          </cell>
          <cell r="I76" t="str">
            <v>Hessing Logistiek</v>
          </cell>
          <cell r="J76">
            <v>18</v>
          </cell>
          <cell r="K76" t="str">
            <v>CBL 8 30/40/7 zwart</v>
          </cell>
          <cell r="L76">
            <v>122</v>
          </cell>
          <cell r="M76" t="str">
            <v>447675</v>
          </cell>
          <cell r="N76">
            <v>1</v>
          </cell>
          <cell r="O76">
            <v>42917</v>
          </cell>
        </row>
        <row r="77">
          <cell r="A77">
            <v>476561</v>
          </cell>
          <cell r="B77" t="str">
            <v>476561 - 2</v>
          </cell>
          <cell r="C77">
            <v>8999</v>
          </cell>
          <cell r="D77" t="str">
            <v>HESSING ZWAAGDIJK BV</v>
          </cell>
          <cell r="E77" t="str">
            <v>Nieuwmarkt 8</v>
          </cell>
          <cell r="F77" t="str">
            <v>1681 NP</v>
          </cell>
          <cell r="G77" t="str">
            <v>WERVERSHOOF</v>
          </cell>
          <cell r="H77">
            <v>1</v>
          </cell>
          <cell r="I77" t="str">
            <v>Hessing Logistiek</v>
          </cell>
          <cell r="J77">
            <v>26</v>
          </cell>
          <cell r="K77" t="str">
            <v>LD LPR Pallet 120*100</v>
          </cell>
          <cell r="L77">
            <v>5</v>
          </cell>
          <cell r="M77" t="str">
            <v>447675</v>
          </cell>
          <cell r="N77">
            <v>1</v>
          </cell>
          <cell r="O77">
            <v>42917</v>
          </cell>
        </row>
        <row r="78">
          <cell r="A78">
            <v>476561</v>
          </cell>
          <cell r="B78" t="str">
            <v>476561 - 3</v>
          </cell>
          <cell r="C78">
            <v>8999</v>
          </cell>
          <cell r="D78" t="str">
            <v>HESSING ZWAAGDIJK BV</v>
          </cell>
          <cell r="E78" t="str">
            <v>Nieuwmarkt 8</v>
          </cell>
          <cell r="F78" t="str">
            <v>1681 NP</v>
          </cell>
          <cell r="G78" t="str">
            <v>WERVERSHOOF</v>
          </cell>
          <cell r="H78">
            <v>1</v>
          </cell>
          <cell r="I78" t="str">
            <v>Hessing Logistiek</v>
          </cell>
          <cell r="J78">
            <v>240</v>
          </cell>
          <cell r="K78" t="str">
            <v>10404 KF EPS Zwart 40x30x10</v>
          </cell>
          <cell r="L78">
            <v>430</v>
          </cell>
          <cell r="M78" t="str">
            <v>447675</v>
          </cell>
          <cell r="N78">
            <v>1</v>
          </cell>
          <cell r="O78">
            <v>42917</v>
          </cell>
        </row>
        <row r="79">
          <cell r="A79">
            <v>476561</v>
          </cell>
          <cell r="B79" t="str">
            <v>476561 - 4</v>
          </cell>
          <cell r="C79">
            <v>8999</v>
          </cell>
          <cell r="D79" t="str">
            <v>HESSING ZWAAGDIJK BV</v>
          </cell>
          <cell r="E79" t="str">
            <v>Nieuwmarkt 8</v>
          </cell>
          <cell r="F79" t="str">
            <v>1681 NP</v>
          </cell>
          <cell r="G79" t="str">
            <v>WERVERSHOOF</v>
          </cell>
          <cell r="H79">
            <v>1</v>
          </cell>
          <cell r="I79" t="str">
            <v>Hessing Logistiek</v>
          </cell>
          <cell r="J79">
            <v>242</v>
          </cell>
          <cell r="K79" t="str">
            <v>10604 KF EPS Zwart 60x40x10</v>
          </cell>
          <cell r="L79">
            <v>0</v>
          </cell>
          <cell r="M79" t="str">
            <v>447675</v>
          </cell>
          <cell r="N79">
            <v>1</v>
          </cell>
          <cell r="O79">
            <v>42917</v>
          </cell>
        </row>
        <row r="80">
          <cell r="A80">
            <v>476565</v>
          </cell>
          <cell r="B80" t="str">
            <v>476565 - 1</v>
          </cell>
          <cell r="C80">
            <v>8999</v>
          </cell>
          <cell r="D80" t="str">
            <v>HESSING ZWAAGDIJK BV</v>
          </cell>
          <cell r="E80" t="str">
            <v>Nieuwmarkt 8</v>
          </cell>
          <cell r="F80" t="str">
            <v>1681 NP</v>
          </cell>
          <cell r="G80" t="str">
            <v>WERVERSHOOF</v>
          </cell>
          <cell r="H80">
            <v>1</v>
          </cell>
          <cell r="I80" t="str">
            <v>Hessing Logistiek</v>
          </cell>
          <cell r="J80">
            <v>26</v>
          </cell>
          <cell r="K80" t="str">
            <v>LD LPR Pallet 120*100</v>
          </cell>
          <cell r="L80">
            <v>1</v>
          </cell>
          <cell r="M80" t="str">
            <v>447686</v>
          </cell>
          <cell r="N80">
            <v>1</v>
          </cell>
          <cell r="O80">
            <v>42917</v>
          </cell>
        </row>
        <row r="81">
          <cell r="A81">
            <v>476565</v>
          </cell>
          <cell r="B81" t="str">
            <v>476565 - 2</v>
          </cell>
          <cell r="C81">
            <v>8999</v>
          </cell>
          <cell r="D81" t="str">
            <v>HESSING ZWAAGDIJK BV</v>
          </cell>
          <cell r="E81" t="str">
            <v>Nieuwmarkt 8</v>
          </cell>
          <cell r="F81" t="str">
            <v>1681 NP</v>
          </cell>
          <cell r="G81" t="str">
            <v>WERVERSHOOF</v>
          </cell>
          <cell r="H81">
            <v>1</v>
          </cell>
          <cell r="I81" t="str">
            <v>Hessing Logistiek</v>
          </cell>
          <cell r="J81">
            <v>240</v>
          </cell>
          <cell r="K81" t="str">
            <v>10404 KF EPS Zwart 40x30x10</v>
          </cell>
          <cell r="L81">
            <v>13</v>
          </cell>
          <cell r="M81" t="str">
            <v>447686</v>
          </cell>
          <cell r="N81">
            <v>1</v>
          </cell>
          <cell r="O81">
            <v>42917</v>
          </cell>
        </row>
        <row r="82">
          <cell r="A82">
            <v>476566</v>
          </cell>
          <cell r="B82" t="str">
            <v>476566 - 1</v>
          </cell>
          <cell r="C82">
            <v>8999</v>
          </cell>
          <cell r="D82" t="str">
            <v>HESSING ZWAAGDIJK BV</v>
          </cell>
          <cell r="E82" t="str">
            <v>Nieuwmarkt 8</v>
          </cell>
          <cell r="F82" t="str">
            <v>1681 NP</v>
          </cell>
          <cell r="G82" t="str">
            <v>WERVERSHOOF</v>
          </cell>
          <cell r="H82">
            <v>1</v>
          </cell>
          <cell r="I82" t="str">
            <v>Hessing Logistiek</v>
          </cell>
          <cell r="J82">
            <v>1</v>
          </cell>
          <cell r="K82" t="str">
            <v>CBL11 60/40/11 zwart</v>
          </cell>
          <cell r="L82">
            <v>300</v>
          </cell>
          <cell r="M82" t="str">
            <v>447684</v>
          </cell>
          <cell r="N82">
            <v>1</v>
          </cell>
          <cell r="O82">
            <v>42917</v>
          </cell>
        </row>
        <row r="83">
          <cell r="A83">
            <v>476566</v>
          </cell>
          <cell r="B83" t="str">
            <v>476566 - 2</v>
          </cell>
          <cell r="C83">
            <v>8999</v>
          </cell>
          <cell r="D83" t="str">
            <v>HESSING ZWAAGDIJK BV</v>
          </cell>
          <cell r="E83" t="str">
            <v>Nieuwmarkt 8</v>
          </cell>
          <cell r="F83" t="str">
            <v>1681 NP</v>
          </cell>
          <cell r="G83" t="str">
            <v>WERVERSHOOF</v>
          </cell>
          <cell r="H83">
            <v>1</v>
          </cell>
          <cell r="I83" t="str">
            <v>Hessing Logistiek</v>
          </cell>
          <cell r="J83">
            <v>26</v>
          </cell>
          <cell r="K83" t="str">
            <v>LD LPR Pallet 120*100</v>
          </cell>
          <cell r="L83">
            <v>5</v>
          </cell>
          <cell r="M83" t="str">
            <v>447684</v>
          </cell>
          <cell r="N83">
            <v>1</v>
          </cell>
          <cell r="O83">
            <v>42917</v>
          </cell>
        </row>
        <row r="84">
          <cell r="A84">
            <v>476566</v>
          </cell>
          <cell r="B84" t="str">
            <v>476566 - 3</v>
          </cell>
          <cell r="C84">
            <v>8999</v>
          </cell>
          <cell r="D84" t="str">
            <v>HESSING ZWAAGDIJK BV</v>
          </cell>
          <cell r="E84" t="str">
            <v>Nieuwmarkt 8</v>
          </cell>
          <cell r="F84" t="str">
            <v>1681 NP</v>
          </cell>
          <cell r="G84" t="str">
            <v>WERVERSHOOF</v>
          </cell>
          <cell r="H84">
            <v>1</v>
          </cell>
          <cell r="I84" t="str">
            <v>Hessing Logistiek</v>
          </cell>
          <cell r="J84">
            <v>240</v>
          </cell>
          <cell r="K84" t="str">
            <v>10404 KF EPS Zwart 40x30x10</v>
          </cell>
          <cell r="L84">
            <v>115</v>
          </cell>
          <cell r="M84" t="str">
            <v>447684</v>
          </cell>
          <cell r="N84">
            <v>1</v>
          </cell>
          <cell r="O84">
            <v>42917</v>
          </cell>
        </row>
        <row r="85">
          <cell r="A85">
            <v>476567</v>
          </cell>
          <cell r="B85" t="str">
            <v>476567 - 1</v>
          </cell>
          <cell r="C85">
            <v>8999</v>
          </cell>
          <cell r="D85" t="str">
            <v>HESSING ZWAAGDIJK BV</v>
          </cell>
          <cell r="E85" t="str">
            <v>Nieuwmarkt 8</v>
          </cell>
          <cell r="F85" t="str">
            <v>1681 NP</v>
          </cell>
          <cell r="G85" t="str">
            <v>WERVERSHOOF</v>
          </cell>
          <cell r="H85">
            <v>1</v>
          </cell>
          <cell r="I85" t="str">
            <v>Hessing Logistiek</v>
          </cell>
          <cell r="J85">
            <v>18</v>
          </cell>
          <cell r="K85" t="str">
            <v>CBL 8 30/40/7 zwart</v>
          </cell>
          <cell r="L85">
            <v>26</v>
          </cell>
          <cell r="M85" t="str">
            <v>447680</v>
          </cell>
          <cell r="N85">
            <v>1</v>
          </cell>
          <cell r="O85">
            <v>42917</v>
          </cell>
        </row>
        <row r="86">
          <cell r="A86">
            <v>476567</v>
          </cell>
          <cell r="B86" t="str">
            <v>476567 - 2</v>
          </cell>
          <cell r="C86">
            <v>8999</v>
          </cell>
          <cell r="D86" t="str">
            <v>HESSING ZWAAGDIJK BV</v>
          </cell>
          <cell r="E86" t="str">
            <v>Nieuwmarkt 8</v>
          </cell>
          <cell r="F86" t="str">
            <v>1681 NP</v>
          </cell>
          <cell r="G86" t="str">
            <v>WERVERSHOOF</v>
          </cell>
          <cell r="H86">
            <v>1</v>
          </cell>
          <cell r="I86" t="str">
            <v>Hessing Logistiek</v>
          </cell>
          <cell r="J86">
            <v>26</v>
          </cell>
          <cell r="K86" t="str">
            <v>LD LPR Pallet 120*100</v>
          </cell>
          <cell r="L86">
            <v>2</v>
          </cell>
          <cell r="M86" t="str">
            <v>447680</v>
          </cell>
          <cell r="N86">
            <v>1</v>
          </cell>
          <cell r="O86">
            <v>42917</v>
          </cell>
        </row>
        <row r="87">
          <cell r="A87">
            <v>476567</v>
          </cell>
          <cell r="B87" t="str">
            <v>476567 - 3</v>
          </cell>
          <cell r="C87">
            <v>8999</v>
          </cell>
          <cell r="D87" t="str">
            <v>HESSING ZWAAGDIJK BV</v>
          </cell>
          <cell r="E87" t="str">
            <v>Nieuwmarkt 8</v>
          </cell>
          <cell r="F87" t="str">
            <v>1681 NP</v>
          </cell>
          <cell r="G87" t="str">
            <v>WERVERSHOOF</v>
          </cell>
          <cell r="H87">
            <v>1</v>
          </cell>
          <cell r="I87" t="str">
            <v>Hessing Logistiek</v>
          </cell>
          <cell r="J87">
            <v>240</v>
          </cell>
          <cell r="K87" t="str">
            <v>10404 KF EPS Zwart 40x30x10</v>
          </cell>
          <cell r="L87">
            <v>98</v>
          </cell>
          <cell r="M87" t="str">
            <v>447680</v>
          </cell>
          <cell r="N87">
            <v>1</v>
          </cell>
          <cell r="O87">
            <v>42917</v>
          </cell>
        </row>
        <row r="88">
          <cell r="A88">
            <v>476570</v>
          </cell>
          <cell r="B88" t="str">
            <v>476570 - 1</v>
          </cell>
          <cell r="C88">
            <v>8999</v>
          </cell>
          <cell r="D88" t="str">
            <v>HESSING ZWAAGDIJK BV</v>
          </cell>
          <cell r="E88" t="str">
            <v>Nieuwmarkt 8</v>
          </cell>
          <cell r="F88" t="str">
            <v>1681 NP</v>
          </cell>
          <cell r="G88" t="str">
            <v>WERVERSHOOF</v>
          </cell>
          <cell r="H88">
            <v>1</v>
          </cell>
          <cell r="I88" t="str">
            <v>Hessing Logistiek</v>
          </cell>
          <cell r="J88">
            <v>26</v>
          </cell>
          <cell r="K88" t="str">
            <v>LD LPR Pallet 120*100</v>
          </cell>
          <cell r="L88">
            <v>1</v>
          </cell>
          <cell r="M88" t="str">
            <v>447689</v>
          </cell>
          <cell r="N88">
            <v>1</v>
          </cell>
          <cell r="O88">
            <v>42917</v>
          </cell>
        </row>
        <row r="89">
          <cell r="A89">
            <v>476570</v>
          </cell>
          <cell r="B89" t="str">
            <v>476570 - 2</v>
          </cell>
          <cell r="C89">
            <v>8999</v>
          </cell>
          <cell r="D89" t="str">
            <v>HESSING ZWAAGDIJK BV</v>
          </cell>
          <cell r="E89" t="str">
            <v>Nieuwmarkt 8</v>
          </cell>
          <cell r="F89" t="str">
            <v>1681 NP</v>
          </cell>
          <cell r="G89" t="str">
            <v>WERVERSHOOF</v>
          </cell>
          <cell r="H89">
            <v>1</v>
          </cell>
          <cell r="I89" t="str">
            <v>Hessing Logistiek</v>
          </cell>
          <cell r="J89">
            <v>240</v>
          </cell>
          <cell r="K89" t="str">
            <v>10404 KF EPS Zwart 40x30x10</v>
          </cell>
          <cell r="L89">
            <v>126</v>
          </cell>
          <cell r="M89" t="str">
            <v>447689</v>
          </cell>
          <cell r="N89">
            <v>1</v>
          </cell>
          <cell r="O89">
            <v>42917</v>
          </cell>
        </row>
        <row r="90">
          <cell r="A90">
            <v>476570</v>
          </cell>
          <cell r="B90" t="str">
            <v>476570 - 3</v>
          </cell>
          <cell r="C90">
            <v>8999</v>
          </cell>
          <cell r="D90" t="str">
            <v>HESSING ZWAAGDIJK BV</v>
          </cell>
          <cell r="E90" t="str">
            <v>Nieuwmarkt 8</v>
          </cell>
          <cell r="F90" t="str">
            <v>1681 NP</v>
          </cell>
          <cell r="G90" t="str">
            <v>WERVERSHOOF</v>
          </cell>
          <cell r="H90">
            <v>1</v>
          </cell>
          <cell r="I90" t="str">
            <v>Hessing Logistiek</v>
          </cell>
          <cell r="J90">
            <v>241</v>
          </cell>
          <cell r="K90" t="str">
            <v>15404 KF EPS Zwart 40x30x15</v>
          </cell>
          <cell r="L90">
            <v>2</v>
          </cell>
          <cell r="M90" t="str">
            <v>447689</v>
          </cell>
          <cell r="N90">
            <v>1</v>
          </cell>
          <cell r="O90">
            <v>42917</v>
          </cell>
        </row>
        <row r="91">
          <cell r="A91">
            <v>476577</v>
          </cell>
          <cell r="B91" t="str">
            <v>476577 - 1</v>
          </cell>
          <cell r="C91">
            <v>8999</v>
          </cell>
          <cell r="D91" t="str">
            <v>HESSING ZWAAGDIJK BV</v>
          </cell>
          <cell r="E91" t="str">
            <v>Nieuwmarkt 8</v>
          </cell>
          <cell r="F91" t="str">
            <v>1681 NP</v>
          </cell>
          <cell r="G91" t="str">
            <v>WERVERSHOOF</v>
          </cell>
          <cell r="H91">
            <v>1</v>
          </cell>
          <cell r="I91" t="str">
            <v>Hessing Logistiek</v>
          </cell>
          <cell r="J91">
            <v>26</v>
          </cell>
          <cell r="K91" t="str">
            <v>LD LPR Pallet 120*100</v>
          </cell>
          <cell r="L91">
            <v>2</v>
          </cell>
          <cell r="M91" t="str">
            <v>447692</v>
          </cell>
          <cell r="N91">
            <v>1</v>
          </cell>
          <cell r="O91">
            <v>42917</v>
          </cell>
        </row>
        <row r="92">
          <cell r="A92">
            <v>476577</v>
          </cell>
          <cell r="B92" t="str">
            <v>476577 - 2</v>
          </cell>
          <cell r="C92">
            <v>8999</v>
          </cell>
          <cell r="D92" t="str">
            <v>HESSING ZWAAGDIJK BV</v>
          </cell>
          <cell r="E92" t="str">
            <v>Nieuwmarkt 8</v>
          </cell>
          <cell r="F92" t="str">
            <v>1681 NP</v>
          </cell>
          <cell r="G92" t="str">
            <v>WERVERSHOOF</v>
          </cell>
          <cell r="H92">
            <v>1</v>
          </cell>
          <cell r="I92" t="str">
            <v>Hessing Logistiek</v>
          </cell>
          <cell r="J92">
            <v>240</v>
          </cell>
          <cell r="K92" t="str">
            <v>10404 KF EPS Zwart 40x30x10</v>
          </cell>
          <cell r="L92">
            <v>193</v>
          </cell>
          <cell r="M92" t="str">
            <v>447692</v>
          </cell>
          <cell r="N92">
            <v>1</v>
          </cell>
          <cell r="O92">
            <v>42917</v>
          </cell>
        </row>
        <row r="93">
          <cell r="A93">
            <v>476577</v>
          </cell>
          <cell r="B93" t="str">
            <v>476577 - 3</v>
          </cell>
          <cell r="C93">
            <v>8999</v>
          </cell>
          <cell r="D93" t="str">
            <v>HESSING ZWAAGDIJK BV</v>
          </cell>
          <cell r="E93" t="str">
            <v>Nieuwmarkt 8</v>
          </cell>
          <cell r="F93" t="str">
            <v>1681 NP</v>
          </cell>
          <cell r="G93" t="str">
            <v>WERVERSHOOF</v>
          </cell>
          <cell r="H93">
            <v>1</v>
          </cell>
          <cell r="I93" t="str">
            <v>Hessing Logistiek</v>
          </cell>
          <cell r="J93">
            <v>242</v>
          </cell>
          <cell r="K93" t="str">
            <v>10604 KF EPS Zwart 60x40x10</v>
          </cell>
          <cell r="L93">
            <v>79</v>
          </cell>
          <cell r="M93" t="str">
            <v>447692</v>
          </cell>
          <cell r="N93">
            <v>1</v>
          </cell>
          <cell r="O93">
            <v>42917</v>
          </cell>
        </row>
        <row r="94">
          <cell r="A94">
            <v>476579</v>
          </cell>
          <cell r="B94" t="str">
            <v>476579 - 1</v>
          </cell>
          <cell r="C94">
            <v>8999</v>
          </cell>
          <cell r="D94" t="str">
            <v>HESSING ZWAAGDIJK BV</v>
          </cell>
          <cell r="E94" t="str">
            <v>Nieuwmarkt 8</v>
          </cell>
          <cell r="F94" t="str">
            <v>1681 NP</v>
          </cell>
          <cell r="G94" t="str">
            <v>WERVERSHOOF</v>
          </cell>
          <cell r="H94">
            <v>1</v>
          </cell>
          <cell r="I94" t="str">
            <v>Hessing Logistiek</v>
          </cell>
          <cell r="J94">
            <v>26</v>
          </cell>
          <cell r="K94" t="str">
            <v>LD LPR Pallet 120*100</v>
          </cell>
          <cell r="L94">
            <v>1</v>
          </cell>
          <cell r="M94" t="str">
            <v>447680</v>
          </cell>
          <cell r="N94">
            <v>1</v>
          </cell>
          <cell r="O94">
            <v>42917</v>
          </cell>
        </row>
        <row r="95">
          <cell r="A95">
            <v>476579</v>
          </cell>
          <cell r="B95" t="str">
            <v>476579 - 2</v>
          </cell>
          <cell r="C95">
            <v>8999</v>
          </cell>
          <cell r="D95" t="str">
            <v>HESSING ZWAAGDIJK BV</v>
          </cell>
          <cell r="E95" t="str">
            <v>Nieuwmarkt 8</v>
          </cell>
          <cell r="F95" t="str">
            <v>1681 NP</v>
          </cell>
          <cell r="G95" t="str">
            <v>WERVERSHOOF</v>
          </cell>
          <cell r="H95">
            <v>1</v>
          </cell>
          <cell r="I95" t="str">
            <v>Hessing Logistiek</v>
          </cell>
          <cell r="J95">
            <v>242</v>
          </cell>
          <cell r="K95" t="str">
            <v>10604 KF EPS Zwart 60x40x10</v>
          </cell>
          <cell r="L95">
            <v>100</v>
          </cell>
          <cell r="M95" t="str">
            <v>447680</v>
          </cell>
          <cell r="N95">
            <v>1</v>
          </cell>
          <cell r="O95">
            <v>42917</v>
          </cell>
        </row>
        <row r="96">
          <cell r="A96">
            <v>476580</v>
          </cell>
          <cell r="B96" t="str">
            <v>476580 - 1</v>
          </cell>
          <cell r="C96">
            <v>8999</v>
          </cell>
          <cell r="D96" t="str">
            <v>HESSING ZWAAGDIJK BV</v>
          </cell>
          <cell r="E96" t="str">
            <v>Nieuwmarkt 8</v>
          </cell>
          <cell r="F96" t="str">
            <v>1681 NP</v>
          </cell>
          <cell r="G96" t="str">
            <v>WERVERSHOOF</v>
          </cell>
          <cell r="H96">
            <v>1</v>
          </cell>
          <cell r="I96" t="str">
            <v>Hessing Logistiek</v>
          </cell>
          <cell r="J96">
            <v>1</v>
          </cell>
          <cell r="K96" t="str">
            <v>CBL11 60/40/11 zwart</v>
          </cell>
          <cell r="L96">
            <v>161</v>
          </cell>
          <cell r="M96" t="str">
            <v>447675</v>
          </cell>
          <cell r="N96">
            <v>1</v>
          </cell>
          <cell r="O96">
            <v>42917</v>
          </cell>
        </row>
        <row r="97">
          <cell r="A97">
            <v>476580</v>
          </cell>
          <cell r="B97" t="str">
            <v>476580 - 2</v>
          </cell>
          <cell r="C97">
            <v>8999</v>
          </cell>
          <cell r="D97" t="str">
            <v>HESSING ZWAAGDIJK BV</v>
          </cell>
          <cell r="E97" t="str">
            <v>Nieuwmarkt 8</v>
          </cell>
          <cell r="F97" t="str">
            <v>1681 NP</v>
          </cell>
          <cell r="G97" t="str">
            <v>WERVERSHOOF</v>
          </cell>
          <cell r="H97">
            <v>1</v>
          </cell>
          <cell r="I97" t="str">
            <v>Hessing Logistiek</v>
          </cell>
          <cell r="J97">
            <v>18</v>
          </cell>
          <cell r="K97" t="str">
            <v>CBL 8 30/40/7 zwart</v>
          </cell>
          <cell r="L97">
            <v>128</v>
          </cell>
          <cell r="M97" t="str">
            <v>447675</v>
          </cell>
          <cell r="N97">
            <v>1</v>
          </cell>
          <cell r="O97">
            <v>42917</v>
          </cell>
        </row>
        <row r="98">
          <cell r="A98">
            <v>476580</v>
          </cell>
          <cell r="B98" t="str">
            <v>476580 - 3</v>
          </cell>
          <cell r="C98">
            <v>8999</v>
          </cell>
          <cell r="D98" t="str">
            <v>HESSING ZWAAGDIJK BV</v>
          </cell>
          <cell r="E98" t="str">
            <v>Nieuwmarkt 8</v>
          </cell>
          <cell r="F98" t="str">
            <v>1681 NP</v>
          </cell>
          <cell r="G98" t="str">
            <v>WERVERSHOOF</v>
          </cell>
          <cell r="H98">
            <v>1</v>
          </cell>
          <cell r="I98" t="str">
            <v>Hessing Logistiek</v>
          </cell>
          <cell r="J98">
            <v>26</v>
          </cell>
          <cell r="K98" t="str">
            <v>LD LPR Pallet 120*100</v>
          </cell>
          <cell r="L98">
            <v>8</v>
          </cell>
          <cell r="M98" t="str">
            <v>447675</v>
          </cell>
          <cell r="N98">
            <v>1</v>
          </cell>
          <cell r="O98">
            <v>42917</v>
          </cell>
        </row>
        <row r="99">
          <cell r="A99">
            <v>476580</v>
          </cell>
          <cell r="B99" t="str">
            <v>476580 - 4</v>
          </cell>
          <cell r="C99">
            <v>8999</v>
          </cell>
          <cell r="D99" t="str">
            <v>HESSING ZWAAGDIJK BV</v>
          </cell>
          <cell r="E99" t="str">
            <v>Nieuwmarkt 8</v>
          </cell>
          <cell r="F99" t="str">
            <v>1681 NP</v>
          </cell>
          <cell r="G99" t="str">
            <v>WERVERSHOOF</v>
          </cell>
          <cell r="H99">
            <v>1</v>
          </cell>
          <cell r="I99" t="str">
            <v>Hessing Logistiek</v>
          </cell>
          <cell r="J99">
            <v>240</v>
          </cell>
          <cell r="K99" t="str">
            <v>10404 KF EPS Zwart 40x30x10</v>
          </cell>
          <cell r="L99">
            <v>409</v>
          </cell>
          <cell r="M99" t="str">
            <v>447675</v>
          </cell>
          <cell r="N99">
            <v>1</v>
          </cell>
          <cell r="O99">
            <v>42917</v>
          </cell>
        </row>
        <row r="100">
          <cell r="A100">
            <v>476580</v>
          </cell>
          <cell r="B100" t="str">
            <v>476580 - 5</v>
          </cell>
          <cell r="C100">
            <v>8999</v>
          </cell>
          <cell r="D100" t="str">
            <v>HESSING ZWAAGDIJK BV</v>
          </cell>
          <cell r="E100" t="str">
            <v>Nieuwmarkt 8</v>
          </cell>
          <cell r="F100" t="str">
            <v>1681 NP</v>
          </cell>
          <cell r="G100" t="str">
            <v>WERVERSHOOF</v>
          </cell>
          <cell r="H100">
            <v>1</v>
          </cell>
          <cell r="I100" t="str">
            <v>Hessing Logistiek</v>
          </cell>
          <cell r="J100">
            <v>242</v>
          </cell>
          <cell r="K100" t="str">
            <v>10604 KF EPS Zwart 60x40x10</v>
          </cell>
          <cell r="L100">
            <v>135</v>
          </cell>
          <cell r="M100" t="str">
            <v>447675</v>
          </cell>
          <cell r="N100">
            <v>1</v>
          </cell>
          <cell r="O100">
            <v>42917</v>
          </cell>
        </row>
        <row r="101">
          <cell r="A101">
            <v>476581</v>
          </cell>
          <cell r="B101" t="str">
            <v>476581 - 1</v>
          </cell>
          <cell r="C101">
            <v>8999</v>
          </cell>
          <cell r="D101" t="str">
            <v>HESSING ZWAAGDIJK BV</v>
          </cell>
          <cell r="E101" t="str">
            <v>Nieuwmarkt 8</v>
          </cell>
          <cell r="F101" t="str">
            <v>1681 NP</v>
          </cell>
          <cell r="G101" t="str">
            <v>WERVERSHOOF</v>
          </cell>
          <cell r="H101">
            <v>1</v>
          </cell>
          <cell r="I101" t="str">
            <v>Hessing Logistiek</v>
          </cell>
          <cell r="J101">
            <v>26</v>
          </cell>
          <cell r="K101" t="str">
            <v>LD LPR Pallet 120*100</v>
          </cell>
          <cell r="L101">
            <v>1</v>
          </cell>
          <cell r="M101" t="str">
            <v>447675</v>
          </cell>
          <cell r="N101">
            <v>1</v>
          </cell>
          <cell r="O101">
            <v>42917</v>
          </cell>
        </row>
        <row r="102">
          <cell r="A102">
            <v>476581</v>
          </cell>
          <cell r="B102" t="str">
            <v>476581 - 2</v>
          </cell>
          <cell r="C102">
            <v>8999</v>
          </cell>
          <cell r="D102" t="str">
            <v>HESSING ZWAAGDIJK BV</v>
          </cell>
          <cell r="E102" t="str">
            <v>Nieuwmarkt 8</v>
          </cell>
          <cell r="F102" t="str">
            <v>1681 NP</v>
          </cell>
          <cell r="G102" t="str">
            <v>WERVERSHOOF</v>
          </cell>
          <cell r="H102">
            <v>1</v>
          </cell>
          <cell r="I102" t="str">
            <v>Hessing Logistiek</v>
          </cell>
          <cell r="J102">
            <v>242</v>
          </cell>
          <cell r="K102" t="str">
            <v>10604 KF EPS Zwart 60x40x10</v>
          </cell>
          <cell r="L102">
            <v>100</v>
          </cell>
          <cell r="M102" t="str">
            <v>447675</v>
          </cell>
          <cell r="N102">
            <v>1</v>
          </cell>
          <cell r="O102">
            <v>42917</v>
          </cell>
        </row>
        <row r="103">
          <cell r="A103">
            <v>476582</v>
          </cell>
          <cell r="B103" t="str">
            <v>476582 - 1</v>
          </cell>
          <cell r="C103">
            <v>8999</v>
          </cell>
          <cell r="D103" t="str">
            <v>HESSING ZWAAGDIJK BV</v>
          </cell>
          <cell r="E103" t="str">
            <v>Nieuwmarkt 8</v>
          </cell>
          <cell r="F103" t="str">
            <v>1681 NP</v>
          </cell>
          <cell r="G103" t="str">
            <v>WERVERSHOOF</v>
          </cell>
          <cell r="H103">
            <v>1</v>
          </cell>
          <cell r="I103" t="str">
            <v>Hessing Logistiek</v>
          </cell>
          <cell r="J103">
            <v>1</v>
          </cell>
          <cell r="K103" t="str">
            <v>CBL11 60/40/11 zwart</v>
          </cell>
          <cell r="L103">
            <v>105</v>
          </cell>
          <cell r="M103" t="str">
            <v>447680</v>
          </cell>
          <cell r="N103">
            <v>1</v>
          </cell>
          <cell r="O103">
            <v>42917</v>
          </cell>
        </row>
        <row r="104">
          <cell r="A104">
            <v>476582</v>
          </cell>
          <cell r="B104" t="str">
            <v>476582 - 2</v>
          </cell>
          <cell r="C104">
            <v>8999</v>
          </cell>
          <cell r="D104" t="str">
            <v>HESSING ZWAAGDIJK BV</v>
          </cell>
          <cell r="E104" t="str">
            <v>Nieuwmarkt 8</v>
          </cell>
          <cell r="F104" t="str">
            <v>1681 NP</v>
          </cell>
          <cell r="G104" t="str">
            <v>WERVERSHOOF</v>
          </cell>
          <cell r="H104">
            <v>1</v>
          </cell>
          <cell r="I104" t="str">
            <v>Hessing Logistiek</v>
          </cell>
          <cell r="J104">
            <v>18</v>
          </cell>
          <cell r="K104" t="str">
            <v>CBL 8 30/40/7 zwart</v>
          </cell>
          <cell r="L104">
            <v>44</v>
          </cell>
          <cell r="M104" t="str">
            <v>447680</v>
          </cell>
          <cell r="N104">
            <v>1</v>
          </cell>
          <cell r="O104">
            <v>42917</v>
          </cell>
        </row>
        <row r="105">
          <cell r="A105">
            <v>476582</v>
          </cell>
          <cell r="B105" t="str">
            <v>476582 - 3</v>
          </cell>
          <cell r="C105">
            <v>8999</v>
          </cell>
          <cell r="D105" t="str">
            <v>HESSING ZWAAGDIJK BV</v>
          </cell>
          <cell r="E105" t="str">
            <v>Nieuwmarkt 8</v>
          </cell>
          <cell r="F105" t="str">
            <v>1681 NP</v>
          </cell>
          <cell r="G105" t="str">
            <v>WERVERSHOOF</v>
          </cell>
          <cell r="H105">
            <v>1</v>
          </cell>
          <cell r="I105" t="str">
            <v>Hessing Logistiek</v>
          </cell>
          <cell r="J105">
            <v>26</v>
          </cell>
          <cell r="K105" t="str">
            <v>LD LPR Pallet 120*100</v>
          </cell>
          <cell r="L105">
            <v>8</v>
          </cell>
          <cell r="M105" t="str">
            <v>447680</v>
          </cell>
          <cell r="N105">
            <v>1</v>
          </cell>
          <cell r="O105">
            <v>42917</v>
          </cell>
        </row>
        <row r="106">
          <cell r="A106">
            <v>476582</v>
          </cell>
          <cell r="B106" t="str">
            <v>476582 - 4</v>
          </cell>
          <cell r="C106">
            <v>8999</v>
          </cell>
          <cell r="D106" t="str">
            <v>HESSING ZWAAGDIJK BV</v>
          </cell>
          <cell r="E106" t="str">
            <v>Nieuwmarkt 8</v>
          </cell>
          <cell r="F106" t="str">
            <v>1681 NP</v>
          </cell>
          <cell r="G106" t="str">
            <v>WERVERSHOOF</v>
          </cell>
          <cell r="H106">
            <v>1</v>
          </cell>
          <cell r="I106" t="str">
            <v>Hessing Logistiek</v>
          </cell>
          <cell r="J106">
            <v>240</v>
          </cell>
          <cell r="K106" t="str">
            <v>10404 KF EPS Zwart 40x30x10</v>
          </cell>
          <cell r="L106">
            <v>94</v>
          </cell>
          <cell r="M106" t="str">
            <v>447680</v>
          </cell>
          <cell r="N106">
            <v>1</v>
          </cell>
          <cell r="O106">
            <v>42917</v>
          </cell>
        </row>
        <row r="107">
          <cell r="A107">
            <v>476582</v>
          </cell>
          <cell r="B107" t="str">
            <v>476582 - 5</v>
          </cell>
          <cell r="C107">
            <v>8999</v>
          </cell>
          <cell r="D107" t="str">
            <v>HESSING ZWAAGDIJK BV</v>
          </cell>
          <cell r="E107" t="str">
            <v>Nieuwmarkt 8</v>
          </cell>
          <cell r="F107" t="str">
            <v>1681 NP</v>
          </cell>
          <cell r="G107" t="str">
            <v>WERVERSHOOF</v>
          </cell>
          <cell r="H107">
            <v>1</v>
          </cell>
          <cell r="I107" t="str">
            <v>Hessing Logistiek</v>
          </cell>
          <cell r="J107">
            <v>242</v>
          </cell>
          <cell r="K107" t="str">
            <v>10604 KF EPS Zwart 60x40x10</v>
          </cell>
          <cell r="L107">
            <v>66</v>
          </cell>
          <cell r="M107" t="str">
            <v>447680</v>
          </cell>
          <cell r="N107">
            <v>1</v>
          </cell>
          <cell r="O107">
            <v>42917</v>
          </cell>
        </row>
        <row r="108">
          <cell r="A108">
            <v>476583</v>
          </cell>
          <cell r="B108" t="str">
            <v>476583 - 1</v>
          </cell>
          <cell r="C108">
            <v>8999</v>
          </cell>
          <cell r="D108" t="str">
            <v>HESSING ZWAAGDIJK BV</v>
          </cell>
          <cell r="E108" t="str">
            <v>Nieuwmarkt 8</v>
          </cell>
          <cell r="F108" t="str">
            <v>1681 NP</v>
          </cell>
          <cell r="G108" t="str">
            <v>WERVERSHOOF</v>
          </cell>
          <cell r="H108">
            <v>1</v>
          </cell>
          <cell r="I108" t="str">
            <v>Hessing Logistiek</v>
          </cell>
          <cell r="J108">
            <v>1</v>
          </cell>
          <cell r="K108" t="str">
            <v>CBL11 60/40/11 zwart</v>
          </cell>
          <cell r="L108">
            <v>131</v>
          </cell>
          <cell r="M108" t="str">
            <v>447684</v>
          </cell>
          <cell r="N108">
            <v>1</v>
          </cell>
          <cell r="O108">
            <v>42917</v>
          </cell>
        </row>
        <row r="109">
          <cell r="A109">
            <v>476583</v>
          </cell>
          <cell r="B109" t="str">
            <v>476583 - 2</v>
          </cell>
          <cell r="C109">
            <v>8999</v>
          </cell>
          <cell r="D109" t="str">
            <v>HESSING ZWAAGDIJK BV</v>
          </cell>
          <cell r="E109" t="str">
            <v>Nieuwmarkt 8</v>
          </cell>
          <cell r="F109" t="str">
            <v>1681 NP</v>
          </cell>
          <cell r="G109" t="str">
            <v>WERVERSHOOF</v>
          </cell>
          <cell r="H109">
            <v>1</v>
          </cell>
          <cell r="I109" t="str">
            <v>Hessing Logistiek</v>
          </cell>
          <cell r="J109">
            <v>17</v>
          </cell>
          <cell r="K109" t="str">
            <v>CBL 7 60/40/7 zwart</v>
          </cell>
          <cell r="L109">
            <v>750</v>
          </cell>
          <cell r="M109" t="str">
            <v>447684</v>
          </cell>
          <cell r="N109">
            <v>1</v>
          </cell>
          <cell r="O109">
            <v>42917</v>
          </cell>
        </row>
        <row r="110">
          <cell r="A110">
            <v>476583</v>
          </cell>
          <cell r="B110" t="str">
            <v>476583 - 3</v>
          </cell>
          <cell r="C110">
            <v>8999</v>
          </cell>
          <cell r="D110" t="str">
            <v>HESSING ZWAAGDIJK BV</v>
          </cell>
          <cell r="E110" t="str">
            <v>Nieuwmarkt 8</v>
          </cell>
          <cell r="F110" t="str">
            <v>1681 NP</v>
          </cell>
          <cell r="G110" t="str">
            <v>WERVERSHOOF</v>
          </cell>
          <cell r="H110">
            <v>1</v>
          </cell>
          <cell r="I110" t="str">
            <v>Hessing Logistiek</v>
          </cell>
          <cell r="J110">
            <v>18</v>
          </cell>
          <cell r="K110" t="str">
            <v>CBL 8 30/40/7 zwart</v>
          </cell>
          <cell r="L110">
            <v>155</v>
          </cell>
          <cell r="M110" t="str">
            <v>447684</v>
          </cell>
          <cell r="N110">
            <v>1</v>
          </cell>
          <cell r="O110">
            <v>42917</v>
          </cell>
        </row>
        <row r="111">
          <cell r="A111">
            <v>476583</v>
          </cell>
          <cell r="B111" t="str">
            <v>476583 - 4</v>
          </cell>
          <cell r="C111">
            <v>8999</v>
          </cell>
          <cell r="D111" t="str">
            <v>HESSING ZWAAGDIJK BV</v>
          </cell>
          <cell r="E111" t="str">
            <v>Nieuwmarkt 8</v>
          </cell>
          <cell r="F111" t="str">
            <v>1681 NP</v>
          </cell>
          <cell r="G111" t="str">
            <v>WERVERSHOOF</v>
          </cell>
          <cell r="H111">
            <v>1</v>
          </cell>
          <cell r="I111" t="str">
            <v>Hessing Logistiek</v>
          </cell>
          <cell r="J111">
            <v>26</v>
          </cell>
          <cell r="K111" t="str">
            <v>LD LPR Pallet 120*100</v>
          </cell>
          <cell r="L111">
            <v>24</v>
          </cell>
          <cell r="M111" t="str">
            <v>447684</v>
          </cell>
          <cell r="N111">
            <v>1</v>
          </cell>
          <cell r="O111">
            <v>42917</v>
          </cell>
        </row>
        <row r="112">
          <cell r="A112">
            <v>476583</v>
          </cell>
          <cell r="B112" t="str">
            <v>476583 - 5</v>
          </cell>
          <cell r="C112">
            <v>8999</v>
          </cell>
          <cell r="D112" t="str">
            <v>HESSING ZWAAGDIJK BV</v>
          </cell>
          <cell r="E112" t="str">
            <v>Nieuwmarkt 8</v>
          </cell>
          <cell r="F112" t="str">
            <v>1681 NP</v>
          </cell>
          <cell r="G112" t="str">
            <v>WERVERSHOOF</v>
          </cell>
          <cell r="H112">
            <v>1</v>
          </cell>
          <cell r="I112" t="str">
            <v>Hessing Logistiek</v>
          </cell>
          <cell r="J112">
            <v>240</v>
          </cell>
          <cell r="K112" t="str">
            <v>10404 KF EPS Zwart 40x30x10</v>
          </cell>
          <cell r="L112">
            <v>928</v>
          </cell>
          <cell r="M112" t="str">
            <v>447684</v>
          </cell>
          <cell r="N112">
            <v>1</v>
          </cell>
          <cell r="O112">
            <v>42917</v>
          </cell>
        </row>
        <row r="113">
          <cell r="A113">
            <v>476583</v>
          </cell>
          <cell r="B113" t="str">
            <v>476583 - 6</v>
          </cell>
          <cell r="C113">
            <v>8999</v>
          </cell>
          <cell r="D113" t="str">
            <v>HESSING ZWAAGDIJK BV</v>
          </cell>
          <cell r="E113" t="str">
            <v>Nieuwmarkt 8</v>
          </cell>
          <cell r="F113" t="str">
            <v>1681 NP</v>
          </cell>
          <cell r="G113" t="str">
            <v>WERVERSHOOF</v>
          </cell>
          <cell r="H113">
            <v>1</v>
          </cell>
          <cell r="I113" t="str">
            <v>Hessing Logistiek</v>
          </cell>
          <cell r="J113">
            <v>242</v>
          </cell>
          <cell r="K113" t="str">
            <v>10604 KF EPS Zwart 60x40x10</v>
          </cell>
          <cell r="L113">
            <v>290</v>
          </cell>
          <cell r="M113" t="str">
            <v>447684</v>
          </cell>
          <cell r="N113">
            <v>1</v>
          </cell>
          <cell r="O113">
            <v>42917</v>
          </cell>
        </row>
        <row r="114">
          <cell r="A114">
            <v>476584</v>
          </cell>
          <cell r="B114" t="str">
            <v>476584 - 1</v>
          </cell>
          <cell r="C114">
            <v>8999</v>
          </cell>
          <cell r="D114" t="str">
            <v>HESSING ZWAAGDIJK BV</v>
          </cell>
          <cell r="E114" t="str">
            <v>Nieuwmarkt 8</v>
          </cell>
          <cell r="F114" t="str">
            <v>1681 NP</v>
          </cell>
          <cell r="G114" t="str">
            <v>WERVERSHOOF</v>
          </cell>
          <cell r="H114">
            <v>1</v>
          </cell>
          <cell r="I114" t="str">
            <v>Hessing Logistiek</v>
          </cell>
          <cell r="J114">
            <v>1</v>
          </cell>
          <cell r="K114" t="str">
            <v>CBL11 60/40/11 zwart</v>
          </cell>
          <cell r="L114">
            <v>15</v>
          </cell>
          <cell r="M114" t="str">
            <v>447629</v>
          </cell>
          <cell r="N114">
            <v>1</v>
          </cell>
          <cell r="O114">
            <v>42917</v>
          </cell>
        </row>
        <row r="115">
          <cell r="A115">
            <v>476584</v>
          </cell>
          <cell r="B115" t="str">
            <v>476584 - 2</v>
          </cell>
          <cell r="C115">
            <v>8999</v>
          </cell>
          <cell r="D115" t="str">
            <v>HESSING ZWAAGDIJK BV</v>
          </cell>
          <cell r="E115" t="str">
            <v>Nieuwmarkt 8</v>
          </cell>
          <cell r="F115" t="str">
            <v>1681 NP</v>
          </cell>
          <cell r="G115" t="str">
            <v>WERVERSHOOF</v>
          </cell>
          <cell r="H115">
            <v>1</v>
          </cell>
          <cell r="I115" t="str">
            <v>Hessing Logistiek</v>
          </cell>
          <cell r="J115">
            <v>26</v>
          </cell>
          <cell r="K115" t="str">
            <v>LD LPR Pallet 120*100</v>
          </cell>
          <cell r="L115">
            <v>2</v>
          </cell>
          <cell r="M115" t="str">
            <v>447629</v>
          </cell>
          <cell r="N115">
            <v>1</v>
          </cell>
          <cell r="O115">
            <v>42917</v>
          </cell>
        </row>
        <row r="116">
          <cell r="A116">
            <v>476585</v>
          </cell>
          <cell r="B116" t="str">
            <v>476585 - 1</v>
          </cell>
          <cell r="C116">
            <v>8999</v>
          </cell>
          <cell r="D116" t="str">
            <v>HESSING ZWAAGDIJK BV</v>
          </cell>
          <cell r="E116" t="str">
            <v>Nieuwmarkt 8</v>
          </cell>
          <cell r="F116" t="str">
            <v>1681 NP</v>
          </cell>
          <cell r="G116" t="str">
            <v>WERVERSHOOF</v>
          </cell>
          <cell r="H116">
            <v>1</v>
          </cell>
          <cell r="I116" t="str">
            <v>Hessing Logistiek</v>
          </cell>
          <cell r="J116">
            <v>26</v>
          </cell>
          <cell r="K116" t="str">
            <v>LD LPR Pallet 120*100</v>
          </cell>
          <cell r="L116">
            <v>11</v>
          </cell>
          <cell r="M116" t="str">
            <v>447692</v>
          </cell>
          <cell r="N116">
            <v>1</v>
          </cell>
          <cell r="O116">
            <v>42917</v>
          </cell>
        </row>
        <row r="117">
          <cell r="A117">
            <v>476585</v>
          </cell>
          <cell r="B117" t="str">
            <v>476585 - 2</v>
          </cell>
          <cell r="C117">
            <v>8999</v>
          </cell>
          <cell r="D117" t="str">
            <v>HESSING ZWAAGDIJK BV</v>
          </cell>
          <cell r="E117" t="str">
            <v>Nieuwmarkt 8</v>
          </cell>
          <cell r="F117" t="str">
            <v>1681 NP</v>
          </cell>
          <cell r="G117" t="str">
            <v>WERVERSHOOF</v>
          </cell>
          <cell r="H117">
            <v>1</v>
          </cell>
          <cell r="I117" t="str">
            <v>Hessing Logistiek</v>
          </cell>
          <cell r="J117">
            <v>240</v>
          </cell>
          <cell r="K117" t="str">
            <v>10404 KF EPS Zwart 40x30x10</v>
          </cell>
          <cell r="L117">
            <v>23</v>
          </cell>
          <cell r="M117" t="str">
            <v>447692</v>
          </cell>
          <cell r="N117">
            <v>1</v>
          </cell>
          <cell r="O117">
            <v>42917</v>
          </cell>
        </row>
        <row r="118">
          <cell r="A118">
            <v>476585</v>
          </cell>
          <cell r="B118" t="str">
            <v>476585 - 3</v>
          </cell>
          <cell r="C118">
            <v>8999</v>
          </cell>
          <cell r="D118" t="str">
            <v>HESSING ZWAAGDIJK BV</v>
          </cell>
          <cell r="E118" t="str">
            <v>Nieuwmarkt 8</v>
          </cell>
          <cell r="F118" t="str">
            <v>1681 NP</v>
          </cell>
          <cell r="G118" t="str">
            <v>WERVERSHOOF</v>
          </cell>
          <cell r="H118">
            <v>1</v>
          </cell>
          <cell r="I118" t="str">
            <v>Hessing Logistiek</v>
          </cell>
          <cell r="J118">
            <v>242</v>
          </cell>
          <cell r="K118" t="str">
            <v>10604 KF EPS Zwart 60x40x10</v>
          </cell>
          <cell r="L118">
            <v>216</v>
          </cell>
          <cell r="M118" t="str">
            <v>447692</v>
          </cell>
          <cell r="N118">
            <v>1</v>
          </cell>
          <cell r="O118">
            <v>42917</v>
          </cell>
        </row>
        <row r="119">
          <cell r="A119">
            <v>476585</v>
          </cell>
          <cell r="B119" t="str">
            <v>476585 - 4</v>
          </cell>
          <cell r="C119">
            <v>8999</v>
          </cell>
          <cell r="D119" t="str">
            <v>HESSING ZWAAGDIJK BV</v>
          </cell>
          <cell r="E119" t="str">
            <v>Nieuwmarkt 8</v>
          </cell>
          <cell r="F119" t="str">
            <v>1681 NP</v>
          </cell>
          <cell r="G119" t="str">
            <v>WERVERSHOOF</v>
          </cell>
          <cell r="H119">
            <v>1</v>
          </cell>
          <cell r="I119" t="str">
            <v>Hessing Logistiek</v>
          </cell>
          <cell r="J119">
            <v>243</v>
          </cell>
          <cell r="K119" t="str">
            <v>13604 KF EPS Zwart 60x40x12</v>
          </cell>
          <cell r="L119">
            <v>285</v>
          </cell>
          <cell r="M119" t="str">
            <v>447692</v>
          </cell>
          <cell r="N119">
            <v>1</v>
          </cell>
          <cell r="O119">
            <v>42917</v>
          </cell>
        </row>
        <row r="120">
          <cell r="A120">
            <v>476586</v>
          </cell>
          <cell r="B120" t="str">
            <v>476586 - 1</v>
          </cell>
          <cell r="C120">
            <v>3223</v>
          </cell>
          <cell r="D120" t="str">
            <v>RUTHER FRESH FOOD</v>
          </cell>
          <cell r="E120" t="str">
            <v>Zur Feuerwache 3</v>
          </cell>
          <cell r="F120" t="str">
            <v>41812</v>
          </cell>
          <cell r="G120" t="str">
            <v>Erkelenz (Germany)</v>
          </cell>
          <cell r="H120">
            <v>5</v>
          </cell>
          <cell r="I120" t="str">
            <v>Niet in gebruik</v>
          </cell>
          <cell r="J120">
            <v>5</v>
          </cell>
          <cell r="K120" t="str">
            <v>EPS 11 laag (60/40/11)</v>
          </cell>
          <cell r="L120">
            <v>36</v>
          </cell>
          <cell r="M120" t="str">
            <v/>
          </cell>
          <cell r="N120">
            <v>1</v>
          </cell>
          <cell r="O120">
            <v>42919</v>
          </cell>
        </row>
        <row r="121">
          <cell r="A121">
            <v>476586</v>
          </cell>
          <cell r="B121" t="str">
            <v>476586 - 2</v>
          </cell>
          <cell r="C121">
            <v>3223</v>
          </cell>
          <cell r="D121" t="str">
            <v>RUTHER FRESH FOOD</v>
          </cell>
          <cell r="E121" t="str">
            <v>Zur Feuerwache 3</v>
          </cell>
          <cell r="F121" t="str">
            <v>41812</v>
          </cell>
          <cell r="G121" t="str">
            <v>Erkelenz (Germany)</v>
          </cell>
          <cell r="H121">
            <v>5</v>
          </cell>
          <cell r="I121" t="str">
            <v>Niet in gebruik</v>
          </cell>
          <cell r="J121">
            <v>12</v>
          </cell>
          <cell r="K121" t="str">
            <v>LD Europallets 120x80</v>
          </cell>
          <cell r="L121">
            <v>2</v>
          </cell>
          <cell r="M121" t="str">
            <v/>
          </cell>
          <cell r="N121">
            <v>1</v>
          </cell>
          <cell r="O121">
            <v>42919</v>
          </cell>
        </row>
        <row r="122">
          <cell r="A122">
            <v>476587</v>
          </cell>
          <cell r="B122" t="str">
            <v>476587 - 1</v>
          </cell>
          <cell r="C122">
            <v>3223</v>
          </cell>
          <cell r="D122" t="str">
            <v>RUTHER FRESH FOOD</v>
          </cell>
          <cell r="E122" t="str">
            <v>Zur Feuerwache 3</v>
          </cell>
          <cell r="F122" t="str">
            <v>41812</v>
          </cell>
          <cell r="G122" t="str">
            <v>Erkelenz (Germany)</v>
          </cell>
          <cell r="H122">
            <v>5</v>
          </cell>
          <cell r="I122" t="str">
            <v>Niet in gebruik</v>
          </cell>
          <cell r="J122">
            <v>5</v>
          </cell>
          <cell r="K122" t="str">
            <v>EPS 11 laag (60/40/11)</v>
          </cell>
          <cell r="L122">
            <v>41</v>
          </cell>
          <cell r="M122" t="str">
            <v/>
          </cell>
          <cell r="N122">
            <v>1</v>
          </cell>
          <cell r="O122">
            <v>42917</v>
          </cell>
        </row>
        <row r="123">
          <cell r="A123">
            <v>476589</v>
          </cell>
          <cell r="B123" t="str">
            <v>476589 - 1</v>
          </cell>
          <cell r="C123">
            <v>8999</v>
          </cell>
          <cell r="D123" t="str">
            <v>HESSING ZWAAGDIJK BV</v>
          </cell>
          <cell r="E123" t="str">
            <v>Nieuwmarkt 8</v>
          </cell>
          <cell r="F123" t="str">
            <v>1681 NP</v>
          </cell>
          <cell r="G123" t="str">
            <v>WERVERSHOOF</v>
          </cell>
          <cell r="H123">
            <v>1</v>
          </cell>
          <cell r="I123" t="str">
            <v>Hessing Logistiek</v>
          </cell>
          <cell r="J123">
            <v>26</v>
          </cell>
          <cell r="K123" t="str">
            <v>LD LPR Pallet 120*100</v>
          </cell>
          <cell r="L123">
            <v>6</v>
          </cell>
          <cell r="M123" t="str">
            <v>447670</v>
          </cell>
          <cell r="N123">
            <v>1</v>
          </cell>
          <cell r="O123">
            <v>42917</v>
          </cell>
        </row>
        <row r="124">
          <cell r="A124">
            <v>476589</v>
          </cell>
          <cell r="B124" t="str">
            <v>476589 - 2</v>
          </cell>
          <cell r="C124">
            <v>8999</v>
          </cell>
          <cell r="D124" t="str">
            <v>HESSING ZWAAGDIJK BV</v>
          </cell>
          <cell r="E124" t="str">
            <v>Nieuwmarkt 8</v>
          </cell>
          <cell r="F124" t="str">
            <v>1681 NP</v>
          </cell>
          <cell r="G124" t="str">
            <v>WERVERSHOOF</v>
          </cell>
          <cell r="H124">
            <v>1</v>
          </cell>
          <cell r="I124" t="str">
            <v>Hessing Logistiek</v>
          </cell>
          <cell r="J124">
            <v>240</v>
          </cell>
          <cell r="K124" t="str">
            <v>10404 KF EPS Zwart 40x30x10</v>
          </cell>
          <cell r="L124">
            <v>260</v>
          </cell>
          <cell r="M124" t="str">
            <v>447670</v>
          </cell>
          <cell r="N124">
            <v>1</v>
          </cell>
          <cell r="O124">
            <v>42917</v>
          </cell>
        </row>
        <row r="125">
          <cell r="A125">
            <v>476589</v>
          </cell>
          <cell r="B125" t="str">
            <v>476589 - 3</v>
          </cell>
          <cell r="C125">
            <v>8999</v>
          </cell>
          <cell r="D125" t="str">
            <v>HESSING ZWAAGDIJK BV</v>
          </cell>
          <cell r="E125" t="str">
            <v>Nieuwmarkt 8</v>
          </cell>
          <cell r="F125" t="str">
            <v>1681 NP</v>
          </cell>
          <cell r="G125" t="str">
            <v>WERVERSHOOF</v>
          </cell>
          <cell r="H125">
            <v>1</v>
          </cell>
          <cell r="I125" t="str">
            <v>Hessing Logistiek</v>
          </cell>
          <cell r="J125">
            <v>241</v>
          </cell>
          <cell r="K125" t="str">
            <v>15404 KF EPS Zwart 40x30x15</v>
          </cell>
          <cell r="L125">
            <v>112</v>
          </cell>
          <cell r="M125" t="str">
            <v>447670</v>
          </cell>
          <cell r="N125">
            <v>1</v>
          </cell>
          <cell r="O125">
            <v>42917</v>
          </cell>
        </row>
        <row r="126">
          <cell r="A126">
            <v>476590</v>
          </cell>
          <cell r="B126" t="str">
            <v>476590 - 1</v>
          </cell>
          <cell r="C126">
            <v>8999</v>
          </cell>
          <cell r="D126" t="str">
            <v>HESSING ZWAAGDIJK BV</v>
          </cell>
          <cell r="E126" t="str">
            <v>Nieuwmarkt 8</v>
          </cell>
          <cell r="F126" t="str">
            <v>1681 NP</v>
          </cell>
          <cell r="G126" t="str">
            <v>WERVERSHOOF</v>
          </cell>
          <cell r="H126">
            <v>1</v>
          </cell>
          <cell r="I126" t="str">
            <v>Hessing Logistiek</v>
          </cell>
          <cell r="J126">
            <v>26</v>
          </cell>
          <cell r="K126" t="str">
            <v>LD LPR Pallet 120*100</v>
          </cell>
          <cell r="L126">
            <v>17</v>
          </cell>
          <cell r="M126" t="str">
            <v>447669</v>
          </cell>
          <cell r="N126">
            <v>1</v>
          </cell>
          <cell r="O126">
            <v>42917</v>
          </cell>
        </row>
        <row r="127">
          <cell r="A127">
            <v>476590</v>
          </cell>
          <cell r="B127" t="str">
            <v>476590 - 2</v>
          </cell>
          <cell r="C127">
            <v>8999</v>
          </cell>
          <cell r="D127" t="str">
            <v>HESSING ZWAAGDIJK BV</v>
          </cell>
          <cell r="E127" t="str">
            <v>Nieuwmarkt 8</v>
          </cell>
          <cell r="F127" t="str">
            <v>1681 NP</v>
          </cell>
          <cell r="G127" t="str">
            <v>WERVERSHOOF</v>
          </cell>
          <cell r="H127">
            <v>1</v>
          </cell>
          <cell r="I127" t="str">
            <v>Hessing Logistiek</v>
          </cell>
          <cell r="J127">
            <v>240</v>
          </cell>
          <cell r="K127" t="str">
            <v>10404 KF EPS Zwart 40x30x10</v>
          </cell>
          <cell r="L127">
            <v>627</v>
          </cell>
          <cell r="M127" t="str">
            <v>447669</v>
          </cell>
          <cell r="N127">
            <v>1</v>
          </cell>
          <cell r="O127">
            <v>42917</v>
          </cell>
        </row>
        <row r="128">
          <cell r="A128">
            <v>476590</v>
          </cell>
          <cell r="B128" t="str">
            <v>476590 - 3</v>
          </cell>
          <cell r="C128">
            <v>8999</v>
          </cell>
          <cell r="D128" t="str">
            <v>HESSING ZWAAGDIJK BV</v>
          </cell>
          <cell r="E128" t="str">
            <v>Nieuwmarkt 8</v>
          </cell>
          <cell r="F128" t="str">
            <v>1681 NP</v>
          </cell>
          <cell r="G128" t="str">
            <v>WERVERSHOOF</v>
          </cell>
          <cell r="H128">
            <v>1</v>
          </cell>
          <cell r="I128" t="str">
            <v>Hessing Logistiek</v>
          </cell>
          <cell r="J128">
            <v>242</v>
          </cell>
          <cell r="K128" t="str">
            <v>10604 KF EPS Zwart 60x40x10</v>
          </cell>
          <cell r="L128">
            <v>1233</v>
          </cell>
          <cell r="M128" t="str">
            <v>447669</v>
          </cell>
          <cell r="N128">
            <v>1</v>
          </cell>
          <cell r="O128">
            <v>42917</v>
          </cell>
        </row>
        <row r="129">
          <cell r="A129">
            <v>476591</v>
          </cell>
          <cell r="B129" t="str">
            <v>476591 - 1</v>
          </cell>
          <cell r="C129">
            <v>8999</v>
          </cell>
          <cell r="D129" t="str">
            <v>HESSING ZWAAGDIJK BV</v>
          </cell>
          <cell r="E129" t="str">
            <v>Nieuwmarkt 8</v>
          </cell>
          <cell r="F129" t="str">
            <v>1681 NP</v>
          </cell>
          <cell r="G129" t="str">
            <v>WERVERSHOOF</v>
          </cell>
          <cell r="H129">
            <v>1</v>
          </cell>
          <cell r="I129" t="str">
            <v>Hessing Logistiek</v>
          </cell>
          <cell r="J129">
            <v>26</v>
          </cell>
          <cell r="K129" t="str">
            <v>LD LPR Pallet 120*100</v>
          </cell>
          <cell r="L129">
            <v>7</v>
          </cell>
          <cell r="M129" t="str">
            <v>447692</v>
          </cell>
          <cell r="N129">
            <v>1</v>
          </cell>
          <cell r="O129">
            <v>42917</v>
          </cell>
        </row>
        <row r="130">
          <cell r="A130">
            <v>476591</v>
          </cell>
          <cell r="B130" t="str">
            <v>476591 - 2</v>
          </cell>
          <cell r="C130">
            <v>8999</v>
          </cell>
          <cell r="D130" t="str">
            <v>HESSING ZWAAGDIJK BV</v>
          </cell>
          <cell r="E130" t="str">
            <v>Nieuwmarkt 8</v>
          </cell>
          <cell r="F130" t="str">
            <v>1681 NP</v>
          </cell>
          <cell r="G130" t="str">
            <v>WERVERSHOOF</v>
          </cell>
          <cell r="H130">
            <v>1</v>
          </cell>
          <cell r="I130" t="str">
            <v>Hessing Logistiek</v>
          </cell>
          <cell r="J130">
            <v>240</v>
          </cell>
          <cell r="K130" t="str">
            <v>10404 KF EPS Zwart 40x30x10</v>
          </cell>
          <cell r="L130">
            <v>37</v>
          </cell>
          <cell r="M130" t="str">
            <v>447692</v>
          </cell>
          <cell r="N130">
            <v>1</v>
          </cell>
          <cell r="O130">
            <v>42917</v>
          </cell>
        </row>
        <row r="131">
          <cell r="A131">
            <v>476591</v>
          </cell>
          <cell r="B131" t="str">
            <v>476591 - 3</v>
          </cell>
          <cell r="C131">
            <v>8999</v>
          </cell>
          <cell r="D131" t="str">
            <v>HESSING ZWAAGDIJK BV</v>
          </cell>
          <cell r="E131" t="str">
            <v>Nieuwmarkt 8</v>
          </cell>
          <cell r="F131" t="str">
            <v>1681 NP</v>
          </cell>
          <cell r="G131" t="str">
            <v>WERVERSHOOF</v>
          </cell>
          <cell r="H131">
            <v>1</v>
          </cell>
          <cell r="I131" t="str">
            <v>Hessing Logistiek</v>
          </cell>
          <cell r="J131">
            <v>242</v>
          </cell>
          <cell r="K131" t="str">
            <v>10604 KF EPS Zwart 60x40x10</v>
          </cell>
          <cell r="L131">
            <v>221</v>
          </cell>
          <cell r="M131" t="str">
            <v>447692</v>
          </cell>
          <cell r="N131">
            <v>1</v>
          </cell>
          <cell r="O131">
            <v>42917</v>
          </cell>
        </row>
        <row r="132">
          <cell r="A132">
            <v>476592</v>
          </cell>
          <cell r="B132" t="str">
            <v>476592 - 1</v>
          </cell>
          <cell r="C132">
            <v>8999</v>
          </cell>
          <cell r="D132" t="str">
            <v>HESSING ZWAAGDIJK BV</v>
          </cell>
          <cell r="E132" t="str">
            <v>Nieuwmarkt 8</v>
          </cell>
          <cell r="F132" t="str">
            <v>1681 NP</v>
          </cell>
          <cell r="G132" t="str">
            <v>WERVERSHOOF</v>
          </cell>
          <cell r="H132">
            <v>1</v>
          </cell>
          <cell r="I132" t="str">
            <v>Hessing Logistiek</v>
          </cell>
          <cell r="J132">
            <v>1</v>
          </cell>
          <cell r="K132" t="str">
            <v>CBL11 60/40/11 zwart</v>
          </cell>
          <cell r="L132">
            <v>170</v>
          </cell>
          <cell r="M132" t="str">
            <v>447684</v>
          </cell>
          <cell r="N132">
            <v>1</v>
          </cell>
          <cell r="O132">
            <v>42917</v>
          </cell>
        </row>
        <row r="133">
          <cell r="A133">
            <v>476592</v>
          </cell>
          <cell r="B133" t="str">
            <v>476592 - 2</v>
          </cell>
          <cell r="C133">
            <v>8999</v>
          </cell>
          <cell r="D133" t="str">
            <v>HESSING ZWAAGDIJK BV</v>
          </cell>
          <cell r="E133" t="str">
            <v>Nieuwmarkt 8</v>
          </cell>
          <cell r="F133" t="str">
            <v>1681 NP</v>
          </cell>
          <cell r="G133" t="str">
            <v>WERVERSHOOF</v>
          </cell>
          <cell r="H133">
            <v>1</v>
          </cell>
          <cell r="I133" t="str">
            <v>Hessing Logistiek</v>
          </cell>
          <cell r="J133">
            <v>17</v>
          </cell>
          <cell r="K133" t="str">
            <v>CBL 7 60/40/7 zwart</v>
          </cell>
          <cell r="L133">
            <v>593</v>
          </cell>
          <cell r="M133" t="str">
            <v>447684</v>
          </cell>
          <cell r="N133">
            <v>1</v>
          </cell>
          <cell r="O133">
            <v>42917</v>
          </cell>
        </row>
        <row r="134">
          <cell r="A134">
            <v>476592</v>
          </cell>
          <cell r="B134" t="str">
            <v>476592 - 3</v>
          </cell>
          <cell r="C134">
            <v>8999</v>
          </cell>
          <cell r="D134" t="str">
            <v>HESSING ZWAAGDIJK BV</v>
          </cell>
          <cell r="E134" t="str">
            <v>Nieuwmarkt 8</v>
          </cell>
          <cell r="F134" t="str">
            <v>1681 NP</v>
          </cell>
          <cell r="G134" t="str">
            <v>WERVERSHOOF</v>
          </cell>
          <cell r="H134">
            <v>1</v>
          </cell>
          <cell r="I134" t="str">
            <v>Hessing Logistiek</v>
          </cell>
          <cell r="J134">
            <v>26</v>
          </cell>
          <cell r="K134" t="str">
            <v>LD LPR Pallet 120*100</v>
          </cell>
          <cell r="L134">
            <v>29</v>
          </cell>
          <cell r="M134" t="str">
            <v>447684</v>
          </cell>
          <cell r="N134">
            <v>1</v>
          </cell>
          <cell r="O134">
            <v>42917</v>
          </cell>
        </row>
        <row r="135">
          <cell r="A135">
            <v>476592</v>
          </cell>
          <cell r="B135" t="str">
            <v>476592 - 4</v>
          </cell>
          <cell r="C135">
            <v>8999</v>
          </cell>
          <cell r="D135" t="str">
            <v>HESSING ZWAAGDIJK BV</v>
          </cell>
          <cell r="E135" t="str">
            <v>Nieuwmarkt 8</v>
          </cell>
          <cell r="F135" t="str">
            <v>1681 NP</v>
          </cell>
          <cell r="G135" t="str">
            <v>WERVERSHOOF</v>
          </cell>
          <cell r="H135">
            <v>1</v>
          </cell>
          <cell r="I135" t="str">
            <v>Hessing Logistiek</v>
          </cell>
          <cell r="J135">
            <v>240</v>
          </cell>
          <cell r="K135" t="str">
            <v>10404 KF EPS Zwart 40x30x10</v>
          </cell>
          <cell r="L135">
            <v>2198</v>
          </cell>
          <cell r="M135" t="str">
            <v>447684</v>
          </cell>
          <cell r="N135">
            <v>1</v>
          </cell>
          <cell r="O135">
            <v>42917</v>
          </cell>
        </row>
        <row r="136">
          <cell r="A136">
            <v>476592</v>
          </cell>
          <cell r="B136" t="str">
            <v>476592 - 5</v>
          </cell>
          <cell r="C136">
            <v>8999</v>
          </cell>
          <cell r="D136" t="str">
            <v>HESSING ZWAAGDIJK BV</v>
          </cell>
          <cell r="E136" t="str">
            <v>Nieuwmarkt 8</v>
          </cell>
          <cell r="F136" t="str">
            <v>1681 NP</v>
          </cell>
          <cell r="G136" t="str">
            <v>WERVERSHOOF</v>
          </cell>
          <cell r="H136">
            <v>1</v>
          </cell>
          <cell r="I136" t="str">
            <v>Hessing Logistiek</v>
          </cell>
          <cell r="J136">
            <v>242</v>
          </cell>
          <cell r="K136" t="str">
            <v>10604 KF EPS Zwart 60x40x10</v>
          </cell>
          <cell r="L136">
            <v>269</v>
          </cell>
          <cell r="M136" t="str">
            <v>447684</v>
          </cell>
          <cell r="N136">
            <v>1</v>
          </cell>
          <cell r="O136">
            <v>42917</v>
          </cell>
        </row>
        <row r="137">
          <cell r="A137">
            <v>476593</v>
          </cell>
          <cell r="B137" t="str">
            <v>476593 - 1</v>
          </cell>
          <cell r="C137">
            <v>8999</v>
          </cell>
          <cell r="D137" t="str">
            <v>HESSING ZWAAGDIJK BV</v>
          </cell>
          <cell r="E137" t="str">
            <v>Nieuwmarkt 8</v>
          </cell>
          <cell r="F137" t="str">
            <v>1681 NP</v>
          </cell>
          <cell r="G137" t="str">
            <v>WERVERSHOOF</v>
          </cell>
          <cell r="H137">
            <v>1</v>
          </cell>
          <cell r="I137" t="str">
            <v>Hessing Logistiek</v>
          </cell>
          <cell r="J137">
            <v>26</v>
          </cell>
          <cell r="K137" t="str">
            <v>LD LPR Pallet 120*100</v>
          </cell>
          <cell r="L137">
            <v>41</v>
          </cell>
          <cell r="M137" t="str">
            <v>447669</v>
          </cell>
          <cell r="N137">
            <v>1</v>
          </cell>
          <cell r="O137">
            <v>42917</v>
          </cell>
        </row>
        <row r="138">
          <cell r="A138">
            <v>476593</v>
          </cell>
          <cell r="B138" t="str">
            <v>476593 - 2</v>
          </cell>
          <cell r="C138">
            <v>8999</v>
          </cell>
          <cell r="D138" t="str">
            <v>HESSING ZWAAGDIJK BV</v>
          </cell>
          <cell r="E138" t="str">
            <v>Nieuwmarkt 8</v>
          </cell>
          <cell r="F138" t="str">
            <v>1681 NP</v>
          </cell>
          <cell r="G138" t="str">
            <v>WERVERSHOOF</v>
          </cell>
          <cell r="H138">
            <v>1</v>
          </cell>
          <cell r="I138" t="str">
            <v>Hessing Logistiek</v>
          </cell>
          <cell r="J138">
            <v>240</v>
          </cell>
          <cell r="K138" t="str">
            <v>10404 KF EPS Zwart 40x30x10</v>
          </cell>
          <cell r="L138">
            <v>1887</v>
          </cell>
          <cell r="M138" t="str">
            <v>447669</v>
          </cell>
          <cell r="N138">
            <v>1</v>
          </cell>
          <cell r="O138">
            <v>42917</v>
          </cell>
        </row>
        <row r="139">
          <cell r="A139">
            <v>476593</v>
          </cell>
          <cell r="B139" t="str">
            <v>476593 - 3</v>
          </cell>
          <cell r="C139">
            <v>8999</v>
          </cell>
          <cell r="D139" t="str">
            <v>HESSING ZWAAGDIJK BV</v>
          </cell>
          <cell r="E139" t="str">
            <v>Nieuwmarkt 8</v>
          </cell>
          <cell r="F139" t="str">
            <v>1681 NP</v>
          </cell>
          <cell r="G139" t="str">
            <v>WERVERSHOOF</v>
          </cell>
          <cell r="H139">
            <v>1</v>
          </cell>
          <cell r="I139" t="str">
            <v>Hessing Logistiek</v>
          </cell>
          <cell r="J139">
            <v>242</v>
          </cell>
          <cell r="K139" t="str">
            <v>10604 KF EPS Zwart 60x40x10</v>
          </cell>
          <cell r="L139">
            <v>2662</v>
          </cell>
          <cell r="M139" t="str">
            <v>447669</v>
          </cell>
          <cell r="N139">
            <v>1</v>
          </cell>
          <cell r="O139">
            <v>42917</v>
          </cell>
        </row>
        <row r="140">
          <cell r="A140">
            <v>476594</v>
          </cell>
          <cell r="B140" t="str">
            <v>476594 - 1</v>
          </cell>
          <cell r="C140">
            <v>8999</v>
          </cell>
          <cell r="D140" t="str">
            <v>HESSING ZWAAGDIJK BV</v>
          </cell>
          <cell r="E140" t="str">
            <v>Nieuwmarkt 8</v>
          </cell>
          <cell r="F140" t="str">
            <v>1681 NP</v>
          </cell>
          <cell r="G140" t="str">
            <v>WERVERSHOOF</v>
          </cell>
          <cell r="H140">
            <v>1</v>
          </cell>
          <cell r="I140" t="str">
            <v>Hessing Logistiek</v>
          </cell>
          <cell r="J140">
            <v>17</v>
          </cell>
          <cell r="K140" t="str">
            <v>CBL 7 60/40/7 zwart</v>
          </cell>
          <cell r="L140">
            <v>245</v>
          </cell>
          <cell r="M140" t="str">
            <v>447680</v>
          </cell>
          <cell r="N140">
            <v>1</v>
          </cell>
          <cell r="O140">
            <v>42917</v>
          </cell>
        </row>
        <row r="141">
          <cell r="A141">
            <v>476594</v>
          </cell>
          <cell r="B141" t="str">
            <v>476594 - 2</v>
          </cell>
          <cell r="C141">
            <v>8999</v>
          </cell>
          <cell r="D141" t="str">
            <v>HESSING ZWAAGDIJK BV</v>
          </cell>
          <cell r="E141" t="str">
            <v>Nieuwmarkt 8</v>
          </cell>
          <cell r="F141" t="str">
            <v>1681 NP</v>
          </cell>
          <cell r="G141" t="str">
            <v>WERVERSHOOF</v>
          </cell>
          <cell r="H141">
            <v>1</v>
          </cell>
          <cell r="I141" t="str">
            <v>Hessing Logistiek</v>
          </cell>
          <cell r="J141">
            <v>26</v>
          </cell>
          <cell r="K141" t="str">
            <v>LD LPR Pallet 120*100</v>
          </cell>
          <cell r="L141">
            <v>15</v>
          </cell>
          <cell r="M141" t="str">
            <v>447680</v>
          </cell>
          <cell r="N141">
            <v>1</v>
          </cell>
          <cell r="O141">
            <v>42917</v>
          </cell>
        </row>
        <row r="142">
          <cell r="A142">
            <v>476594</v>
          </cell>
          <cell r="B142" t="str">
            <v>476594 - 3</v>
          </cell>
          <cell r="C142">
            <v>8999</v>
          </cell>
          <cell r="D142" t="str">
            <v>HESSING ZWAAGDIJK BV</v>
          </cell>
          <cell r="E142" t="str">
            <v>Nieuwmarkt 8</v>
          </cell>
          <cell r="F142" t="str">
            <v>1681 NP</v>
          </cell>
          <cell r="G142" t="str">
            <v>WERVERSHOOF</v>
          </cell>
          <cell r="H142">
            <v>1</v>
          </cell>
          <cell r="I142" t="str">
            <v>Hessing Logistiek</v>
          </cell>
          <cell r="J142">
            <v>240</v>
          </cell>
          <cell r="K142" t="str">
            <v>10404 KF EPS Zwart 40x30x10</v>
          </cell>
          <cell r="L142">
            <v>499</v>
          </cell>
          <cell r="M142" t="str">
            <v>447680</v>
          </cell>
          <cell r="N142">
            <v>1</v>
          </cell>
          <cell r="O142">
            <v>42917</v>
          </cell>
        </row>
        <row r="143">
          <cell r="A143">
            <v>476594</v>
          </cell>
          <cell r="B143" t="str">
            <v>476594 - 4</v>
          </cell>
          <cell r="C143">
            <v>8999</v>
          </cell>
          <cell r="D143" t="str">
            <v>HESSING ZWAAGDIJK BV</v>
          </cell>
          <cell r="E143" t="str">
            <v>Nieuwmarkt 8</v>
          </cell>
          <cell r="F143" t="str">
            <v>1681 NP</v>
          </cell>
          <cell r="G143" t="str">
            <v>WERVERSHOOF</v>
          </cell>
          <cell r="H143">
            <v>1</v>
          </cell>
          <cell r="I143" t="str">
            <v>Hessing Logistiek</v>
          </cell>
          <cell r="J143">
            <v>242</v>
          </cell>
          <cell r="K143" t="str">
            <v>10604 KF EPS Zwart 60x40x10</v>
          </cell>
          <cell r="L143">
            <v>184</v>
          </cell>
          <cell r="M143" t="str">
            <v>447680</v>
          </cell>
          <cell r="N143">
            <v>1</v>
          </cell>
          <cell r="O143">
            <v>42917</v>
          </cell>
        </row>
        <row r="144">
          <cell r="A144">
            <v>476595</v>
          </cell>
          <cell r="B144" t="str">
            <v>476595 - 1</v>
          </cell>
          <cell r="C144">
            <v>8999</v>
          </cell>
          <cell r="D144" t="str">
            <v>HESSING ZWAAGDIJK BV</v>
          </cell>
          <cell r="E144" t="str">
            <v>Nieuwmarkt 8</v>
          </cell>
          <cell r="F144" t="str">
            <v>1681 NP</v>
          </cell>
          <cell r="G144" t="str">
            <v>WERVERSHOOF</v>
          </cell>
          <cell r="H144">
            <v>1</v>
          </cell>
          <cell r="I144" t="str">
            <v>Hessing Logistiek</v>
          </cell>
          <cell r="J144">
            <v>17</v>
          </cell>
          <cell r="K144" t="str">
            <v>CBL 7 60/40/7 zwart</v>
          </cell>
          <cell r="L144">
            <v>799</v>
          </cell>
          <cell r="M144" t="str">
            <v>447675</v>
          </cell>
          <cell r="N144">
            <v>1</v>
          </cell>
          <cell r="O144">
            <v>42917</v>
          </cell>
        </row>
        <row r="145">
          <cell r="A145">
            <v>476595</v>
          </cell>
          <cell r="B145" t="str">
            <v>476595 - 2</v>
          </cell>
          <cell r="C145">
            <v>8999</v>
          </cell>
          <cell r="D145" t="str">
            <v>HESSING ZWAAGDIJK BV</v>
          </cell>
          <cell r="E145" t="str">
            <v>Nieuwmarkt 8</v>
          </cell>
          <cell r="F145" t="str">
            <v>1681 NP</v>
          </cell>
          <cell r="G145" t="str">
            <v>WERVERSHOOF</v>
          </cell>
          <cell r="H145">
            <v>1</v>
          </cell>
          <cell r="I145" t="str">
            <v>Hessing Logistiek</v>
          </cell>
          <cell r="J145">
            <v>26</v>
          </cell>
          <cell r="K145" t="str">
            <v>LD LPR Pallet 120*100</v>
          </cell>
          <cell r="L145">
            <v>20</v>
          </cell>
          <cell r="M145" t="str">
            <v>447675</v>
          </cell>
          <cell r="N145">
            <v>1</v>
          </cell>
          <cell r="O145">
            <v>42917</v>
          </cell>
        </row>
        <row r="146">
          <cell r="A146">
            <v>476595</v>
          </cell>
          <cell r="B146" t="str">
            <v>476595 - 3</v>
          </cell>
          <cell r="C146">
            <v>8999</v>
          </cell>
          <cell r="D146" t="str">
            <v>HESSING ZWAAGDIJK BV</v>
          </cell>
          <cell r="E146" t="str">
            <v>Nieuwmarkt 8</v>
          </cell>
          <cell r="F146" t="str">
            <v>1681 NP</v>
          </cell>
          <cell r="G146" t="str">
            <v>WERVERSHOOF</v>
          </cell>
          <cell r="H146">
            <v>1</v>
          </cell>
          <cell r="I146" t="str">
            <v>Hessing Logistiek</v>
          </cell>
          <cell r="J146">
            <v>240</v>
          </cell>
          <cell r="K146" t="str">
            <v>10404 KF EPS Zwart 40x30x10</v>
          </cell>
          <cell r="L146">
            <v>432</v>
          </cell>
          <cell r="M146" t="str">
            <v>447675</v>
          </cell>
          <cell r="N146">
            <v>1</v>
          </cell>
          <cell r="O146">
            <v>42917</v>
          </cell>
        </row>
        <row r="147">
          <cell r="A147">
            <v>476595</v>
          </cell>
          <cell r="B147" t="str">
            <v>476595 - 4</v>
          </cell>
          <cell r="C147">
            <v>8999</v>
          </cell>
          <cell r="D147" t="str">
            <v>HESSING ZWAAGDIJK BV</v>
          </cell>
          <cell r="E147" t="str">
            <v>Nieuwmarkt 8</v>
          </cell>
          <cell r="F147" t="str">
            <v>1681 NP</v>
          </cell>
          <cell r="G147" t="str">
            <v>WERVERSHOOF</v>
          </cell>
          <cell r="H147">
            <v>1</v>
          </cell>
          <cell r="I147" t="str">
            <v>Hessing Logistiek</v>
          </cell>
          <cell r="J147">
            <v>242</v>
          </cell>
          <cell r="K147" t="str">
            <v>10604 KF EPS Zwart 60x40x10</v>
          </cell>
          <cell r="L147">
            <v>248</v>
          </cell>
          <cell r="M147" t="str">
            <v>447675</v>
          </cell>
          <cell r="N147">
            <v>1</v>
          </cell>
          <cell r="O147">
            <v>42917</v>
          </cell>
        </row>
        <row r="148">
          <cell r="A148">
            <v>476596</v>
          </cell>
          <cell r="B148" t="str">
            <v>476596 - 1</v>
          </cell>
          <cell r="C148">
            <v>1728</v>
          </cell>
          <cell r="D148" t="str">
            <v>SMESHING BV</v>
          </cell>
          <cell r="E148" t="str">
            <v>De Wissel 78</v>
          </cell>
          <cell r="F148" t="str">
            <v>9076 PT</v>
          </cell>
          <cell r="G148" t="str">
            <v>ST ANNA PAROCHIE</v>
          </cell>
          <cell r="H148">
            <v>1</v>
          </cell>
          <cell r="I148" t="str">
            <v>Hessing Logistiek</v>
          </cell>
          <cell r="J148">
            <v>10</v>
          </cell>
          <cell r="K148" t="str">
            <v>LD Poolpallet 120x100</v>
          </cell>
          <cell r="L148">
            <v>4</v>
          </cell>
          <cell r="M148" t="str">
            <v>045247</v>
          </cell>
          <cell r="N148">
            <v>1</v>
          </cell>
          <cell r="O148">
            <v>42917</v>
          </cell>
        </row>
        <row r="149">
          <cell r="A149">
            <v>476596</v>
          </cell>
          <cell r="B149" t="str">
            <v>476596 - 2</v>
          </cell>
          <cell r="C149">
            <v>1728</v>
          </cell>
          <cell r="D149" t="str">
            <v>SMESHING BV</v>
          </cell>
          <cell r="E149" t="str">
            <v>De Wissel 78</v>
          </cell>
          <cell r="F149" t="str">
            <v>9076 PT</v>
          </cell>
          <cell r="G149" t="str">
            <v>ST ANNA PAROCHIE</v>
          </cell>
          <cell r="H149">
            <v>1</v>
          </cell>
          <cell r="I149" t="str">
            <v>Hessing Logistiek</v>
          </cell>
          <cell r="J149">
            <v>212</v>
          </cell>
          <cell r="K149" t="str">
            <v>FL Deli XL Groen laag</v>
          </cell>
          <cell r="L149">
            <v>59</v>
          </cell>
          <cell r="M149" t="str">
            <v>045247</v>
          </cell>
          <cell r="N149">
            <v>1</v>
          </cell>
          <cell r="O149">
            <v>42917</v>
          </cell>
        </row>
        <row r="150">
          <cell r="A150">
            <v>476596</v>
          </cell>
          <cell r="B150" t="str">
            <v>476596 - 3</v>
          </cell>
          <cell r="C150">
            <v>1728</v>
          </cell>
          <cell r="D150" t="str">
            <v>SMESHING BV</v>
          </cell>
          <cell r="E150" t="str">
            <v>De Wissel 78</v>
          </cell>
          <cell r="F150" t="str">
            <v>9076 PT</v>
          </cell>
          <cell r="G150" t="str">
            <v>ST ANNA PAROCHIE</v>
          </cell>
          <cell r="H150">
            <v>1</v>
          </cell>
          <cell r="I150" t="str">
            <v>Hessing Logistiek</v>
          </cell>
          <cell r="J150">
            <v>213</v>
          </cell>
          <cell r="K150" t="str">
            <v>FL Deli XL Groen hoog</v>
          </cell>
          <cell r="L150">
            <v>41</v>
          </cell>
          <cell r="M150" t="str">
            <v>045247</v>
          </cell>
          <cell r="N150">
            <v>1</v>
          </cell>
          <cell r="O150">
            <v>42917</v>
          </cell>
        </row>
        <row r="151">
          <cell r="A151">
            <v>476597</v>
          </cell>
          <cell r="B151" t="str">
            <v>476597 - 1</v>
          </cell>
          <cell r="C151">
            <v>2463</v>
          </cell>
          <cell r="D151" t="str">
            <v>LSG SKY CHEFS NV</v>
          </cell>
          <cell r="E151" t="str">
            <v>Brussel National Airport</v>
          </cell>
          <cell r="F151" t="str">
            <v>1930</v>
          </cell>
          <cell r="G151" t="str">
            <v>ZAVENTEM Belgium</v>
          </cell>
          <cell r="H151">
            <v>1</v>
          </cell>
          <cell r="I151" t="str">
            <v>Hessing Logistiek</v>
          </cell>
          <cell r="J151">
            <v>5</v>
          </cell>
          <cell r="K151" t="str">
            <v>EPS 11 laag (60/40/11)</v>
          </cell>
          <cell r="L151">
            <v>28</v>
          </cell>
          <cell r="M151" t="str">
            <v>45058570744600026287</v>
          </cell>
          <cell r="N151">
            <v>1</v>
          </cell>
          <cell r="O151">
            <v>42917</v>
          </cell>
        </row>
        <row r="152">
          <cell r="A152">
            <v>476597</v>
          </cell>
          <cell r="B152" t="str">
            <v>476597 - 2</v>
          </cell>
          <cell r="C152">
            <v>2463</v>
          </cell>
          <cell r="D152" t="str">
            <v>LSG SKY CHEFS NV</v>
          </cell>
          <cell r="E152" t="str">
            <v>Brussel National Airport</v>
          </cell>
          <cell r="F152" t="str">
            <v>1930</v>
          </cell>
          <cell r="G152" t="str">
            <v>ZAVENTEM Belgium</v>
          </cell>
          <cell r="H152">
            <v>1</v>
          </cell>
          <cell r="I152" t="str">
            <v>Hessing Logistiek</v>
          </cell>
          <cell r="J152">
            <v>72</v>
          </cell>
          <cell r="K152" t="str">
            <v>EPS 23 hoog (60/40/23)</v>
          </cell>
          <cell r="L152">
            <v>2</v>
          </cell>
          <cell r="M152" t="str">
            <v>45058570744600026287</v>
          </cell>
          <cell r="N152">
            <v>1</v>
          </cell>
          <cell r="O152">
            <v>42917</v>
          </cell>
        </row>
        <row r="153">
          <cell r="A153">
            <v>476597</v>
          </cell>
          <cell r="B153" t="str">
            <v>476597 - 3</v>
          </cell>
          <cell r="C153">
            <v>2463</v>
          </cell>
          <cell r="D153" t="str">
            <v>LSG SKY CHEFS NV</v>
          </cell>
          <cell r="E153" t="str">
            <v>Brussel National Airport</v>
          </cell>
          <cell r="F153" t="str">
            <v>1930</v>
          </cell>
          <cell r="G153" t="str">
            <v>ZAVENTEM Belgium</v>
          </cell>
          <cell r="H153">
            <v>1</v>
          </cell>
          <cell r="I153" t="str">
            <v>Hessing Logistiek</v>
          </cell>
          <cell r="J153">
            <v>215</v>
          </cell>
          <cell r="K153" t="str">
            <v>LD Plastic Pallet Zwart</v>
          </cell>
          <cell r="L153">
            <v>2</v>
          </cell>
          <cell r="M153" t="str">
            <v>45058570744600026287</v>
          </cell>
          <cell r="N153">
            <v>1</v>
          </cell>
          <cell r="O153">
            <v>42917</v>
          </cell>
        </row>
        <row r="154">
          <cell r="A154">
            <v>476598</v>
          </cell>
          <cell r="B154" t="str">
            <v>476598 - 1</v>
          </cell>
          <cell r="C154">
            <v>8999</v>
          </cell>
          <cell r="D154" t="str">
            <v>HESSING ZWAAGDIJK BV</v>
          </cell>
          <cell r="E154" t="str">
            <v>Nieuwmarkt 8</v>
          </cell>
          <cell r="F154" t="str">
            <v>1681 NP</v>
          </cell>
          <cell r="G154" t="str">
            <v>WERVERSHOOF</v>
          </cell>
          <cell r="H154">
            <v>1</v>
          </cell>
          <cell r="I154" t="str">
            <v>Hessing Logistiek</v>
          </cell>
          <cell r="J154">
            <v>26</v>
          </cell>
          <cell r="K154" t="str">
            <v>LD LPR Pallet 120*100</v>
          </cell>
          <cell r="L154">
            <v>5</v>
          </cell>
          <cell r="M154" t="str">
            <v>447670</v>
          </cell>
          <cell r="N154">
            <v>1</v>
          </cell>
          <cell r="O154">
            <v>42917</v>
          </cell>
        </row>
        <row r="155">
          <cell r="A155">
            <v>476598</v>
          </cell>
          <cell r="B155" t="str">
            <v>476598 - 2</v>
          </cell>
          <cell r="C155">
            <v>8999</v>
          </cell>
          <cell r="D155" t="str">
            <v>HESSING ZWAAGDIJK BV</v>
          </cell>
          <cell r="E155" t="str">
            <v>Nieuwmarkt 8</v>
          </cell>
          <cell r="F155" t="str">
            <v>1681 NP</v>
          </cell>
          <cell r="G155" t="str">
            <v>WERVERSHOOF</v>
          </cell>
          <cell r="H155">
            <v>1</v>
          </cell>
          <cell r="I155" t="str">
            <v>Hessing Logistiek</v>
          </cell>
          <cell r="J155">
            <v>240</v>
          </cell>
          <cell r="K155" t="str">
            <v>10404 KF EPS Zwart 40x30x10</v>
          </cell>
          <cell r="L155">
            <v>940</v>
          </cell>
          <cell r="M155" t="str">
            <v>447670</v>
          </cell>
          <cell r="N155">
            <v>1</v>
          </cell>
          <cell r="O155">
            <v>42917</v>
          </cell>
        </row>
        <row r="156">
          <cell r="A156">
            <v>476599</v>
          </cell>
          <cell r="B156" t="str">
            <v>476599 - 1</v>
          </cell>
          <cell r="C156">
            <v>8999</v>
          </cell>
          <cell r="D156" t="str">
            <v>HESSING ZWAAGDIJK BV</v>
          </cell>
          <cell r="E156" t="str">
            <v>Nieuwmarkt 8</v>
          </cell>
          <cell r="F156" t="str">
            <v>1681 NP</v>
          </cell>
          <cell r="G156" t="str">
            <v>WERVERSHOOF</v>
          </cell>
          <cell r="H156">
            <v>1</v>
          </cell>
          <cell r="I156" t="str">
            <v>Hessing Logistiek</v>
          </cell>
          <cell r="J156">
            <v>26</v>
          </cell>
          <cell r="K156" t="str">
            <v>LD LPR Pallet 120*100</v>
          </cell>
          <cell r="L156">
            <v>30</v>
          </cell>
          <cell r="M156" t="str">
            <v>447669</v>
          </cell>
          <cell r="N156">
            <v>1</v>
          </cell>
          <cell r="O156">
            <v>42917</v>
          </cell>
        </row>
        <row r="157">
          <cell r="A157">
            <v>476599</v>
          </cell>
          <cell r="B157" t="str">
            <v>476599 - 2</v>
          </cell>
          <cell r="C157">
            <v>8999</v>
          </cell>
          <cell r="D157" t="str">
            <v>HESSING ZWAAGDIJK BV</v>
          </cell>
          <cell r="E157" t="str">
            <v>Nieuwmarkt 8</v>
          </cell>
          <cell r="F157" t="str">
            <v>1681 NP</v>
          </cell>
          <cell r="G157" t="str">
            <v>WERVERSHOOF</v>
          </cell>
          <cell r="H157">
            <v>1</v>
          </cell>
          <cell r="I157" t="str">
            <v>Hessing Logistiek</v>
          </cell>
          <cell r="J157">
            <v>240</v>
          </cell>
          <cell r="K157" t="str">
            <v>10404 KF EPS Zwart 40x30x10</v>
          </cell>
          <cell r="L157">
            <v>1213</v>
          </cell>
          <cell r="M157" t="str">
            <v>447669</v>
          </cell>
          <cell r="N157">
            <v>1</v>
          </cell>
          <cell r="O157">
            <v>42917</v>
          </cell>
        </row>
        <row r="158">
          <cell r="A158">
            <v>476599</v>
          </cell>
          <cell r="B158" t="str">
            <v>476599 - 3</v>
          </cell>
          <cell r="C158">
            <v>8999</v>
          </cell>
          <cell r="D158" t="str">
            <v>HESSING ZWAAGDIJK BV</v>
          </cell>
          <cell r="E158" t="str">
            <v>Nieuwmarkt 8</v>
          </cell>
          <cell r="F158" t="str">
            <v>1681 NP</v>
          </cell>
          <cell r="G158" t="str">
            <v>WERVERSHOOF</v>
          </cell>
          <cell r="H158">
            <v>1</v>
          </cell>
          <cell r="I158" t="str">
            <v>Hessing Logistiek</v>
          </cell>
          <cell r="J158">
            <v>242</v>
          </cell>
          <cell r="K158" t="str">
            <v>10604 KF EPS Zwart 60x40x10</v>
          </cell>
          <cell r="L158">
            <v>2067</v>
          </cell>
          <cell r="M158" t="str">
            <v>447669</v>
          </cell>
          <cell r="N158">
            <v>1</v>
          </cell>
          <cell r="O158">
            <v>42917</v>
          </cell>
        </row>
        <row r="159">
          <cell r="A159">
            <v>476600</v>
          </cell>
          <cell r="B159" t="str">
            <v>476600 - 1</v>
          </cell>
          <cell r="C159">
            <v>8999</v>
          </cell>
          <cell r="D159" t="str">
            <v>HESSING ZWAAGDIJK BV</v>
          </cell>
          <cell r="E159" t="str">
            <v>Nieuwmarkt 8</v>
          </cell>
          <cell r="F159" t="str">
            <v>1681 NP</v>
          </cell>
          <cell r="G159" t="str">
            <v>WERVERSHOOF</v>
          </cell>
          <cell r="H159">
            <v>1</v>
          </cell>
          <cell r="I159" t="str">
            <v>Hessing Logistiek</v>
          </cell>
          <cell r="J159">
            <v>26</v>
          </cell>
          <cell r="K159" t="str">
            <v>LD LPR Pallet 120*100</v>
          </cell>
          <cell r="L159">
            <v>40</v>
          </cell>
          <cell r="M159" t="str">
            <v>447669</v>
          </cell>
          <cell r="N159">
            <v>1</v>
          </cell>
          <cell r="O159">
            <v>42917</v>
          </cell>
        </row>
        <row r="160">
          <cell r="A160">
            <v>476600</v>
          </cell>
          <cell r="B160" t="str">
            <v>476600 - 2</v>
          </cell>
          <cell r="C160">
            <v>8999</v>
          </cell>
          <cell r="D160" t="str">
            <v>HESSING ZWAAGDIJK BV</v>
          </cell>
          <cell r="E160" t="str">
            <v>Nieuwmarkt 8</v>
          </cell>
          <cell r="F160" t="str">
            <v>1681 NP</v>
          </cell>
          <cell r="G160" t="str">
            <v>WERVERSHOOF</v>
          </cell>
          <cell r="H160">
            <v>1</v>
          </cell>
          <cell r="I160" t="str">
            <v>Hessing Logistiek</v>
          </cell>
          <cell r="J160">
            <v>240</v>
          </cell>
          <cell r="K160" t="str">
            <v>10404 KF EPS Zwart 40x30x10</v>
          </cell>
          <cell r="L160">
            <v>1662</v>
          </cell>
          <cell r="M160" t="str">
            <v>447669</v>
          </cell>
          <cell r="N160">
            <v>1</v>
          </cell>
          <cell r="O160">
            <v>42917</v>
          </cell>
        </row>
        <row r="161">
          <cell r="A161">
            <v>476600</v>
          </cell>
          <cell r="B161" t="str">
            <v>476600 - 3</v>
          </cell>
          <cell r="C161">
            <v>8999</v>
          </cell>
          <cell r="D161" t="str">
            <v>HESSING ZWAAGDIJK BV</v>
          </cell>
          <cell r="E161" t="str">
            <v>Nieuwmarkt 8</v>
          </cell>
          <cell r="F161" t="str">
            <v>1681 NP</v>
          </cell>
          <cell r="G161" t="str">
            <v>WERVERSHOOF</v>
          </cell>
          <cell r="H161">
            <v>1</v>
          </cell>
          <cell r="I161" t="str">
            <v>Hessing Logistiek</v>
          </cell>
          <cell r="J161">
            <v>242</v>
          </cell>
          <cell r="K161" t="str">
            <v>10604 KF EPS Zwart 60x40x10</v>
          </cell>
          <cell r="L161">
            <v>2711</v>
          </cell>
          <cell r="M161" t="str">
            <v>447669</v>
          </cell>
          <cell r="N161">
            <v>1</v>
          </cell>
          <cell r="O161">
            <v>42917</v>
          </cell>
        </row>
        <row r="162">
          <cell r="A162">
            <v>476601</v>
          </cell>
          <cell r="B162" t="str">
            <v>476601 - 1</v>
          </cell>
          <cell r="C162">
            <v>8999</v>
          </cell>
          <cell r="D162" t="str">
            <v>HESSING ZWAAGDIJK BV</v>
          </cell>
          <cell r="E162" t="str">
            <v>Nieuwmarkt 8</v>
          </cell>
          <cell r="F162" t="str">
            <v>1681 NP</v>
          </cell>
          <cell r="G162" t="str">
            <v>WERVERSHOOF</v>
          </cell>
          <cell r="H162">
            <v>1</v>
          </cell>
          <cell r="I162" t="str">
            <v>Hessing Logistiek</v>
          </cell>
          <cell r="J162">
            <v>26</v>
          </cell>
          <cell r="K162" t="str">
            <v>LD LPR Pallet 120*100</v>
          </cell>
          <cell r="L162">
            <v>5</v>
          </cell>
          <cell r="M162" t="str">
            <v>447714</v>
          </cell>
          <cell r="N162">
            <v>1</v>
          </cell>
          <cell r="O162">
            <v>42917</v>
          </cell>
        </row>
        <row r="163">
          <cell r="A163">
            <v>476601</v>
          </cell>
          <cell r="B163" t="str">
            <v>476601 - 2</v>
          </cell>
          <cell r="C163">
            <v>8999</v>
          </cell>
          <cell r="D163" t="str">
            <v>HESSING ZWAAGDIJK BV</v>
          </cell>
          <cell r="E163" t="str">
            <v>Nieuwmarkt 8</v>
          </cell>
          <cell r="F163" t="str">
            <v>1681 NP</v>
          </cell>
          <cell r="G163" t="str">
            <v>WERVERSHOOF</v>
          </cell>
          <cell r="H163">
            <v>1</v>
          </cell>
          <cell r="I163" t="str">
            <v>Hessing Logistiek</v>
          </cell>
          <cell r="J163">
            <v>240</v>
          </cell>
          <cell r="K163" t="str">
            <v>10404 KF EPS Zwart 40x30x10</v>
          </cell>
          <cell r="L163">
            <v>166</v>
          </cell>
          <cell r="M163" t="str">
            <v>447714</v>
          </cell>
          <cell r="N163">
            <v>1</v>
          </cell>
          <cell r="O163">
            <v>42917</v>
          </cell>
        </row>
        <row r="164">
          <cell r="A164">
            <v>476601</v>
          </cell>
          <cell r="B164" t="str">
            <v>476601 - 3</v>
          </cell>
          <cell r="C164">
            <v>8999</v>
          </cell>
          <cell r="D164" t="str">
            <v>HESSING ZWAAGDIJK BV</v>
          </cell>
          <cell r="E164" t="str">
            <v>Nieuwmarkt 8</v>
          </cell>
          <cell r="F164" t="str">
            <v>1681 NP</v>
          </cell>
          <cell r="G164" t="str">
            <v>WERVERSHOOF</v>
          </cell>
          <cell r="H164">
            <v>1</v>
          </cell>
          <cell r="I164" t="str">
            <v>Hessing Logistiek</v>
          </cell>
          <cell r="J164">
            <v>242</v>
          </cell>
          <cell r="K164" t="str">
            <v>10604 KF EPS Zwart 60x40x10</v>
          </cell>
          <cell r="L164">
            <v>275</v>
          </cell>
          <cell r="M164" t="str">
            <v>447714</v>
          </cell>
          <cell r="N164">
            <v>1</v>
          </cell>
          <cell r="O164">
            <v>42917</v>
          </cell>
        </row>
        <row r="165">
          <cell r="A165">
            <v>476606</v>
          </cell>
          <cell r="B165" t="str">
            <v>476606 - 1</v>
          </cell>
          <cell r="C165">
            <v>8999</v>
          </cell>
          <cell r="D165" t="str">
            <v>HESSING ZWAAGDIJK BV</v>
          </cell>
          <cell r="E165" t="str">
            <v>Nieuwmarkt 8</v>
          </cell>
          <cell r="F165" t="str">
            <v>1681 NP</v>
          </cell>
          <cell r="G165" t="str">
            <v>WERVERSHOOF</v>
          </cell>
          <cell r="H165">
            <v>1</v>
          </cell>
          <cell r="I165" t="str">
            <v>Hessing Logistiek</v>
          </cell>
          <cell r="J165">
            <v>26</v>
          </cell>
          <cell r="K165" t="str">
            <v>LD LPR Pallet 120*100</v>
          </cell>
          <cell r="L165">
            <v>4</v>
          </cell>
          <cell r="M165" t="str">
            <v>447692</v>
          </cell>
          <cell r="N165">
            <v>1</v>
          </cell>
          <cell r="O165">
            <v>42917</v>
          </cell>
        </row>
        <row r="166">
          <cell r="A166">
            <v>476606</v>
          </cell>
          <cell r="B166" t="str">
            <v>476606 - 2</v>
          </cell>
          <cell r="C166">
            <v>8999</v>
          </cell>
          <cell r="D166" t="str">
            <v>HESSING ZWAAGDIJK BV</v>
          </cell>
          <cell r="E166" t="str">
            <v>Nieuwmarkt 8</v>
          </cell>
          <cell r="F166" t="str">
            <v>1681 NP</v>
          </cell>
          <cell r="G166" t="str">
            <v>WERVERSHOOF</v>
          </cell>
          <cell r="H166">
            <v>1</v>
          </cell>
          <cell r="I166" t="str">
            <v>Hessing Logistiek</v>
          </cell>
          <cell r="J166">
            <v>240</v>
          </cell>
          <cell r="K166" t="str">
            <v>10404 KF EPS Zwart 40x30x10</v>
          </cell>
          <cell r="L166">
            <v>45</v>
          </cell>
          <cell r="M166" t="str">
            <v>447692</v>
          </cell>
          <cell r="N166">
            <v>1</v>
          </cell>
          <cell r="O166">
            <v>42917</v>
          </cell>
        </row>
        <row r="167">
          <cell r="A167">
            <v>476606</v>
          </cell>
          <cell r="B167" t="str">
            <v>476606 - 3</v>
          </cell>
          <cell r="C167">
            <v>8999</v>
          </cell>
          <cell r="D167" t="str">
            <v>HESSING ZWAAGDIJK BV</v>
          </cell>
          <cell r="E167" t="str">
            <v>Nieuwmarkt 8</v>
          </cell>
          <cell r="F167" t="str">
            <v>1681 NP</v>
          </cell>
          <cell r="G167" t="str">
            <v>WERVERSHOOF</v>
          </cell>
          <cell r="H167">
            <v>1</v>
          </cell>
          <cell r="I167" t="str">
            <v>Hessing Logistiek</v>
          </cell>
          <cell r="J167">
            <v>242</v>
          </cell>
          <cell r="K167" t="str">
            <v>10604 KF EPS Zwart 60x40x10</v>
          </cell>
          <cell r="L167">
            <v>119</v>
          </cell>
          <cell r="M167" t="str">
            <v>447692</v>
          </cell>
          <cell r="N167">
            <v>1</v>
          </cell>
          <cell r="O167">
            <v>42917</v>
          </cell>
        </row>
        <row r="168">
          <cell r="A168">
            <v>476607</v>
          </cell>
          <cell r="B168" t="str">
            <v>476607 - 1</v>
          </cell>
          <cell r="C168">
            <v>8999</v>
          </cell>
          <cell r="D168" t="str">
            <v>HESSING ZWAAGDIJK BV</v>
          </cell>
          <cell r="E168" t="str">
            <v>Nieuwmarkt 8</v>
          </cell>
          <cell r="F168" t="str">
            <v>1681 NP</v>
          </cell>
          <cell r="G168" t="str">
            <v>WERVERSHOOF</v>
          </cell>
          <cell r="H168">
            <v>1</v>
          </cell>
          <cell r="I168" t="str">
            <v>Hessing Logistiek</v>
          </cell>
          <cell r="J168">
            <v>1</v>
          </cell>
          <cell r="K168" t="str">
            <v>CBL11 60/40/11 zwart</v>
          </cell>
          <cell r="L168">
            <v>223</v>
          </cell>
          <cell r="M168" t="str">
            <v>447684</v>
          </cell>
          <cell r="N168">
            <v>1</v>
          </cell>
          <cell r="O168">
            <v>42917</v>
          </cell>
        </row>
        <row r="169">
          <cell r="A169">
            <v>476607</v>
          </cell>
          <cell r="B169" t="str">
            <v>476607 - 2</v>
          </cell>
          <cell r="C169">
            <v>8999</v>
          </cell>
          <cell r="D169" t="str">
            <v>HESSING ZWAAGDIJK BV</v>
          </cell>
          <cell r="E169" t="str">
            <v>Nieuwmarkt 8</v>
          </cell>
          <cell r="F169" t="str">
            <v>1681 NP</v>
          </cell>
          <cell r="G169" t="str">
            <v>WERVERSHOOF</v>
          </cell>
          <cell r="H169">
            <v>1</v>
          </cell>
          <cell r="I169" t="str">
            <v>Hessing Logistiek</v>
          </cell>
          <cell r="J169">
            <v>17</v>
          </cell>
          <cell r="K169" t="str">
            <v>CBL 7 60/40/7 zwart</v>
          </cell>
          <cell r="L169">
            <v>61</v>
          </cell>
          <cell r="M169" t="str">
            <v>447684</v>
          </cell>
          <cell r="N169">
            <v>1</v>
          </cell>
          <cell r="O169">
            <v>42917</v>
          </cell>
        </row>
        <row r="170">
          <cell r="A170">
            <v>476607</v>
          </cell>
          <cell r="B170" t="str">
            <v>476607 - 3</v>
          </cell>
          <cell r="C170">
            <v>8999</v>
          </cell>
          <cell r="D170" t="str">
            <v>HESSING ZWAAGDIJK BV</v>
          </cell>
          <cell r="E170" t="str">
            <v>Nieuwmarkt 8</v>
          </cell>
          <cell r="F170" t="str">
            <v>1681 NP</v>
          </cell>
          <cell r="G170" t="str">
            <v>WERVERSHOOF</v>
          </cell>
          <cell r="H170">
            <v>1</v>
          </cell>
          <cell r="I170" t="str">
            <v>Hessing Logistiek</v>
          </cell>
          <cell r="J170">
            <v>18</v>
          </cell>
          <cell r="K170" t="str">
            <v>CBL 8 30/40/7 zwart</v>
          </cell>
          <cell r="L170">
            <v>15</v>
          </cell>
          <cell r="M170" t="str">
            <v>447684</v>
          </cell>
          <cell r="N170">
            <v>1</v>
          </cell>
          <cell r="O170">
            <v>42917</v>
          </cell>
        </row>
        <row r="171">
          <cell r="A171">
            <v>476607</v>
          </cell>
          <cell r="B171" t="str">
            <v>476607 - 4</v>
          </cell>
          <cell r="C171">
            <v>8999</v>
          </cell>
          <cell r="D171" t="str">
            <v>HESSING ZWAAGDIJK BV</v>
          </cell>
          <cell r="E171" t="str">
            <v>Nieuwmarkt 8</v>
          </cell>
          <cell r="F171" t="str">
            <v>1681 NP</v>
          </cell>
          <cell r="G171" t="str">
            <v>WERVERSHOOF</v>
          </cell>
          <cell r="H171">
            <v>1</v>
          </cell>
          <cell r="I171" t="str">
            <v>Hessing Logistiek</v>
          </cell>
          <cell r="J171">
            <v>26</v>
          </cell>
          <cell r="K171" t="str">
            <v>LD LPR Pallet 120*100</v>
          </cell>
          <cell r="L171">
            <v>15</v>
          </cell>
          <cell r="M171" t="str">
            <v>447684</v>
          </cell>
          <cell r="N171">
            <v>1</v>
          </cell>
          <cell r="O171">
            <v>42917</v>
          </cell>
        </row>
        <row r="172">
          <cell r="A172">
            <v>476607</v>
          </cell>
          <cell r="B172" t="str">
            <v>476607 - 5</v>
          </cell>
          <cell r="C172">
            <v>8999</v>
          </cell>
          <cell r="D172" t="str">
            <v>HESSING ZWAAGDIJK BV</v>
          </cell>
          <cell r="E172" t="str">
            <v>Nieuwmarkt 8</v>
          </cell>
          <cell r="F172" t="str">
            <v>1681 NP</v>
          </cell>
          <cell r="G172" t="str">
            <v>WERVERSHOOF</v>
          </cell>
          <cell r="H172">
            <v>1</v>
          </cell>
          <cell r="I172" t="str">
            <v>Hessing Logistiek</v>
          </cell>
          <cell r="J172">
            <v>240</v>
          </cell>
          <cell r="K172" t="str">
            <v>10404 KF EPS Zwart 40x30x10</v>
          </cell>
          <cell r="L172">
            <v>319</v>
          </cell>
          <cell r="M172" t="str">
            <v>447684</v>
          </cell>
          <cell r="N172">
            <v>1</v>
          </cell>
          <cell r="O172">
            <v>42917</v>
          </cell>
        </row>
        <row r="173">
          <cell r="A173">
            <v>476607</v>
          </cell>
          <cell r="B173" t="str">
            <v>476607 - 6</v>
          </cell>
          <cell r="C173">
            <v>8999</v>
          </cell>
          <cell r="D173" t="str">
            <v>HESSING ZWAAGDIJK BV</v>
          </cell>
          <cell r="E173" t="str">
            <v>Nieuwmarkt 8</v>
          </cell>
          <cell r="F173" t="str">
            <v>1681 NP</v>
          </cell>
          <cell r="G173" t="str">
            <v>WERVERSHOOF</v>
          </cell>
          <cell r="H173">
            <v>1</v>
          </cell>
          <cell r="I173" t="str">
            <v>Hessing Logistiek</v>
          </cell>
          <cell r="J173">
            <v>242</v>
          </cell>
          <cell r="K173" t="str">
            <v>10604 KF EPS Zwart 60x40x10</v>
          </cell>
          <cell r="L173">
            <v>19</v>
          </cell>
          <cell r="M173" t="str">
            <v>447684</v>
          </cell>
          <cell r="N173">
            <v>1</v>
          </cell>
          <cell r="O173">
            <v>42917</v>
          </cell>
        </row>
        <row r="174">
          <cell r="A174">
            <v>476608</v>
          </cell>
          <cell r="B174" t="str">
            <v>476608 - 1</v>
          </cell>
          <cell r="C174">
            <v>8999</v>
          </cell>
          <cell r="D174" t="str">
            <v>HESSING ZWAAGDIJK BV</v>
          </cell>
          <cell r="E174" t="str">
            <v>Nieuwmarkt 8</v>
          </cell>
          <cell r="F174" t="str">
            <v>1681 NP</v>
          </cell>
          <cell r="G174" t="str">
            <v>WERVERSHOOF</v>
          </cell>
          <cell r="H174">
            <v>1</v>
          </cell>
          <cell r="I174" t="str">
            <v>Hessing Logistiek</v>
          </cell>
          <cell r="J174">
            <v>26</v>
          </cell>
          <cell r="K174" t="str">
            <v>LD LPR Pallet 120*100</v>
          </cell>
          <cell r="L174">
            <v>17</v>
          </cell>
          <cell r="M174" t="str">
            <v>447669</v>
          </cell>
          <cell r="N174">
            <v>1</v>
          </cell>
          <cell r="O174">
            <v>42917</v>
          </cell>
        </row>
        <row r="175">
          <cell r="A175">
            <v>476608</v>
          </cell>
          <cell r="B175" t="str">
            <v>476608 - 2</v>
          </cell>
          <cell r="C175">
            <v>8999</v>
          </cell>
          <cell r="D175" t="str">
            <v>HESSING ZWAAGDIJK BV</v>
          </cell>
          <cell r="E175" t="str">
            <v>Nieuwmarkt 8</v>
          </cell>
          <cell r="F175" t="str">
            <v>1681 NP</v>
          </cell>
          <cell r="G175" t="str">
            <v>WERVERSHOOF</v>
          </cell>
          <cell r="H175">
            <v>1</v>
          </cell>
          <cell r="I175" t="str">
            <v>Hessing Logistiek</v>
          </cell>
          <cell r="J175">
            <v>240</v>
          </cell>
          <cell r="K175" t="str">
            <v>10404 KF EPS Zwart 40x30x10</v>
          </cell>
          <cell r="L175">
            <v>1183</v>
          </cell>
          <cell r="M175" t="str">
            <v>447669</v>
          </cell>
          <cell r="N175">
            <v>1</v>
          </cell>
          <cell r="O175">
            <v>42917</v>
          </cell>
        </row>
        <row r="176">
          <cell r="A176">
            <v>476608</v>
          </cell>
          <cell r="B176" t="str">
            <v>476608 - 3</v>
          </cell>
          <cell r="C176">
            <v>8999</v>
          </cell>
          <cell r="D176" t="str">
            <v>HESSING ZWAAGDIJK BV</v>
          </cell>
          <cell r="E176" t="str">
            <v>Nieuwmarkt 8</v>
          </cell>
          <cell r="F176" t="str">
            <v>1681 NP</v>
          </cell>
          <cell r="G176" t="str">
            <v>WERVERSHOOF</v>
          </cell>
          <cell r="H176">
            <v>1</v>
          </cell>
          <cell r="I176" t="str">
            <v>Hessing Logistiek</v>
          </cell>
          <cell r="J176">
            <v>242</v>
          </cell>
          <cell r="K176" t="str">
            <v>10604 KF EPS Zwart 60x40x10</v>
          </cell>
          <cell r="L176">
            <v>1090</v>
          </cell>
          <cell r="M176" t="str">
            <v>447669</v>
          </cell>
          <cell r="N176">
            <v>1</v>
          </cell>
          <cell r="O176">
            <v>42917</v>
          </cell>
        </row>
        <row r="177">
          <cell r="A177">
            <v>476609</v>
          </cell>
          <cell r="B177" t="str">
            <v>476609 - 1</v>
          </cell>
          <cell r="C177">
            <v>8999</v>
          </cell>
          <cell r="D177" t="str">
            <v>HESSING ZWAAGDIJK BV</v>
          </cell>
          <cell r="E177" t="str">
            <v>Nieuwmarkt 8</v>
          </cell>
          <cell r="F177" t="str">
            <v>1681 NP</v>
          </cell>
          <cell r="G177" t="str">
            <v>WERVERSHOOF</v>
          </cell>
          <cell r="H177">
            <v>1</v>
          </cell>
          <cell r="I177" t="str">
            <v>Hessing Logistiek</v>
          </cell>
          <cell r="J177">
            <v>26</v>
          </cell>
          <cell r="K177" t="str">
            <v>LD LPR Pallet 120*100</v>
          </cell>
          <cell r="L177">
            <v>3</v>
          </cell>
          <cell r="M177" t="str">
            <v>447670</v>
          </cell>
          <cell r="N177">
            <v>1</v>
          </cell>
          <cell r="O177">
            <v>42917</v>
          </cell>
        </row>
        <row r="178">
          <cell r="A178">
            <v>476609</v>
          </cell>
          <cell r="B178" t="str">
            <v>476609 - 2</v>
          </cell>
          <cell r="C178">
            <v>8999</v>
          </cell>
          <cell r="D178" t="str">
            <v>HESSING ZWAAGDIJK BV</v>
          </cell>
          <cell r="E178" t="str">
            <v>Nieuwmarkt 8</v>
          </cell>
          <cell r="F178" t="str">
            <v>1681 NP</v>
          </cell>
          <cell r="G178" t="str">
            <v>WERVERSHOOF</v>
          </cell>
          <cell r="H178">
            <v>1</v>
          </cell>
          <cell r="I178" t="str">
            <v>Hessing Logistiek</v>
          </cell>
          <cell r="J178">
            <v>240</v>
          </cell>
          <cell r="K178" t="str">
            <v>10404 KF EPS Zwart 40x30x10</v>
          </cell>
          <cell r="L178">
            <v>226</v>
          </cell>
          <cell r="M178" t="str">
            <v>447670</v>
          </cell>
          <cell r="N178">
            <v>1</v>
          </cell>
          <cell r="O178">
            <v>42917</v>
          </cell>
        </row>
        <row r="179">
          <cell r="A179">
            <v>476610</v>
          </cell>
          <cell r="B179" t="str">
            <v>476610 - 1</v>
          </cell>
          <cell r="C179">
            <v>8999</v>
          </cell>
          <cell r="D179" t="str">
            <v>HESSING ZWAAGDIJK BV</v>
          </cell>
          <cell r="E179" t="str">
            <v>Nieuwmarkt 8</v>
          </cell>
          <cell r="F179" t="str">
            <v>1681 NP</v>
          </cell>
          <cell r="G179" t="str">
            <v>WERVERSHOOF</v>
          </cell>
          <cell r="H179">
            <v>1</v>
          </cell>
          <cell r="I179" t="str">
            <v>Hessing Logistiek</v>
          </cell>
          <cell r="J179">
            <v>26</v>
          </cell>
          <cell r="K179" t="str">
            <v>LD LPR Pallet 120*100</v>
          </cell>
          <cell r="L179">
            <v>2</v>
          </cell>
          <cell r="M179" t="str">
            <v>447714</v>
          </cell>
          <cell r="N179">
            <v>1</v>
          </cell>
          <cell r="O179">
            <v>42917</v>
          </cell>
        </row>
        <row r="180">
          <cell r="A180">
            <v>476610</v>
          </cell>
          <cell r="B180" t="str">
            <v>476610 - 2</v>
          </cell>
          <cell r="C180">
            <v>8999</v>
          </cell>
          <cell r="D180" t="str">
            <v>HESSING ZWAAGDIJK BV</v>
          </cell>
          <cell r="E180" t="str">
            <v>Nieuwmarkt 8</v>
          </cell>
          <cell r="F180" t="str">
            <v>1681 NP</v>
          </cell>
          <cell r="G180" t="str">
            <v>WERVERSHOOF</v>
          </cell>
          <cell r="H180">
            <v>1</v>
          </cell>
          <cell r="I180" t="str">
            <v>Hessing Logistiek</v>
          </cell>
          <cell r="J180">
            <v>240</v>
          </cell>
          <cell r="K180" t="str">
            <v>10404 KF EPS Zwart 40x30x10</v>
          </cell>
          <cell r="L180">
            <v>212</v>
          </cell>
          <cell r="M180" t="str">
            <v>447714</v>
          </cell>
          <cell r="N180">
            <v>1</v>
          </cell>
          <cell r="O180">
            <v>42917</v>
          </cell>
        </row>
        <row r="181">
          <cell r="A181">
            <v>476611</v>
          </cell>
          <cell r="B181" t="str">
            <v>476611 - 1</v>
          </cell>
          <cell r="C181">
            <v>8999</v>
          </cell>
          <cell r="D181" t="str">
            <v>HESSING ZWAAGDIJK BV</v>
          </cell>
          <cell r="E181" t="str">
            <v>Nieuwmarkt 8</v>
          </cell>
          <cell r="F181" t="str">
            <v>1681 NP</v>
          </cell>
          <cell r="G181" t="str">
            <v>WERVERSHOOF</v>
          </cell>
          <cell r="H181">
            <v>1</v>
          </cell>
          <cell r="I181" t="str">
            <v>Hessing Logistiek</v>
          </cell>
          <cell r="J181">
            <v>26</v>
          </cell>
          <cell r="K181" t="str">
            <v>LD LPR Pallet 120*100</v>
          </cell>
          <cell r="L181">
            <v>18</v>
          </cell>
          <cell r="M181" t="str">
            <v>447669</v>
          </cell>
          <cell r="N181">
            <v>1</v>
          </cell>
          <cell r="O181">
            <v>42917</v>
          </cell>
        </row>
        <row r="182">
          <cell r="A182">
            <v>476611</v>
          </cell>
          <cell r="B182" t="str">
            <v>476611 - 2</v>
          </cell>
          <cell r="C182">
            <v>8999</v>
          </cell>
          <cell r="D182" t="str">
            <v>HESSING ZWAAGDIJK BV</v>
          </cell>
          <cell r="E182" t="str">
            <v>Nieuwmarkt 8</v>
          </cell>
          <cell r="F182" t="str">
            <v>1681 NP</v>
          </cell>
          <cell r="G182" t="str">
            <v>WERVERSHOOF</v>
          </cell>
          <cell r="H182">
            <v>1</v>
          </cell>
          <cell r="I182" t="str">
            <v>Hessing Logistiek</v>
          </cell>
          <cell r="J182">
            <v>240</v>
          </cell>
          <cell r="K182" t="str">
            <v>10404 KF EPS Zwart 40x30x10</v>
          </cell>
          <cell r="L182">
            <v>732</v>
          </cell>
          <cell r="M182" t="str">
            <v>447669</v>
          </cell>
          <cell r="N182">
            <v>1</v>
          </cell>
          <cell r="O182">
            <v>42917</v>
          </cell>
        </row>
        <row r="183">
          <cell r="A183">
            <v>476611</v>
          </cell>
          <cell r="B183" t="str">
            <v>476611 - 3</v>
          </cell>
          <cell r="C183">
            <v>8999</v>
          </cell>
          <cell r="D183" t="str">
            <v>HESSING ZWAAGDIJK BV</v>
          </cell>
          <cell r="E183" t="str">
            <v>Nieuwmarkt 8</v>
          </cell>
          <cell r="F183" t="str">
            <v>1681 NP</v>
          </cell>
          <cell r="G183" t="str">
            <v>WERVERSHOOF</v>
          </cell>
          <cell r="H183">
            <v>1</v>
          </cell>
          <cell r="I183" t="str">
            <v>Hessing Logistiek</v>
          </cell>
          <cell r="J183">
            <v>242</v>
          </cell>
          <cell r="K183" t="str">
            <v>10604 KF EPS Zwart 60x40x10</v>
          </cell>
          <cell r="L183">
            <v>1125</v>
          </cell>
          <cell r="M183" t="str">
            <v>447669</v>
          </cell>
          <cell r="N183">
            <v>1</v>
          </cell>
          <cell r="O183">
            <v>42917</v>
          </cell>
        </row>
        <row r="184">
          <cell r="A184">
            <v>476612</v>
          </cell>
          <cell r="B184" t="str">
            <v>476612 - 1</v>
          </cell>
          <cell r="C184">
            <v>8999</v>
          </cell>
          <cell r="D184" t="str">
            <v>HESSING ZWAAGDIJK BV</v>
          </cell>
          <cell r="E184" t="str">
            <v>Nieuwmarkt 8</v>
          </cell>
          <cell r="F184" t="str">
            <v>1681 NP</v>
          </cell>
          <cell r="G184" t="str">
            <v>WERVERSHOOF</v>
          </cell>
          <cell r="H184">
            <v>1</v>
          </cell>
          <cell r="I184" t="str">
            <v>Hessing Logistiek</v>
          </cell>
          <cell r="J184">
            <v>1</v>
          </cell>
          <cell r="K184" t="str">
            <v>CBL11 60/40/11 zwart</v>
          </cell>
          <cell r="L184">
            <v>696</v>
          </cell>
          <cell r="M184" t="str">
            <v>447675</v>
          </cell>
          <cell r="N184">
            <v>1</v>
          </cell>
          <cell r="O184">
            <v>42917</v>
          </cell>
        </row>
        <row r="185">
          <cell r="A185">
            <v>476612</v>
          </cell>
          <cell r="B185" t="str">
            <v>476612 - 2</v>
          </cell>
          <cell r="C185">
            <v>8999</v>
          </cell>
          <cell r="D185" t="str">
            <v>HESSING ZWAAGDIJK BV</v>
          </cell>
          <cell r="E185" t="str">
            <v>Nieuwmarkt 8</v>
          </cell>
          <cell r="F185" t="str">
            <v>1681 NP</v>
          </cell>
          <cell r="G185" t="str">
            <v>WERVERSHOOF</v>
          </cell>
          <cell r="H185">
            <v>1</v>
          </cell>
          <cell r="I185" t="str">
            <v>Hessing Logistiek</v>
          </cell>
          <cell r="J185">
            <v>18</v>
          </cell>
          <cell r="K185" t="str">
            <v>CBL 8 30/40/7 zwart</v>
          </cell>
          <cell r="L185">
            <v>134</v>
          </cell>
          <cell r="M185" t="str">
            <v>447675</v>
          </cell>
          <cell r="N185">
            <v>1</v>
          </cell>
          <cell r="O185">
            <v>42917</v>
          </cell>
        </row>
        <row r="186">
          <cell r="A186">
            <v>476612</v>
          </cell>
          <cell r="B186" t="str">
            <v>476612 - 3</v>
          </cell>
          <cell r="C186">
            <v>8999</v>
          </cell>
          <cell r="D186" t="str">
            <v>HESSING ZWAAGDIJK BV</v>
          </cell>
          <cell r="E186" t="str">
            <v>Nieuwmarkt 8</v>
          </cell>
          <cell r="F186" t="str">
            <v>1681 NP</v>
          </cell>
          <cell r="G186" t="str">
            <v>WERVERSHOOF</v>
          </cell>
          <cell r="H186">
            <v>1</v>
          </cell>
          <cell r="I186" t="str">
            <v>Hessing Logistiek</v>
          </cell>
          <cell r="J186">
            <v>26</v>
          </cell>
          <cell r="K186" t="str">
            <v>LD LPR Pallet 120*100</v>
          </cell>
          <cell r="L186">
            <v>34</v>
          </cell>
          <cell r="M186" t="str">
            <v>447675</v>
          </cell>
          <cell r="N186">
            <v>1</v>
          </cell>
          <cell r="O186">
            <v>42917</v>
          </cell>
        </row>
        <row r="187">
          <cell r="A187">
            <v>476612</v>
          </cell>
          <cell r="B187" t="str">
            <v>476612 - 4</v>
          </cell>
          <cell r="C187">
            <v>8999</v>
          </cell>
          <cell r="D187" t="str">
            <v>HESSING ZWAAGDIJK BV</v>
          </cell>
          <cell r="E187" t="str">
            <v>Nieuwmarkt 8</v>
          </cell>
          <cell r="F187" t="str">
            <v>1681 NP</v>
          </cell>
          <cell r="G187" t="str">
            <v>WERVERSHOOF</v>
          </cell>
          <cell r="H187">
            <v>1</v>
          </cell>
          <cell r="I187" t="str">
            <v>Hessing Logistiek</v>
          </cell>
          <cell r="J187">
            <v>240</v>
          </cell>
          <cell r="K187" t="str">
            <v>10404 KF EPS Zwart 40x30x10</v>
          </cell>
          <cell r="L187">
            <v>1120</v>
          </cell>
          <cell r="M187" t="str">
            <v>447675</v>
          </cell>
          <cell r="N187">
            <v>1</v>
          </cell>
          <cell r="O187">
            <v>42917</v>
          </cell>
        </row>
        <row r="188">
          <cell r="A188">
            <v>476612</v>
          </cell>
          <cell r="B188" t="str">
            <v>476612 - 5</v>
          </cell>
          <cell r="C188">
            <v>8999</v>
          </cell>
          <cell r="D188" t="str">
            <v>HESSING ZWAAGDIJK BV</v>
          </cell>
          <cell r="E188" t="str">
            <v>Nieuwmarkt 8</v>
          </cell>
          <cell r="F188" t="str">
            <v>1681 NP</v>
          </cell>
          <cell r="G188" t="str">
            <v>WERVERSHOOF</v>
          </cell>
          <cell r="H188">
            <v>1</v>
          </cell>
          <cell r="I188" t="str">
            <v>Hessing Logistiek</v>
          </cell>
          <cell r="J188">
            <v>242</v>
          </cell>
          <cell r="K188" t="str">
            <v>10604 KF EPS Zwart 60x40x10</v>
          </cell>
          <cell r="L188">
            <v>158</v>
          </cell>
          <cell r="M188" t="str">
            <v>447675</v>
          </cell>
          <cell r="N188">
            <v>1</v>
          </cell>
          <cell r="O188">
            <v>42917</v>
          </cell>
        </row>
        <row r="189">
          <cell r="A189">
            <v>476613</v>
          </cell>
          <cell r="B189" t="str">
            <v>476613 - 1</v>
          </cell>
          <cell r="C189">
            <v>8999</v>
          </cell>
          <cell r="D189" t="str">
            <v>HESSING ZWAAGDIJK BV</v>
          </cell>
          <cell r="E189" t="str">
            <v>Nieuwmarkt 8</v>
          </cell>
          <cell r="F189" t="str">
            <v>1681 NP</v>
          </cell>
          <cell r="G189" t="str">
            <v>WERVERSHOOF</v>
          </cell>
          <cell r="H189">
            <v>1</v>
          </cell>
          <cell r="I189" t="str">
            <v>Hessing Logistiek</v>
          </cell>
          <cell r="J189">
            <v>1</v>
          </cell>
          <cell r="K189" t="str">
            <v>CBL11 60/40/11 zwart</v>
          </cell>
          <cell r="L189">
            <v>262</v>
          </cell>
          <cell r="M189" t="str">
            <v>447680</v>
          </cell>
          <cell r="N189">
            <v>1</v>
          </cell>
          <cell r="O189">
            <v>42917</v>
          </cell>
        </row>
        <row r="190">
          <cell r="A190">
            <v>476613</v>
          </cell>
          <cell r="B190" t="str">
            <v>476613 - 2</v>
          </cell>
          <cell r="C190">
            <v>8999</v>
          </cell>
          <cell r="D190" t="str">
            <v>HESSING ZWAAGDIJK BV</v>
          </cell>
          <cell r="E190" t="str">
            <v>Nieuwmarkt 8</v>
          </cell>
          <cell r="F190" t="str">
            <v>1681 NP</v>
          </cell>
          <cell r="G190" t="str">
            <v>WERVERSHOOF</v>
          </cell>
          <cell r="H190">
            <v>1</v>
          </cell>
          <cell r="I190" t="str">
            <v>Hessing Logistiek</v>
          </cell>
          <cell r="J190">
            <v>26</v>
          </cell>
          <cell r="K190" t="str">
            <v>LD LPR Pallet 120*100</v>
          </cell>
          <cell r="L190">
            <v>12</v>
          </cell>
          <cell r="M190" t="str">
            <v>447680</v>
          </cell>
          <cell r="N190">
            <v>1</v>
          </cell>
          <cell r="O190">
            <v>42917</v>
          </cell>
        </row>
        <row r="191">
          <cell r="A191">
            <v>476613</v>
          </cell>
          <cell r="B191" t="str">
            <v>476613 - 3</v>
          </cell>
          <cell r="C191">
            <v>8999</v>
          </cell>
          <cell r="D191" t="str">
            <v>HESSING ZWAAGDIJK BV</v>
          </cell>
          <cell r="E191" t="str">
            <v>Nieuwmarkt 8</v>
          </cell>
          <cell r="F191" t="str">
            <v>1681 NP</v>
          </cell>
          <cell r="G191" t="str">
            <v>WERVERSHOOF</v>
          </cell>
          <cell r="H191">
            <v>1</v>
          </cell>
          <cell r="I191" t="str">
            <v>Hessing Logistiek</v>
          </cell>
          <cell r="J191">
            <v>240</v>
          </cell>
          <cell r="K191" t="str">
            <v>10404 KF EPS Zwart 40x30x10</v>
          </cell>
          <cell r="L191">
            <v>367</v>
          </cell>
          <cell r="M191" t="str">
            <v>447680</v>
          </cell>
          <cell r="N191">
            <v>1</v>
          </cell>
          <cell r="O191">
            <v>42917</v>
          </cell>
        </row>
        <row r="192">
          <cell r="A192">
            <v>476614</v>
          </cell>
          <cell r="B192" t="str">
            <v>476614 - 1</v>
          </cell>
          <cell r="C192">
            <v>2469</v>
          </cell>
          <cell r="D192" t="str">
            <v>HAVI LOGISTICS BV</v>
          </cell>
          <cell r="E192" t="str">
            <v/>
          </cell>
          <cell r="F192" t="str">
            <v/>
          </cell>
          <cell r="G192" t="str">
            <v>Amersfoort</v>
          </cell>
          <cell r="H192">
            <v>1</v>
          </cell>
          <cell r="I192" t="str">
            <v>Hessing Logistiek</v>
          </cell>
          <cell r="J192">
            <v>70</v>
          </cell>
          <cell r="K192" t="str">
            <v>LD Chep pallet 120x80 + SSCC</v>
          </cell>
          <cell r="L192">
            <v>4</v>
          </cell>
          <cell r="M192" t="str">
            <v>99284872/1</v>
          </cell>
          <cell r="N192">
            <v>1</v>
          </cell>
          <cell r="O192">
            <v>42917</v>
          </cell>
        </row>
        <row r="193">
          <cell r="A193">
            <v>476614</v>
          </cell>
          <cell r="B193" t="str">
            <v>476614 - 2</v>
          </cell>
          <cell r="C193">
            <v>2469</v>
          </cell>
          <cell r="D193" t="str">
            <v>HAVI LOGISTICS BV</v>
          </cell>
          <cell r="E193" t="str">
            <v/>
          </cell>
          <cell r="F193" t="str">
            <v/>
          </cell>
          <cell r="G193" t="str">
            <v>Amersfoort</v>
          </cell>
          <cell r="H193">
            <v>1</v>
          </cell>
          <cell r="I193" t="str">
            <v>Hessing Logistiek</v>
          </cell>
          <cell r="J193">
            <v>95</v>
          </cell>
          <cell r="K193" t="str">
            <v>Doos</v>
          </cell>
          <cell r="L193">
            <v>994</v>
          </cell>
          <cell r="M193" t="str">
            <v>99284872/1</v>
          </cell>
          <cell r="N193">
            <v>1</v>
          </cell>
          <cell r="O193">
            <v>42917</v>
          </cell>
        </row>
        <row r="194">
          <cell r="A194">
            <v>476617</v>
          </cell>
          <cell r="B194" t="str">
            <v>476617 - 1</v>
          </cell>
          <cell r="C194">
            <v>8999</v>
          </cell>
          <cell r="D194" t="str">
            <v>HESSING ZWAAGDIJK BV</v>
          </cell>
          <cell r="E194" t="str">
            <v>Nieuwmarkt 8</v>
          </cell>
          <cell r="F194" t="str">
            <v>1681 NP</v>
          </cell>
          <cell r="G194" t="str">
            <v>WERVERSHOOF</v>
          </cell>
          <cell r="H194">
            <v>1</v>
          </cell>
          <cell r="I194" t="str">
            <v>Hessing Logistiek</v>
          </cell>
          <cell r="J194">
            <v>70</v>
          </cell>
          <cell r="K194" t="str">
            <v>LD Chep pallet 120x80 + SSCC</v>
          </cell>
          <cell r="L194">
            <v>45</v>
          </cell>
          <cell r="M194" t="str">
            <v>447719</v>
          </cell>
          <cell r="N194">
            <v>1</v>
          </cell>
          <cell r="O194">
            <v>42917</v>
          </cell>
        </row>
        <row r="195">
          <cell r="A195">
            <v>476617</v>
          </cell>
          <cell r="B195" t="str">
            <v>476617 - 2</v>
          </cell>
          <cell r="C195">
            <v>8999</v>
          </cell>
          <cell r="D195" t="str">
            <v>HESSING ZWAAGDIJK BV</v>
          </cell>
          <cell r="E195" t="str">
            <v>Nieuwmarkt 8</v>
          </cell>
          <cell r="F195" t="str">
            <v>1681 NP</v>
          </cell>
          <cell r="G195" t="str">
            <v>WERVERSHOOF</v>
          </cell>
          <cell r="H195">
            <v>1</v>
          </cell>
          <cell r="I195" t="str">
            <v>Hessing Logistiek</v>
          </cell>
          <cell r="J195">
            <v>95</v>
          </cell>
          <cell r="K195" t="str">
            <v>Doos</v>
          </cell>
          <cell r="L195">
            <v>3847</v>
          </cell>
          <cell r="M195" t="str">
            <v>447719</v>
          </cell>
          <cell r="N195">
            <v>1</v>
          </cell>
          <cell r="O195">
            <v>42917</v>
          </cell>
        </row>
        <row r="196">
          <cell r="A196">
            <v>476618</v>
          </cell>
          <cell r="B196" t="str">
            <v>476618 - 1</v>
          </cell>
          <cell r="C196">
            <v>8999</v>
          </cell>
          <cell r="D196" t="str">
            <v>HESSING ZWAAGDIJK BV</v>
          </cell>
          <cell r="E196" t="str">
            <v>Nieuwmarkt 8</v>
          </cell>
          <cell r="F196" t="str">
            <v>1681 NP</v>
          </cell>
          <cell r="G196" t="str">
            <v>WERVERSHOOF</v>
          </cell>
          <cell r="H196">
            <v>1</v>
          </cell>
          <cell r="I196" t="str">
            <v>Hessing Logistiek</v>
          </cell>
          <cell r="J196">
            <v>26</v>
          </cell>
          <cell r="K196" t="str">
            <v>LD LPR Pallet 120*100</v>
          </cell>
          <cell r="L196">
            <v>2</v>
          </cell>
          <cell r="M196" t="str">
            <v>447720</v>
          </cell>
          <cell r="N196">
            <v>1</v>
          </cell>
          <cell r="O196">
            <v>42917</v>
          </cell>
        </row>
        <row r="197">
          <cell r="A197">
            <v>476618</v>
          </cell>
          <cell r="B197" t="str">
            <v>476618 - 2</v>
          </cell>
          <cell r="C197">
            <v>8999</v>
          </cell>
          <cell r="D197" t="str">
            <v>HESSING ZWAAGDIJK BV</v>
          </cell>
          <cell r="E197" t="str">
            <v>Nieuwmarkt 8</v>
          </cell>
          <cell r="F197" t="str">
            <v>1681 NP</v>
          </cell>
          <cell r="G197" t="str">
            <v>WERVERSHOOF</v>
          </cell>
          <cell r="H197">
            <v>1</v>
          </cell>
          <cell r="I197" t="str">
            <v>Hessing Logistiek</v>
          </cell>
          <cell r="J197">
            <v>240</v>
          </cell>
          <cell r="K197" t="str">
            <v>10404 KF EPS Zwart 40x30x10</v>
          </cell>
          <cell r="L197">
            <v>85</v>
          </cell>
          <cell r="M197" t="str">
            <v>447720</v>
          </cell>
          <cell r="N197">
            <v>1</v>
          </cell>
          <cell r="O197">
            <v>42917</v>
          </cell>
        </row>
        <row r="198">
          <cell r="A198">
            <v>476619</v>
          </cell>
          <cell r="B198" t="str">
            <v>476619 - 1</v>
          </cell>
          <cell r="C198">
            <v>8999</v>
          </cell>
          <cell r="D198" t="str">
            <v>HESSING ZWAAGDIJK BV</v>
          </cell>
          <cell r="E198" t="str">
            <v>Nieuwmarkt 8</v>
          </cell>
          <cell r="F198" t="str">
            <v>1681 NP</v>
          </cell>
          <cell r="G198" t="str">
            <v>WERVERSHOOF</v>
          </cell>
          <cell r="H198">
            <v>1</v>
          </cell>
          <cell r="I198" t="str">
            <v>Hessing Logistiek</v>
          </cell>
          <cell r="J198">
            <v>26</v>
          </cell>
          <cell r="K198" t="str">
            <v>LD LPR Pallet 120*100</v>
          </cell>
          <cell r="L198">
            <v>2</v>
          </cell>
          <cell r="M198" t="str">
            <v>447714</v>
          </cell>
          <cell r="N198">
            <v>1</v>
          </cell>
          <cell r="O198">
            <v>42917</v>
          </cell>
        </row>
        <row r="199">
          <cell r="A199">
            <v>476619</v>
          </cell>
          <cell r="B199" t="str">
            <v>476619 - 2</v>
          </cell>
          <cell r="C199">
            <v>8999</v>
          </cell>
          <cell r="D199" t="str">
            <v>HESSING ZWAAGDIJK BV</v>
          </cell>
          <cell r="E199" t="str">
            <v>Nieuwmarkt 8</v>
          </cell>
          <cell r="F199" t="str">
            <v>1681 NP</v>
          </cell>
          <cell r="G199" t="str">
            <v>WERVERSHOOF</v>
          </cell>
          <cell r="H199">
            <v>1</v>
          </cell>
          <cell r="I199" t="str">
            <v>Hessing Logistiek</v>
          </cell>
          <cell r="J199">
            <v>242</v>
          </cell>
          <cell r="K199" t="str">
            <v>10604 KF EPS Zwart 60x40x10</v>
          </cell>
          <cell r="L199">
            <v>200</v>
          </cell>
          <cell r="M199" t="str">
            <v>447714</v>
          </cell>
          <cell r="N199">
            <v>1</v>
          </cell>
          <cell r="O199">
            <v>42917</v>
          </cell>
        </row>
        <row r="200">
          <cell r="A200">
            <v>476620</v>
          </cell>
          <cell r="B200" t="str">
            <v>476620 - 1</v>
          </cell>
          <cell r="C200">
            <v>8999</v>
          </cell>
          <cell r="D200" t="str">
            <v>HESSING ZWAAGDIJK BV</v>
          </cell>
          <cell r="E200" t="str">
            <v>Nieuwmarkt 8</v>
          </cell>
          <cell r="F200" t="str">
            <v>1681 NP</v>
          </cell>
          <cell r="G200" t="str">
            <v>WERVERSHOOF</v>
          </cell>
          <cell r="H200">
            <v>1</v>
          </cell>
          <cell r="I200" t="str">
            <v>Hessing Logistiek</v>
          </cell>
          <cell r="J200">
            <v>26</v>
          </cell>
          <cell r="K200" t="str">
            <v>LD LPR Pallet 120*100</v>
          </cell>
          <cell r="L200">
            <v>2</v>
          </cell>
          <cell r="M200" t="str">
            <v>447670</v>
          </cell>
          <cell r="N200">
            <v>1</v>
          </cell>
          <cell r="O200">
            <v>42917</v>
          </cell>
        </row>
        <row r="201">
          <cell r="A201">
            <v>476620</v>
          </cell>
          <cell r="B201" t="str">
            <v>476620 - 2</v>
          </cell>
          <cell r="C201">
            <v>8999</v>
          </cell>
          <cell r="D201" t="str">
            <v>HESSING ZWAAGDIJK BV</v>
          </cell>
          <cell r="E201" t="str">
            <v>Nieuwmarkt 8</v>
          </cell>
          <cell r="F201" t="str">
            <v>1681 NP</v>
          </cell>
          <cell r="G201" t="str">
            <v>WERVERSHOOF</v>
          </cell>
          <cell r="H201">
            <v>1</v>
          </cell>
          <cell r="I201" t="str">
            <v>Hessing Logistiek</v>
          </cell>
          <cell r="J201">
            <v>240</v>
          </cell>
          <cell r="K201" t="str">
            <v>10404 KF EPS Zwart 40x30x10</v>
          </cell>
          <cell r="L201">
            <v>336</v>
          </cell>
          <cell r="M201" t="str">
            <v>447670</v>
          </cell>
          <cell r="N201">
            <v>1</v>
          </cell>
          <cell r="O201">
            <v>42917</v>
          </cell>
        </row>
        <row r="202">
          <cell r="A202">
            <v>476621</v>
          </cell>
          <cell r="B202" t="str">
            <v>476621 - 1</v>
          </cell>
          <cell r="C202">
            <v>8999</v>
          </cell>
          <cell r="D202" t="str">
            <v>HESSING ZWAAGDIJK BV</v>
          </cell>
          <cell r="E202" t="str">
            <v>Nieuwmarkt 8</v>
          </cell>
          <cell r="F202" t="str">
            <v>1681 NP</v>
          </cell>
          <cell r="G202" t="str">
            <v>WERVERSHOOF</v>
          </cell>
          <cell r="H202">
            <v>1</v>
          </cell>
          <cell r="I202" t="str">
            <v>Hessing Logistiek</v>
          </cell>
          <cell r="J202">
            <v>26</v>
          </cell>
          <cell r="K202" t="str">
            <v>LD LPR Pallet 120*100</v>
          </cell>
          <cell r="L202">
            <v>1</v>
          </cell>
          <cell r="M202" t="str">
            <v>447692</v>
          </cell>
          <cell r="N202">
            <v>1</v>
          </cell>
          <cell r="O202">
            <v>42917</v>
          </cell>
        </row>
        <row r="203">
          <cell r="A203">
            <v>476621</v>
          </cell>
          <cell r="B203" t="str">
            <v>476621 - 2</v>
          </cell>
          <cell r="C203">
            <v>8999</v>
          </cell>
          <cell r="D203" t="str">
            <v>HESSING ZWAAGDIJK BV</v>
          </cell>
          <cell r="E203" t="str">
            <v>Nieuwmarkt 8</v>
          </cell>
          <cell r="F203" t="str">
            <v>1681 NP</v>
          </cell>
          <cell r="G203" t="str">
            <v>WERVERSHOOF</v>
          </cell>
          <cell r="H203">
            <v>1</v>
          </cell>
          <cell r="I203" t="str">
            <v>Hessing Logistiek</v>
          </cell>
          <cell r="J203">
            <v>240</v>
          </cell>
          <cell r="K203" t="str">
            <v>10404 KF EPS Zwart 40x30x10</v>
          </cell>
          <cell r="L203">
            <v>3</v>
          </cell>
          <cell r="M203" t="str">
            <v>447692</v>
          </cell>
          <cell r="N203">
            <v>1</v>
          </cell>
          <cell r="O203">
            <v>42917</v>
          </cell>
        </row>
        <row r="204">
          <cell r="A204">
            <v>476622</v>
          </cell>
          <cell r="B204" t="str">
            <v>476622 - 1</v>
          </cell>
          <cell r="C204">
            <v>8999</v>
          </cell>
          <cell r="D204" t="str">
            <v>HESSING ZWAAGDIJK BV</v>
          </cell>
          <cell r="E204" t="str">
            <v>Nieuwmarkt 8</v>
          </cell>
          <cell r="F204" t="str">
            <v>1681 NP</v>
          </cell>
          <cell r="G204" t="str">
            <v>WERVERSHOOF</v>
          </cell>
          <cell r="H204">
            <v>1</v>
          </cell>
          <cell r="I204" t="str">
            <v>Hessing Logistiek</v>
          </cell>
          <cell r="J204">
            <v>26</v>
          </cell>
          <cell r="K204" t="str">
            <v>LD LPR Pallet 120*100</v>
          </cell>
          <cell r="L204">
            <v>1</v>
          </cell>
          <cell r="M204" t="str">
            <v>447684</v>
          </cell>
          <cell r="N204">
            <v>1</v>
          </cell>
          <cell r="O204">
            <v>42917</v>
          </cell>
        </row>
        <row r="205">
          <cell r="A205">
            <v>476622</v>
          </cell>
          <cell r="B205" t="str">
            <v>476622 - 2</v>
          </cell>
          <cell r="C205">
            <v>8999</v>
          </cell>
          <cell r="D205" t="str">
            <v>HESSING ZWAAGDIJK BV</v>
          </cell>
          <cell r="E205" t="str">
            <v>Nieuwmarkt 8</v>
          </cell>
          <cell r="F205" t="str">
            <v>1681 NP</v>
          </cell>
          <cell r="G205" t="str">
            <v>WERVERSHOOF</v>
          </cell>
          <cell r="H205">
            <v>1</v>
          </cell>
          <cell r="I205" t="str">
            <v>Hessing Logistiek</v>
          </cell>
          <cell r="J205">
            <v>240</v>
          </cell>
          <cell r="K205" t="str">
            <v>10404 KF EPS Zwart 40x30x10</v>
          </cell>
          <cell r="L205">
            <v>17</v>
          </cell>
          <cell r="M205" t="str">
            <v>447684</v>
          </cell>
          <cell r="N205">
            <v>1</v>
          </cell>
          <cell r="O205">
            <v>42917</v>
          </cell>
        </row>
        <row r="206">
          <cell r="A206">
            <v>476623</v>
          </cell>
          <cell r="B206" t="str">
            <v>476623 - 1</v>
          </cell>
          <cell r="C206">
            <v>8999</v>
          </cell>
          <cell r="D206" t="str">
            <v>HESSING ZWAAGDIJK BV</v>
          </cell>
          <cell r="E206" t="str">
            <v>Nieuwmarkt 8</v>
          </cell>
          <cell r="F206" t="str">
            <v>1681 NP</v>
          </cell>
          <cell r="G206" t="str">
            <v>WERVERSHOOF</v>
          </cell>
          <cell r="H206">
            <v>1</v>
          </cell>
          <cell r="I206" t="str">
            <v>Hessing Logistiek</v>
          </cell>
          <cell r="J206">
            <v>26</v>
          </cell>
          <cell r="K206" t="str">
            <v>LD LPR Pallet 120*100</v>
          </cell>
          <cell r="L206">
            <v>24</v>
          </cell>
          <cell r="M206" t="str">
            <v>447669</v>
          </cell>
          <cell r="N206">
            <v>1</v>
          </cell>
          <cell r="O206">
            <v>42917</v>
          </cell>
        </row>
        <row r="207">
          <cell r="A207">
            <v>476623</v>
          </cell>
          <cell r="B207" t="str">
            <v>476623 - 2</v>
          </cell>
          <cell r="C207">
            <v>8999</v>
          </cell>
          <cell r="D207" t="str">
            <v>HESSING ZWAAGDIJK BV</v>
          </cell>
          <cell r="E207" t="str">
            <v>Nieuwmarkt 8</v>
          </cell>
          <cell r="F207" t="str">
            <v>1681 NP</v>
          </cell>
          <cell r="G207" t="str">
            <v>WERVERSHOOF</v>
          </cell>
          <cell r="H207">
            <v>1</v>
          </cell>
          <cell r="I207" t="str">
            <v>Hessing Logistiek</v>
          </cell>
          <cell r="J207">
            <v>240</v>
          </cell>
          <cell r="K207" t="str">
            <v>10404 KF EPS Zwart 40x30x10</v>
          </cell>
          <cell r="L207">
            <v>1324</v>
          </cell>
          <cell r="M207" t="str">
            <v>447669</v>
          </cell>
          <cell r="N207">
            <v>1</v>
          </cell>
          <cell r="O207">
            <v>42917</v>
          </cell>
        </row>
        <row r="208">
          <cell r="A208">
            <v>476623</v>
          </cell>
          <cell r="B208" t="str">
            <v>476623 - 3</v>
          </cell>
          <cell r="C208">
            <v>8999</v>
          </cell>
          <cell r="D208" t="str">
            <v>HESSING ZWAAGDIJK BV</v>
          </cell>
          <cell r="E208" t="str">
            <v>Nieuwmarkt 8</v>
          </cell>
          <cell r="F208" t="str">
            <v>1681 NP</v>
          </cell>
          <cell r="G208" t="str">
            <v>WERVERSHOOF</v>
          </cell>
          <cell r="H208">
            <v>1</v>
          </cell>
          <cell r="I208" t="str">
            <v>Hessing Logistiek</v>
          </cell>
          <cell r="J208">
            <v>242</v>
          </cell>
          <cell r="K208" t="str">
            <v>10604 KF EPS Zwart 60x40x10</v>
          </cell>
          <cell r="L208">
            <v>1511</v>
          </cell>
          <cell r="M208" t="str">
            <v>447669</v>
          </cell>
          <cell r="N208">
            <v>1</v>
          </cell>
          <cell r="O208">
            <v>42917</v>
          </cell>
        </row>
        <row r="209">
          <cell r="A209">
            <v>476624</v>
          </cell>
          <cell r="B209" t="str">
            <v>476624 - 1</v>
          </cell>
          <cell r="C209">
            <v>8999</v>
          </cell>
          <cell r="D209" t="str">
            <v>HESSING ZWAAGDIJK BV</v>
          </cell>
          <cell r="E209" t="str">
            <v>Nieuwmarkt 8</v>
          </cell>
          <cell r="F209" t="str">
            <v>1681 NP</v>
          </cell>
          <cell r="G209" t="str">
            <v>WERVERSHOOF</v>
          </cell>
          <cell r="H209">
            <v>1</v>
          </cell>
          <cell r="I209" t="str">
            <v>Hessing Logistiek</v>
          </cell>
          <cell r="J209">
            <v>26</v>
          </cell>
          <cell r="K209" t="str">
            <v>LD LPR Pallet 120*100</v>
          </cell>
          <cell r="L209">
            <v>1</v>
          </cell>
          <cell r="M209" t="str">
            <v>447684</v>
          </cell>
          <cell r="N209">
            <v>1</v>
          </cell>
          <cell r="O209">
            <v>42917</v>
          </cell>
        </row>
        <row r="210">
          <cell r="A210">
            <v>476624</v>
          </cell>
          <cell r="B210" t="str">
            <v>476624 - 2</v>
          </cell>
          <cell r="C210">
            <v>8999</v>
          </cell>
          <cell r="D210" t="str">
            <v>HESSING ZWAAGDIJK BV</v>
          </cell>
          <cell r="E210" t="str">
            <v>Nieuwmarkt 8</v>
          </cell>
          <cell r="F210" t="str">
            <v>1681 NP</v>
          </cell>
          <cell r="G210" t="str">
            <v>WERVERSHOOF</v>
          </cell>
          <cell r="H210">
            <v>1</v>
          </cell>
          <cell r="I210" t="str">
            <v>Hessing Logistiek</v>
          </cell>
          <cell r="J210">
            <v>240</v>
          </cell>
          <cell r="K210" t="str">
            <v>10404 KF EPS Zwart 40x30x10</v>
          </cell>
          <cell r="L210">
            <v>14</v>
          </cell>
          <cell r="M210" t="str">
            <v>447684</v>
          </cell>
          <cell r="N210">
            <v>1</v>
          </cell>
          <cell r="O210">
            <v>42917</v>
          </cell>
        </row>
        <row r="211">
          <cell r="A211">
            <v>476625</v>
          </cell>
          <cell r="B211" t="str">
            <v>476625 - 1</v>
          </cell>
          <cell r="C211">
            <v>8999</v>
          </cell>
          <cell r="D211" t="str">
            <v>HESSING ZWAAGDIJK BV</v>
          </cell>
          <cell r="E211" t="str">
            <v>Nieuwmarkt 8</v>
          </cell>
          <cell r="F211" t="str">
            <v>1681 NP</v>
          </cell>
          <cell r="G211" t="str">
            <v>WERVERSHOOF</v>
          </cell>
          <cell r="H211">
            <v>1</v>
          </cell>
          <cell r="I211" t="str">
            <v>Hessing Logistiek</v>
          </cell>
          <cell r="J211">
            <v>18</v>
          </cell>
          <cell r="K211" t="str">
            <v>CBL 8 30/40/7 zwart</v>
          </cell>
          <cell r="L211">
            <v>19</v>
          </cell>
          <cell r="M211" t="str">
            <v>447684</v>
          </cell>
          <cell r="N211">
            <v>1</v>
          </cell>
          <cell r="O211">
            <v>42917</v>
          </cell>
        </row>
        <row r="212">
          <cell r="A212">
            <v>476625</v>
          </cell>
          <cell r="B212" t="str">
            <v>476625 - 2</v>
          </cell>
          <cell r="C212">
            <v>8999</v>
          </cell>
          <cell r="D212" t="str">
            <v>HESSING ZWAAGDIJK BV</v>
          </cell>
          <cell r="E212" t="str">
            <v>Nieuwmarkt 8</v>
          </cell>
          <cell r="F212" t="str">
            <v>1681 NP</v>
          </cell>
          <cell r="G212" t="str">
            <v>WERVERSHOOF</v>
          </cell>
          <cell r="H212">
            <v>1</v>
          </cell>
          <cell r="I212" t="str">
            <v>Hessing Logistiek</v>
          </cell>
          <cell r="J212">
            <v>26</v>
          </cell>
          <cell r="K212" t="str">
            <v>LD LPR Pallet 120*100</v>
          </cell>
          <cell r="L212">
            <v>11</v>
          </cell>
          <cell r="M212" t="str">
            <v>447684</v>
          </cell>
          <cell r="N212">
            <v>1</v>
          </cell>
          <cell r="O212">
            <v>42917</v>
          </cell>
        </row>
        <row r="213">
          <cell r="A213">
            <v>476625</v>
          </cell>
          <cell r="B213" t="str">
            <v>476625 - 3</v>
          </cell>
          <cell r="C213">
            <v>8999</v>
          </cell>
          <cell r="D213" t="str">
            <v>HESSING ZWAAGDIJK BV</v>
          </cell>
          <cell r="E213" t="str">
            <v>Nieuwmarkt 8</v>
          </cell>
          <cell r="F213" t="str">
            <v>1681 NP</v>
          </cell>
          <cell r="G213" t="str">
            <v>WERVERSHOOF</v>
          </cell>
          <cell r="H213">
            <v>1</v>
          </cell>
          <cell r="I213" t="str">
            <v>Hessing Logistiek</v>
          </cell>
          <cell r="J213">
            <v>240</v>
          </cell>
          <cell r="K213" t="str">
            <v>10404 KF EPS Zwart 40x30x10</v>
          </cell>
          <cell r="L213">
            <v>629</v>
          </cell>
          <cell r="M213" t="str">
            <v>447684</v>
          </cell>
          <cell r="N213">
            <v>1</v>
          </cell>
          <cell r="O213">
            <v>42917</v>
          </cell>
        </row>
        <row r="214">
          <cell r="A214">
            <v>476626</v>
          </cell>
          <cell r="B214" t="str">
            <v>476626 - 1</v>
          </cell>
          <cell r="C214">
            <v>8999</v>
          </cell>
          <cell r="D214" t="str">
            <v>HESSING ZWAAGDIJK BV</v>
          </cell>
          <cell r="E214" t="str">
            <v>Nieuwmarkt 8</v>
          </cell>
          <cell r="F214" t="str">
            <v>1681 NP</v>
          </cell>
          <cell r="G214" t="str">
            <v>WERVERSHOOF</v>
          </cell>
          <cell r="H214">
            <v>1</v>
          </cell>
          <cell r="I214" t="str">
            <v>Hessing Logistiek</v>
          </cell>
          <cell r="J214">
            <v>26</v>
          </cell>
          <cell r="K214" t="str">
            <v>LD LPR Pallet 120*100</v>
          </cell>
          <cell r="L214">
            <v>25</v>
          </cell>
          <cell r="M214" t="str">
            <v>447669</v>
          </cell>
          <cell r="N214">
            <v>1</v>
          </cell>
          <cell r="O214">
            <v>42917</v>
          </cell>
        </row>
        <row r="215">
          <cell r="A215">
            <v>476626</v>
          </cell>
          <cell r="B215" t="str">
            <v>476626 - 2</v>
          </cell>
          <cell r="C215">
            <v>8999</v>
          </cell>
          <cell r="D215" t="str">
            <v>HESSING ZWAAGDIJK BV</v>
          </cell>
          <cell r="E215" t="str">
            <v>Nieuwmarkt 8</v>
          </cell>
          <cell r="F215" t="str">
            <v>1681 NP</v>
          </cell>
          <cell r="G215" t="str">
            <v>WERVERSHOOF</v>
          </cell>
          <cell r="H215">
            <v>1</v>
          </cell>
          <cell r="I215" t="str">
            <v>Hessing Logistiek</v>
          </cell>
          <cell r="J215">
            <v>240</v>
          </cell>
          <cell r="K215" t="str">
            <v>10404 KF EPS Zwart 40x30x10</v>
          </cell>
          <cell r="L215">
            <v>1736</v>
          </cell>
          <cell r="M215" t="str">
            <v>447669</v>
          </cell>
          <cell r="N215">
            <v>1</v>
          </cell>
          <cell r="O215">
            <v>42917</v>
          </cell>
        </row>
        <row r="216">
          <cell r="A216">
            <v>476626</v>
          </cell>
          <cell r="B216" t="str">
            <v>476626 - 3</v>
          </cell>
          <cell r="C216">
            <v>8999</v>
          </cell>
          <cell r="D216" t="str">
            <v>HESSING ZWAAGDIJK BV</v>
          </cell>
          <cell r="E216" t="str">
            <v>Nieuwmarkt 8</v>
          </cell>
          <cell r="F216" t="str">
            <v>1681 NP</v>
          </cell>
          <cell r="G216" t="str">
            <v>WERVERSHOOF</v>
          </cell>
          <cell r="H216">
            <v>1</v>
          </cell>
          <cell r="I216" t="str">
            <v>Hessing Logistiek</v>
          </cell>
          <cell r="J216">
            <v>242</v>
          </cell>
          <cell r="K216" t="str">
            <v>10604 KF EPS Zwart 60x40x10</v>
          </cell>
          <cell r="L216">
            <v>1213</v>
          </cell>
          <cell r="M216" t="str">
            <v>447669</v>
          </cell>
          <cell r="N216">
            <v>1</v>
          </cell>
          <cell r="O216">
            <v>42917</v>
          </cell>
        </row>
        <row r="217">
          <cell r="A217">
            <v>476627</v>
          </cell>
          <cell r="B217" t="str">
            <v>476627 - 1</v>
          </cell>
          <cell r="C217">
            <v>8999</v>
          </cell>
          <cell r="D217" t="str">
            <v>HESSING ZWAAGDIJK BV</v>
          </cell>
          <cell r="E217" t="str">
            <v>Nieuwmarkt 8</v>
          </cell>
          <cell r="F217" t="str">
            <v>1681 NP</v>
          </cell>
          <cell r="G217" t="str">
            <v>WERVERSHOOF</v>
          </cell>
          <cell r="H217">
            <v>1</v>
          </cell>
          <cell r="I217" t="str">
            <v>Hessing Logistiek</v>
          </cell>
          <cell r="J217">
            <v>26</v>
          </cell>
          <cell r="K217" t="str">
            <v>LD LPR Pallet 120*100</v>
          </cell>
          <cell r="L217">
            <v>4</v>
          </cell>
          <cell r="M217" t="str">
            <v>447714</v>
          </cell>
          <cell r="N217">
            <v>1</v>
          </cell>
          <cell r="O217">
            <v>42917</v>
          </cell>
        </row>
        <row r="218">
          <cell r="A218">
            <v>476627</v>
          </cell>
          <cell r="B218" t="str">
            <v>476627 - 2</v>
          </cell>
          <cell r="C218">
            <v>8999</v>
          </cell>
          <cell r="D218" t="str">
            <v>HESSING ZWAAGDIJK BV</v>
          </cell>
          <cell r="E218" t="str">
            <v>Nieuwmarkt 8</v>
          </cell>
          <cell r="F218" t="str">
            <v>1681 NP</v>
          </cell>
          <cell r="G218" t="str">
            <v>WERVERSHOOF</v>
          </cell>
          <cell r="H218">
            <v>1</v>
          </cell>
          <cell r="I218" t="str">
            <v>Hessing Logistiek</v>
          </cell>
          <cell r="J218">
            <v>240</v>
          </cell>
          <cell r="K218" t="str">
            <v>10404 KF EPS Zwart 40x30x10</v>
          </cell>
          <cell r="L218">
            <v>41</v>
          </cell>
          <cell r="M218" t="str">
            <v>447714</v>
          </cell>
          <cell r="N218">
            <v>1</v>
          </cell>
          <cell r="O218">
            <v>42917</v>
          </cell>
        </row>
        <row r="219">
          <cell r="A219">
            <v>476627</v>
          </cell>
          <cell r="B219" t="str">
            <v>476627 - 3</v>
          </cell>
          <cell r="C219">
            <v>8999</v>
          </cell>
          <cell r="D219" t="str">
            <v>HESSING ZWAAGDIJK BV</v>
          </cell>
          <cell r="E219" t="str">
            <v>Nieuwmarkt 8</v>
          </cell>
          <cell r="F219" t="str">
            <v>1681 NP</v>
          </cell>
          <cell r="G219" t="str">
            <v>WERVERSHOOF</v>
          </cell>
          <cell r="H219">
            <v>1</v>
          </cell>
          <cell r="I219" t="str">
            <v>Hessing Logistiek</v>
          </cell>
          <cell r="J219">
            <v>242</v>
          </cell>
          <cell r="K219" t="str">
            <v>10604 KF EPS Zwart 60x40x10</v>
          </cell>
          <cell r="L219">
            <v>287</v>
          </cell>
          <cell r="M219" t="str">
            <v>447714</v>
          </cell>
          <cell r="N219">
            <v>1</v>
          </cell>
          <cell r="O219">
            <v>42917</v>
          </cell>
        </row>
        <row r="220">
          <cell r="A220">
            <v>476628</v>
          </cell>
          <cell r="B220" t="str">
            <v>476628 - 1</v>
          </cell>
          <cell r="C220">
            <v>8999</v>
          </cell>
          <cell r="D220" t="str">
            <v>HESSING ZWAAGDIJK BV</v>
          </cell>
          <cell r="E220" t="str">
            <v>Nieuwmarkt 8</v>
          </cell>
          <cell r="F220" t="str">
            <v>1681 NP</v>
          </cell>
          <cell r="G220" t="str">
            <v>WERVERSHOOF</v>
          </cell>
          <cell r="H220">
            <v>1</v>
          </cell>
          <cell r="I220" t="str">
            <v>Hessing Logistiek</v>
          </cell>
          <cell r="J220">
            <v>26</v>
          </cell>
          <cell r="K220" t="str">
            <v>LD LPR Pallet 120*100</v>
          </cell>
          <cell r="L220">
            <v>2</v>
          </cell>
          <cell r="M220" t="str">
            <v>447670</v>
          </cell>
          <cell r="N220">
            <v>1</v>
          </cell>
          <cell r="O220">
            <v>42917</v>
          </cell>
        </row>
        <row r="221">
          <cell r="A221">
            <v>476628</v>
          </cell>
          <cell r="B221" t="str">
            <v>476628 - 2</v>
          </cell>
          <cell r="C221">
            <v>8999</v>
          </cell>
          <cell r="D221" t="str">
            <v>HESSING ZWAAGDIJK BV</v>
          </cell>
          <cell r="E221" t="str">
            <v>Nieuwmarkt 8</v>
          </cell>
          <cell r="F221" t="str">
            <v>1681 NP</v>
          </cell>
          <cell r="G221" t="str">
            <v>WERVERSHOOF</v>
          </cell>
          <cell r="H221">
            <v>1</v>
          </cell>
          <cell r="I221" t="str">
            <v>Hessing Logistiek</v>
          </cell>
          <cell r="J221">
            <v>240</v>
          </cell>
          <cell r="K221" t="str">
            <v>10404 KF EPS Zwart 40x30x10</v>
          </cell>
          <cell r="L221">
            <v>66</v>
          </cell>
          <cell r="M221" t="str">
            <v>447670</v>
          </cell>
          <cell r="N221">
            <v>1</v>
          </cell>
          <cell r="O221">
            <v>42917</v>
          </cell>
        </row>
        <row r="222">
          <cell r="A222">
            <v>476629</v>
          </cell>
          <cell r="B222" t="str">
            <v>476629 - 1</v>
          </cell>
          <cell r="C222">
            <v>8999</v>
          </cell>
          <cell r="D222" t="str">
            <v>HESSING ZWAAGDIJK BV</v>
          </cell>
          <cell r="E222" t="str">
            <v>Nieuwmarkt 8</v>
          </cell>
          <cell r="F222" t="str">
            <v>1681 NP</v>
          </cell>
          <cell r="G222" t="str">
            <v>WERVERSHOOF</v>
          </cell>
          <cell r="H222">
            <v>1</v>
          </cell>
          <cell r="I222" t="str">
            <v>Hessing Logistiek</v>
          </cell>
          <cell r="J222">
            <v>26</v>
          </cell>
          <cell r="K222" t="str">
            <v>LD LPR Pallet 120*100</v>
          </cell>
          <cell r="L222">
            <v>4</v>
          </cell>
          <cell r="M222" t="str">
            <v>447723</v>
          </cell>
          <cell r="N222">
            <v>1</v>
          </cell>
          <cell r="O222">
            <v>42917</v>
          </cell>
        </row>
        <row r="223">
          <cell r="A223">
            <v>476629</v>
          </cell>
          <cell r="B223" t="str">
            <v>476629 - 2</v>
          </cell>
          <cell r="C223">
            <v>8999</v>
          </cell>
          <cell r="D223" t="str">
            <v>HESSING ZWAAGDIJK BV</v>
          </cell>
          <cell r="E223" t="str">
            <v>Nieuwmarkt 8</v>
          </cell>
          <cell r="F223" t="str">
            <v>1681 NP</v>
          </cell>
          <cell r="G223" t="str">
            <v>WERVERSHOOF</v>
          </cell>
          <cell r="H223">
            <v>1</v>
          </cell>
          <cell r="I223" t="str">
            <v>Hessing Logistiek</v>
          </cell>
          <cell r="J223">
            <v>240</v>
          </cell>
          <cell r="K223" t="str">
            <v>10404 KF EPS Zwart 40x30x10</v>
          </cell>
          <cell r="L223">
            <v>245</v>
          </cell>
          <cell r="M223" t="str">
            <v>447723</v>
          </cell>
          <cell r="N223">
            <v>1</v>
          </cell>
          <cell r="O223">
            <v>42917</v>
          </cell>
        </row>
        <row r="224">
          <cell r="A224">
            <v>476630</v>
          </cell>
          <cell r="B224" t="str">
            <v>476630 - 1</v>
          </cell>
          <cell r="C224">
            <v>8999</v>
          </cell>
          <cell r="D224" t="str">
            <v>HESSING ZWAAGDIJK BV</v>
          </cell>
          <cell r="E224" t="str">
            <v>Nieuwmarkt 8</v>
          </cell>
          <cell r="F224" t="str">
            <v>1681 NP</v>
          </cell>
          <cell r="G224" t="str">
            <v>WERVERSHOOF</v>
          </cell>
          <cell r="H224">
            <v>1</v>
          </cell>
          <cell r="I224" t="str">
            <v>Hessing Logistiek</v>
          </cell>
          <cell r="J224">
            <v>26</v>
          </cell>
          <cell r="K224" t="str">
            <v>LD LPR Pallet 120*100</v>
          </cell>
          <cell r="L224">
            <v>2</v>
          </cell>
          <cell r="M224" t="str">
            <v>447722</v>
          </cell>
          <cell r="N224">
            <v>1</v>
          </cell>
          <cell r="O224">
            <v>42917</v>
          </cell>
        </row>
        <row r="225">
          <cell r="A225">
            <v>476630</v>
          </cell>
          <cell r="B225" t="str">
            <v>476630 - 2</v>
          </cell>
          <cell r="C225">
            <v>8999</v>
          </cell>
          <cell r="D225" t="str">
            <v>HESSING ZWAAGDIJK BV</v>
          </cell>
          <cell r="E225" t="str">
            <v>Nieuwmarkt 8</v>
          </cell>
          <cell r="F225" t="str">
            <v>1681 NP</v>
          </cell>
          <cell r="G225" t="str">
            <v>WERVERSHOOF</v>
          </cell>
          <cell r="H225">
            <v>1</v>
          </cell>
          <cell r="I225" t="str">
            <v>Hessing Logistiek</v>
          </cell>
          <cell r="J225">
            <v>240</v>
          </cell>
          <cell r="K225" t="str">
            <v>10404 KF EPS Zwart 40x30x10</v>
          </cell>
          <cell r="L225">
            <v>152</v>
          </cell>
          <cell r="M225" t="str">
            <v>447722</v>
          </cell>
          <cell r="N225">
            <v>1</v>
          </cell>
          <cell r="O225">
            <v>42917</v>
          </cell>
        </row>
        <row r="226">
          <cell r="A226">
            <v>476631</v>
          </cell>
          <cell r="B226" t="str">
            <v>476631 - 1</v>
          </cell>
          <cell r="C226">
            <v>8999</v>
          </cell>
          <cell r="D226" t="str">
            <v>HESSING ZWAAGDIJK BV</v>
          </cell>
          <cell r="E226" t="str">
            <v>Nieuwmarkt 8</v>
          </cell>
          <cell r="F226" t="str">
            <v>1681 NP</v>
          </cell>
          <cell r="G226" t="str">
            <v>WERVERSHOOF</v>
          </cell>
          <cell r="H226">
            <v>1</v>
          </cell>
          <cell r="I226" t="str">
            <v>Hessing Logistiek</v>
          </cell>
          <cell r="J226">
            <v>26</v>
          </cell>
          <cell r="K226" t="str">
            <v>LD LPR Pallet 120*100</v>
          </cell>
          <cell r="L226">
            <v>1</v>
          </cell>
          <cell r="M226" t="str">
            <v>447670</v>
          </cell>
          <cell r="N226">
            <v>1</v>
          </cell>
          <cell r="O226">
            <v>42917</v>
          </cell>
        </row>
        <row r="227">
          <cell r="A227">
            <v>476631</v>
          </cell>
          <cell r="B227" t="str">
            <v>476631 - 2</v>
          </cell>
          <cell r="C227">
            <v>8999</v>
          </cell>
          <cell r="D227" t="str">
            <v>HESSING ZWAAGDIJK BV</v>
          </cell>
          <cell r="E227" t="str">
            <v>Nieuwmarkt 8</v>
          </cell>
          <cell r="F227" t="str">
            <v>1681 NP</v>
          </cell>
          <cell r="G227" t="str">
            <v>WERVERSHOOF</v>
          </cell>
          <cell r="H227">
            <v>1</v>
          </cell>
          <cell r="I227" t="str">
            <v>Hessing Logistiek</v>
          </cell>
          <cell r="J227">
            <v>242</v>
          </cell>
          <cell r="K227" t="str">
            <v>10604 KF EPS Zwart 60x40x10</v>
          </cell>
          <cell r="L227">
            <v>82</v>
          </cell>
          <cell r="M227" t="str">
            <v>447670</v>
          </cell>
          <cell r="N227">
            <v>1</v>
          </cell>
          <cell r="O227">
            <v>42917</v>
          </cell>
        </row>
        <row r="228">
          <cell r="A228">
            <v>476633</v>
          </cell>
          <cell r="B228" t="str">
            <v>476633 - 1</v>
          </cell>
          <cell r="C228">
            <v>8999</v>
          </cell>
          <cell r="D228" t="str">
            <v>HESSING ZWAAGDIJK BV</v>
          </cell>
          <cell r="E228" t="str">
            <v>Nieuwmarkt 8</v>
          </cell>
          <cell r="F228" t="str">
            <v>1681 NP</v>
          </cell>
          <cell r="G228" t="str">
            <v>WERVERSHOOF</v>
          </cell>
          <cell r="H228">
            <v>1</v>
          </cell>
          <cell r="I228" t="str">
            <v>Hessing Logistiek</v>
          </cell>
          <cell r="J228">
            <v>26</v>
          </cell>
          <cell r="K228" t="str">
            <v>LD LPR Pallet 120*100</v>
          </cell>
          <cell r="L228">
            <v>1</v>
          </cell>
          <cell r="M228" t="str">
            <v>447714</v>
          </cell>
          <cell r="N228">
            <v>1</v>
          </cell>
          <cell r="O228">
            <v>42917</v>
          </cell>
        </row>
        <row r="229">
          <cell r="A229">
            <v>476633</v>
          </cell>
          <cell r="B229" t="str">
            <v>476633 - 2</v>
          </cell>
          <cell r="C229">
            <v>8999</v>
          </cell>
          <cell r="D229" t="str">
            <v>HESSING ZWAAGDIJK BV</v>
          </cell>
          <cell r="E229" t="str">
            <v>Nieuwmarkt 8</v>
          </cell>
          <cell r="F229" t="str">
            <v>1681 NP</v>
          </cell>
          <cell r="G229" t="str">
            <v>WERVERSHOOF</v>
          </cell>
          <cell r="H229">
            <v>1</v>
          </cell>
          <cell r="I229" t="str">
            <v>Hessing Logistiek</v>
          </cell>
          <cell r="J229">
            <v>240</v>
          </cell>
          <cell r="K229" t="str">
            <v>10404 KF EPS Zwart 40x30x10</v>
          </cell>
          <cell r="L229">
            <v>47</v>
          </cell>
          <cell r="M229" t="str">
            <v>447714</v>
          </cell>
          <cell r="N229">
            <v>1</v>
          </cell>
          <cell r="O229">
            <v>42917</v>
          </cell>
        </row>
        <row r="230">
          <cell r="A230">
            <v>476634</v>
          </cell>
          <cell r="B230" t="str">
            <v>476634 - 1</v>
          </cell>
          <cell r="C230">
            <v>8999</v>
          </cell>
          <cell r="D230" t="str">
            <v>HESSING ZWAAGDIJK BV</v>
          </cell>
          <cell r="E230" t="str">
            <v>Nieuwmarkt 8</v>
          </cell>
          <cell r="F230" t="str">
            <v>1681 NP</v>
          </cell>
          <cell r="G230" t="str">
            <v>WERVERSHOOF</v>
          </cell>
          <cell r="H230">
            <v>1</v>
          </cell>
          <cell r="I230" t="str">
            <v>Hessing Logistiek</v>
          </cell>
          <cell r="J230">
            <v>26</v>
          </cell>
          <cell r="K230" t="str">
            <v>LD LPR Pallet 120*100</v>
          </cell>
          <cell r="L230">
            <v>27</v>
          </cell>
          <cell r="M230" t="str">
            <v>447669</v>
          </cell>
          <cell r="N230">
            <v>1</v>
          </cell>
          <cell r="O230">
            <v>42917</v>
          </cell>
        </row>
        <row r="231">
          <cell r="A231">
            <v>476634</v>
          </cell>
          <cell r="B231" t="str">
            <v>476634 - 2</v>
          </cell>
          <cell r="C231">
            <v>8999</v>
          </cell>
          <cell r="D231" t="str">
            <v>HESSING ZWAAGDIJK BV</v>
          </cell>
          <cell r="E231" t="str">
            <v>Nieuwmarkt 8</v>
          </cell>
          <cell r="F231" t="str">
            <v>1681 NP</v>
          </cell>
          <cell r="G231" t="str">
            <v>WERVERSHOOF</v>
          </cell>
          <cell r="H231">
            <v>1</v>
          </cell>
          <cell r="I231" t="str">
            <v>Hessing Logistiek</v>
          </cell>
          <cell r="J231">
            <v>240</v>
          </cell>
          <cell r="K231" t="str">
            <v>10404 KF EPS Zwart 40x30x10</v>
          </cell>
          <cell r="L231">
            <v>2359</v>
          </cell>
          <cell r="M231" t="str">
            <v>447669</v>
          </cell>
          <cell r="N231">
            <v>1</v>
          </cell>
          <cell r="O231">
            <v>42917</v>
          </cell>
        </row>
        <row r="232">
          <cell r="A232">
            <v>476634</v>
          </cell>
          <cell r="B232" t="str">
            <v>476634 - 3</v>
          </cell>
          <cell r="C232">
            <v>8999</v>
          </cell>
          <cell r="D232" t="str">
            <v>HESSING ZWAAGDIJK BV</v>
          </cell>
          <cell r="E232" t="str">
            <v>Nieuwmarkt 8</v>
          </cell>
          <cell r="F232" t="str">
            <v>1681 NP</v>
          </cell>
          <cell r="G232" t="str">
            <v>WERVERSHOOF</v>
          </cell>
          <cell r="H232">
            <v>1</v>
          </cell>
          <cell r="I232" t="str">
            <v>Hessing Logistiek</v>
          </cell>
          <cell r="J232">
            <v>241</v>
          </cell>
          <cell r="K232" t="str">
            <v>15404 KF EPS Zwart 40x30x15</v>
          </cell>
          <cell r="L232">
            <v>50</v>
          </cell>
          <cell r="M232" t="str">
            <v>447669</v>
          </cell>
          <cell r="N232">
            <v>1</v>
          </cell>
          <cell r="O232">
            <v>42917</v>
          </cell>
        </row>
        <row r="233">
          <cell r="A233">
            <v>476634</v>
          </cell>
          <cell r="B233" t="str">
            <v>476634 - 4</v>
          </cell>
          <cell r="C233">
            <v>8999</v>
          </cell>
          <cell r="D233" t="str">
            <v>HESSING ZWAAGDIJK BV</v>
          </cell>
          <cell r="E233" t="str">
            <v>Nieuwmarkt 8</v>
          </cell>
          <cell r="F233" t="str">
            <v>1681 NP</v>
          </cell>
          <cell r="G233" t="str">
            <v>WERVERSHOOF</v>
          </cell>
          <cell r="H233">
            <v>1</v>
          </cell>
          <cell r="I233" t="str">
            <v>Hessing Logistiek</v>
          </cell>
          <cell r="J233">
            <v>242</v>
          </cell>
          <cell r="K233" t="str">
            <v>10604 KF EPS Zwart 60x40x10</v>
          </cell>
          <cell r="L233">
            <v>1163</v>
          </cell>
          <cell r="M233" t="str">
            <v>447669</v>
          </cell>
          <cell r="N233">
            <v>1</v>
          </cell>
          <cell r="O233">
            <v>42917</v>
          </cell>
        </row>
        <row r="234">
          <cell r="A234">
            <v>476636</v>
          </cell>
          <cell r="B234" t="str">
            <v>476636 - 1</v>
          </cell>
          <cell r="C234">
            <v>8999</v>
          </cell>
          <cell r="D234" t="str">
            <v>HESSING ZWAAGDIJK BV</v>
          </cell>
          <cell r="E234" t="str">
            <v>Nieuwmarkt 8</v>
          </cell>
          <cell r="F234" t="str">
            <v>1681 NP</v>
          </cell>
          <cell r="G234" t="str">
            <v>WERVERSHOOF</v>
          </cell>
          <cell r="H234">
            <v>1</v>
          </cell>
          <cell r="I234" t="str">
            <v>Hessing Logistiek</v>
          </cell>
          <cell r="J234">
            <v>17</v>
          </cell>
          <cell r="K234" t="str">
            <v>CBL 7 60/40/7 zwart</v>
          </cell>
          <cell r="L234">
            <v>83</v>
          </cell>
          <cell r="M234" t="str">
            <v>447680</v>
          </cell>
          <cell r="N234">
            <v>1</v>
          </cell>
          <cell r="O234">
            <v>42917</v>
          </cell>
        </row>
        <row r="235">
          <cell r="A235">
            <v>476636</v>
          </cell>
          <cell r="B235" t="str">
            <v>476636 - 2</v>
          </cell>
          <cell r="C235">
            <v>8999</v>
          </cell>
          <cell r="D235" t="str">
            <v>HESSING ZWAAGDIJK BV</v>
          </cell>
          <cell r="E235" t="str">
            <v>Nieuwmarkt 8</v>
          </cell>
          <cell r="F235" t="str">
            <v>1681 NP</v>
          </cell>
          <cell r="G235" t="str">
            <v>WERVERSHOOF</v>
          </cell>
          <cell r="H235">
            <v>1</v>
          </cell>
          <cell r="I235" t="str">
            <v>Hessing Logistiek</v>
          </cell>
          <cell r="J235">
            <v>26</v>
          </cell>
          <cell r="K235" t="str">
            <v>LD LPR Pallet 120*100</v>
          </cell>
          <cell r="L235">
            <v>3</v>
          </cell>
          <cell r="M235" t="str">
            <v>447680</v>
          </cell>
          <cell r="N235">
            <v>1</v>
          </cell>
          <cell r="O235">
            <v>42917</v>
          </cell>
        </row>
        <row r="236">
          <cell r="A236">
            <v>476636</v>
          </cell>
          <cell r="B236" t="str">
            <v>476636 - 3</v>
          </cell>
          <cell r="C236">
            <v>8999</v>
          </cell>
          <cell r="D236" t="str">
            <v>HESSING ZWAAGDIJK BV</v>
          </cell>
          <cell r="E236" t="str">
            <v>Nieuwmarkt 8</v>
          </cell>
          <cell r="F236" t="str">
            <v>1681 NP</v>
          </cell>
          <cell r="G236" t="str">
            <v>WERVERSHOOF</v>
          </cell>
          <cell r="H236">
            <v>1</v>
          </cell>
          <cell r="I236" t="str">
            <v>Hessing Logistiek</v>
          </cell>
          <cell r="J236">
            <v>240</v>
          </cell>
          <cell r="K236" t="str">
            <v>10404 KF EPS Zwart 40x30x10</v>
          </cell>
          <cell r="L236">
            <v>34</v>
          </cell>
          <cell r="M236" t="str">
            <v>447680</v>
          </cell>
          <cell r="N236">
            <v>1</v>
          </cell>
          <cell r="O236">
            <v>42917</v>
          </cell>
        </row>
        <row r="237">
          <cell r="A237">
            <v>476638</v>
          </cell>
          <cell r="B237" t="str">
            <v>476638 - 1</v>
          </cell>
          <cell r="C237">
            <v>8999</v>
          </cell>
          <cell r="D237" t="str">
            <v>HESSING ZWAAGDIJK BV</v>
          </cell>
          <cell r="E237" t="str">
            <v>Nieuwmarkt 8</v>
          </cell>
          <cell r="F237" t="str">
            <v>1681 NP</v>
          </cell>
          <cell r="G237" t="str">
            <v>WERVERSHOOF</v>
          </cell>
          <cell r="H237">
            <v>1</v>
          </cell>
          <cell r="I237" t="str">
            <v>Hessing Logistiek</v>
          </cell>
          <cell r="J237">
            <v>17</v>
          </cell>
          <cell r="K237" t="str">
            <v>CBL 7 60/40/7 zwart</v>
          </cell>
          <cell r="L237">
            <v>160</v>
          </cell>
          <cell r="M237" t="str">
            <v>447675</v>
          </cell>
          <cell r="N237">
            <v>1</v>
          </cell>
          <cell r="O237">
            <v>42917</v>
          </cell>
        </row>
        <row r="238">
          <cell r="A238">
            <v>476638</v>
          </cell>
          <cell r="B238" t="str">
            <v>476638 - 2</v>
          </cell>
          <cell r="C238">
            <v>8999</v>
          </cell>
          <cell r="D238" t="str">
            <v>HESSING ZWAAGDIJK BV</v>
          </cell>
          <cell r="E238" t="str">
            <v>Nieuwmarkt 8</v>
          </cell>
          <cell r="F238" t="str">
            <v>1681 NP</v>
          </cell>
          <cell r="G238" t="str">
            <v>WERVERSHOOF</v>
          </cell>
          <cell r="H238">
            <v>1</v>
          </cell>
          <cell r="I238" t="str">
            <v>Hessing Logistiek</v>
          </cell>
          <cell r="J238">
            <v>23</v>
          </cell>
          <cell r="K238" t="str">
            <v>CBL15 40x30x15 zwart</v>
          </cell>
          <cell r="L238">
            <v>60</v>
          </cell>
          <cell r="M238" t="str">
            <v>447675</v>
          </cell>
          <cell r="N238">
            <v>1</v>
          </cell>
          <cell r="O238">
            <v>42917</v>
          </cell>
        </row>
        <row r="239">
          <cell r="A239">
            <v>476638</v>
          </cell>
          <cell r="B239" t="str">
            <v>476638 - 3</v>
          </cell>
          <cell r="C239">
            <v>8999</v>
          </cell>
          <cell r="D239" t="str">
            <v>HESSING ZWAAGDIJK BV</v>
          </cell>
          <cell r="E239" t="str">
            <v>Nieuwmarkt 8</v>
          </cell>
          <cell r="F239" t="str">
            <v>1681 NP</v>
          </cell>
          <cell r="G239" t="str">
            <v>WERVERSHOOF</v>
          </cell>
          <cell r="H239">
            <v>1</v>
          </cell>
          <cell r="I239" t="str">
            <v>Hessing Logistiek</v>
          </cell>
          <cell r="J239">
            <v>26</v>
          </cell>
          <cell r="K239" t="str">
            <v>LD LPR Pallet 120*100</v>
          </cell>
          <cell r="L239">
            <v>8</v>
          </cell>
          <cell r="M239" t="str">
            <v>447675</v>
          </cell>
          <cell r="N239">
            <v>1</v>
          </cell>
          <cell r="O239">
            <v>42917</v>
          </cell>
        </row>
        <row r="240">
          <cell r="A240">
            <v>476638</v>
          </cell>
          <cell r="B240" t="str">
            <v>476638 - 4</v>
          </cell>
          <cell r="C240">
            <v>8999</v>
          </cell>
          <cell r="D240" t="str">
            <v>HESSING ZWAAGDIJK BV</v>
          </cell>
          <cell r="E240" t="str">
            <v>Nieuwmarkt 8</v>
          </cell>
          <cell r="F240" t="str">
            <v>1681 NP</v>
          </cell>
          <cell r="G240" t="str">
            <v>WERVERSHOOF</v>
          </cell>
          <cell r="H240">
            <v>1</v>
          </cell>
          <cell r="I240" t="str">
            <v>Hessing Logistiek</v>
          </cell>
          <cell r="J240">
            <v>240</v>
          </cell>
          <cell r="K240" t="str">
            <v>10404 KF EPS Zwart 40x30x10</v>
          </cell>
          <cell r="L240">
            <v>149</v>
          </cell>
          <cell r="M240" t="str">
            <v>447675</v>
          </cell>
          <cell r="N240">
            <v>1</v>
          </cell>
          <cell r="O240">
            <v>42917</v>
          </cell>
        </row>
        <row r="241">
          <cell r="A241">
            <v>476638</v>
          </cell>
          <cell r="B241" t="str">
            <v>476638 - 5</v>
          </cell>
          <cell r="C241">
            <v>8999</v>
          </cell>
          <cell r="D241" t="str">
            <v>HESSING ZWAAGDIJK BV</v>
          </cell>
          <cell r="E241" t="str">
            <v>Nieuwmarkt 8</v>
          </cell>
          <cell r="F241" t="str">
            <v>1681 NP</v>
          </cell>
          <cell r="G241" t="str">
            <v>WERVERSHOOF</v>
          </cell>
          <cell r="H241">
            <v>1</v>
          </cell>
          <cell r="I241" t="str">
            <v>Hessing Logistiek</v>
          </cell>
          <cell r="J241">
            <v>242</v>
          </cell>
          <cell r="K241" t="str">
            <v>10604 KF EPS Zwart 60x40x10</v>
          </cell>
          <cell r="L241">
            <v>56</v>
          </cell>
          <cell r="M241" t="str">
            <v>447675</v>
          </cell>
          <cell r="N241">
            <v>1</v>
          </cell>
          <cell r="O241">
            <v>42917</v>
          </cell>
        </row>
        <row r="242">
          <cell r="A242">
            <v>476639</v>
          </cell>
          <cell r="B242" t="str">
            <v>476639 - 1</v>
          </cell>
          <cell r="C242">
            <v>8999</v>
          </cell>
          <cell r="D242" t="str">
            <v>HESSING ZWAAGDIJK BV</v>
          </cell>
          <cell r="E242" t="str">
            <v>Nieuwmarkt 8</v>
          </cell>
          <cell r="F242" t="str">
            <v>1681 NP</v>
          </cell>
          <cell r="G242" t="str">
            <v>WERVERSHOOF</v>
          </cell>
          <cell r="H242">
            <v>1</v>
          </cell>
          <cell r="I242" t="str">
            <v>Hessing Logistiek</v>
          </cell>
          <cell r="J242">
            <v>26</v>
          </cell>
          <cell r="K242" t="str">
            <v>LD LPR Pallet 120*100</v>
          </cell>
          <cell r="L242">
            <v>35</v>
          </cell>
          <cell r="M242" t="str">
            <v>447669</v>
          </cell>
          <cell r="N242">
            <v>1</v>
          </cell>
          <cell r="O242">
            <v>42917</v>
          </cell>
        </row>
        <row r="243">
          <cell r="A243">
            <v>476639</v>
          </cell>
          <cell r="B243" t="str">
            <v>476639 - 2</v>
          </cell>
          <cell r="C243">
            <v>8999</v>
          </cell>
          <cell r="D243" t="str">
            <v>HESSING ZWAAGDIJK BV</v>
          </cell>
          <cell r="E243" t="str">
            <v>Nieuwmarkt 8</v>
          </cell>
          <cell r="F243" t="str">
            <v>1681 NP</v>
          </cell>
          <cell r="G243" t="str">
            <v>WERVERSHOOF</v>
          </cell>
          <cell r="H243">
            <v>1</v>
          </cell>
          <cell r="I243" t="str">
            <v>Hessing Logistiek</v>
          </cell>
          <cell r="J243">
            <v>240</v>
          </cell>
          <cell r="K243" t="str">
            <v>10404 KF EPS Zwart 40x30x10</v>
          </cell>
          <cell r="L243">
            <v>1314</v>
          </cell>
          <cell r="M243" t="str">
            <v>447669</v>
          </cell>
          <cell r="N243">
            <v>1</v>
          </cell>
          <cell r="O243">
            <v>42917</v>
          </cell>
        </row>
        <row r="244">
          <cell r="A244">
            <v>476639</v>
          </cell>
          <cell r="B244" t="str">
            <v>476639 - 3</v>
          </cell>
          <cell r="C244">
            <v>8999</v>
          </cell>
          <cell r="D244" t="str">
            <v>HESSING ZWAAGDIJK BV</v>
          </cell>
          <cell r="E244" t="str">
            <v>Nieuwmarkt 8</v>
          </cell>
          <cell r="F244" t="str">
            <v>1681 NP</v>
          </cell>
          <cell r="G244" t="str">
            <v>WERVERSHOOF</v>
          </cell>
          <cell r="H244">
            <v>1</v>
          </cell>
          <cell r="I244" t="str">
            <v>Hessing Logistiek</v>
          </cell>
          <cell r="J244">
            <v>241</v>
          </cell>
          <cell r="K244" t="str">
            <v>15404 KF EPS Zwart 40x30x15</v>
          </cell>
          <cell r="L244">
            <v>22</v>
          </cell>
          <cell r="M244" t="str">
            <v>447669</v>
          </cell>
          <cell r="N244">
            <v>1</v>
          </cell>
          <cell r="O244">
            <v>42917</v>
          </cell>
        </row>
        <row r="245">
          <cell r="A245">
            <v>476639</v>
          </cell>
          <cell r="B245" t="str">
            <v>476639 - 4</v>
          </cell>
          <cell r="C245">
            <v>8999</v>
          </cell>
          <cell r="D245" t="str">
            <v>HESSING ZWAAGDIJK BV</v>
          </cell>
          <cell r="E245" t="str">
            <v>Nieuwmarkt 8</v>
          </cell>
          <cell r="F245" t="str">
            <v>1681 NP</v>
          </cell>
          <cell r="G245" t="str">
            <v>WERVERSHOOF</v>
          </cell>
          <cell r="H245">
            <v>1</v>
          </cell>
          <cell r="I245" t="str">
            <v>Hessing Logistiek</v>
          </cell>
          <cell r="J245">
            <v>242</v>
          </cell>
          <cell r="K245" t="str">
            <v>10604 KF EPS Zwart 60x40x10</v>
          </cell>
          <cell r="L245">
            <v>2103</v>
          </cell>
          <cell r="M245" t="str">
            <v>447669</v>
          </cell>
          <cell r="N245">
            <v>1</v>
          </cell>
          <cell r="O245">
            <v>42917</v>
          </cell>
        </row>
        <row r="246">
          <cell r="A246">
            <v>476640</v>
          </cell>
          <cell r="B246" t="str">
            <v>476640 - 1</v>
          </cell>
          <cell r="C246">
            <v>8999</v>
          </cell>
          <cell r="D246" t="str">
            <v>HESSING ZWAAGDIJK BV</v>
          </cell>
          <cell r="E246" t="str">
            <v>Nieuwmarkt 8</v>
          </cell>
          <cell r="F246" t="str">
            <v>1681 NP</v>
          </cell>
          <cell r="G246" t="str">
            <v>WERVERSHOOF</v>
          </cell>
          <cell r="H246">
            <v>1</v>
          </cell>
          <cell r="I246" t="str">
            <v>Hessing Logistiek</v>
          </cell>
          <cell r="J246">
            <v>26</v>
          </cell>
          <cell r="K246" t="str">
            <v>LD LPR Pallet 120*100</v>
          </cell>
          <cell r="L246">
            <v>5</v>
          </cell>
          <cell r="M246" t="str">
            <v>447670</v>
          </cell>
          <cell r="N246">
            <v>1</v>
          </cell>
          <cell r="O246">
            <v>42917</v>
          </cell>
        </row>
        <row r="247">
          <cell r="A247">
            <v>476640</v>
          </cell>
          <cell r="B247" t="str">
            <v>476640 - 2</v>
          </cell>
          <cell r="C247">
            <v>8999</v>
          </cell>
          <cell r="D247" t="str">
            <v>HESSING ZWAAGDIJK BV</v>
          </cell>
          <cell r="E247" t="str">
            <v>Nieuwmarkt 8</v>
          </cell>
          <cell r="F247" t="str">
            <v>1681 NP</v>
          </cell>
          <cell r="G247" t="str">
            <v>WERVERSHOOF</v>
          </cell>
          <cell r="H247">
            <v>1</v>
          </cell>
          <cell r="I247" t="str">
            <v>Hessing Logistiek</v>
          </cell>
          <cell r="J247">
            <v>240</v>
          </cell>
          <cell r="K247" t="str">
            <v>10404 KF EPS Zwart 40x30x10</v>
          </cell>
          <cell r="L247">
            <v>550</v>
          </cell>
          <cell r="M247" t="str">
            <v>447670</v>
          </cell>
          <cell r="N247">
            <v>1</v>
          </cell>
          <cell r="O247">
            <v>42917</v>
          </cell>
        </row>
        <row r="248">
          <cell r="A248">
            <v>476640</v>
          </cell>
          <cell r="B248" t="str">
            <v>476640 - 3</v>
          </cell>
          <cell r="C248">
            <v>8999</v>
          </cell>
          <cell r="D248" t="str">
            <v>HESSING ZWAAGDIJK BV</v>
          </cell>
          <cell r="E248" t="str">
            <v>Nieuwmarkt 8</v>
          </cell>
          <cell r="F248" t="str">
            <v>1681 NP</v>
          </cell>
          <cell r="G248" t="str">
            <v>WERVERSHOOF</v>
          </cell>
          <cell r="H248">
            <v>1</v>
          </cell>
          <cell r="I248" t="str">
            <v>Hessing Logistiek</v>
          </cell>
          <cell r="J248">
            <v>242</v>
          </cell>
          <cell r="K248" t="str">
            <v>10604 KF EPS Zwart 60x40x10</v>
          </cell>
          <cell r="L248">
            <v>92</v>
          </cell>
          <cell r="M248" t="str">
            <v>447670</v>
          </cell>
          <cell r="N248">
            <v>1</v>
          </cell>
          <cell r="O248">
            <v>42917</v>
          </cell>
        </row>
        <row r="249">
          <cell r="A249">
            <v>476641</v>
          </cell>
          <cell r="B249" t="str">
            <v>476641 - 1</v>
          </cell>
          <cell r="C249">
            <v>8999</v>
          </cell>
          <cell r="D249" t="str">
            <v>HESSING ZWAAGDIJK BV</v>
          </cell>
          <cell r="E249" t="str">
            <v>Nieuwmarkt 8</v>
          </cell>
          <cell r="F249" t="str">
            <v>1681 NP</v>
          </cell>
          <cell r="G249" t="str">
            <v>WERVERSHOOF</v>
          </cell>
          <cell r="H249">
            <v>1</v>
          </cell>
          <cell r="I249" t="str">
            <v>Hessing Logistiek</v>
          </cell>
          <cell r="J249">
            <v>26</v>
          </cell>
          <cell r="K249" t="str">
            <v>LD LPR Pallet 120*100</v>
          </cell>
          <cell r="L249">
            <v>8</v>
          </cell>
          <cell r="M249" t="str">
            <v>447714</v>
          </cell>
          <cell r="N249">
            <v>1</v>
          </cell>
          <cell r="O249">
            <v>42917</v>
          </cell>
        </row>
        <row r="250">
          <cell r="A250">
            <v>476641</v>
          </cell>
          <cell r="B250" t="str">
            <v>476641 - 2</v>
          </cell>
          <cell r="C250">
            <v>8999</v>
          </cell>
          <cell r="D250" t="str">
            <v>HESSING ZWAAGDIJK BV</v>
          </cell>
          <cell r="E250" t="str">
            <v>Nieuwmarkt 8</v>
          </cell>
          <cell r="F250" t="str">
            <v>1681 NP</v>
          </cell>
          <cell r="G250" t="str">
            <v>WERVERSHOOF</v>
          </cell>
          <cell r="H250">
            <v>1</v>
          </cell>
          <cell r="I250" t="str">
            <v>Hessing Logistiek</v>
          </cell>
          <cell r="J250">
            <v>240</v>
          </cell>
          <cell r="K250" t="str">
            <v>10404 KF EPS Zwart 40x30x10</v>
          </cell>
          <cell r="L250">
            <v>979</v>
          </cell>
          <cell r="M250" t="str">
            <v>447714</v>
          </cell>
          <cell r="N250">
            <v>1</v>
          </cell>
          <cell r="O250">
            <v>42917</v>
          </cell>
        </row>
        <row r="251">
          <cell r="A251">
            <v>476641</v>
          </cell>
          <cell r="B251" t="str">
            <v>476641 - 3</v>
          </cell>
          <cell r="C251">
            <v>8999</v>
          </cell>
          <cell r="D251" t="str">
            <v>HESSING ZWAAGDIJK BV</v>
          </cell>
          <cell r="E251" t="str">
            <v>Nieuwmarkt 8</v>
          </cell>
          <cell r="F251" t="str">
            <v>1681 NP</v>
          </cell>
          <cell r="G251" t="str">
            <v>WERVERSHOOF</v>
          </cell>
          <cell r="H251">
            <v>1</v>
          </cell>
          <cell r="I251" t="str">
            <v>Hessing Logistiek</v>
          </cell>
          <cell r="J251">
            <v>242</v>
          </cell>
          <cell r="K251" t="str">
            <v>10604 KF EPS Zwart 60x40x10</v>
          </cell>
          <cell r="L251">
            <v>55</v>
          </cell>
          <cell r="M251" t="str">
            <v>447714</v>
          </cell>
          <cell r="N251">
            <v>1</v>
          </cell>
          <cell r="O251">
            <v>42917</v>
          </cell>
        </row>
        <row r="252">
          <cell r="A252">
            <v>476646</v>
          </cell>
          <cell r="B252" t="str">
            <v>476646 - 1</v>
          </cell>
          <cell r="C252">
            <v>8999</v>
          </cell>
          <cell r="D252" t="str">
            <v>HESSING ZWAAGDIJK BV</v>
          </cell>
          <cell r="E252" t="str">
            <v>Nieuwmarkt 8</v>
          </cell>
          <cell r="F252" t="str">
            <v>1681 NP</v>
          </cell>
          <cell r="G252" t="str">
            <v>WERVERSHOOF</v>
          </cell>
          <cell r="H252">
            <v>1</v>
          </cell>
          <cell r="I252" t="str">
            <v>Hessing Logistiek</v>
          </cell>
          <cell r="J252">
            <v>26</v>
          </cell>
          <cell r="K252" t="str">
            <v>LD LPR Pallet 120*100</v>
          </cell>
          <cell r="L252">
            <v>1</v>
          </cell>
          <cell r="M252" t="str">
            <v>447669</v>
          </cell>
          <cell r="N252">
            <v>1</v>
          </cell>
          <cell r="O252">
            <v>42917</v>
          </cell>
        </row>
        <row r="253">
          <cell r="A253">
            <v>476646</v>
          </cell>
          <cell r="B253" t="str">
            <v>476646 - 2</v>
          </cell>
          <cell r="C253">
            <v>8999</v>
          </cell>
          <cell r="D253" t="str">
            <v>HESSING ZWAAGDIJK BV</v>
          </cell>
          <cell r="E253" t="str">
            <v>Nieuwmarkt 8</v>
          </cell>
          <cell r="F253" t="str">
            <v>1681 NP</v>
          </cell>
          <cell r="G253" t="str">
            <v>WERVERSHOOF</v>
          </cell>
          <cell r="H253">
            <v>1</v>
          </cell>
          <cell r="I253" t="str">
            <v>Hessing Logistiek</v>
          </cell>
          <cell r="J253">
            <v>240</v>
          </cell>
          <cell r="K253" t="str">
            <v>10404 KF EPS Zwart 40x30x10</v>
          </cell>
          <cell r="L253">
            <v>200</v>
          </cell>
          <cell r="M253" t="str">
            <v>447669</v>
          </cell>
          <cell r="N253">
            <v>1</v>
          </cell>
          <cell r="O253">
            <v>42917</v>
          </cell>
        </row>
        <row r="254">
          <cell r="A254">
            <v>476647</v>
          </cell>
          <cell r="B254" t="str">
            <v>476647 - 1</v>
          </cell>
          <cell r="C254">
            <v>8999</v>
          </cell>
          <cell r="D254" t="str">
            <v>HESSING ZWAAGDIJK BV</v>
          </cell>
          <cell r="E254" t="str">
            <v>Nieuwmarkt 8</v>
          </cell>
          <cell r="F254" t="str">
            <v>1681 NP</v>
          </cell>
          <cell r="G254" t="str">
            <v>WERVERSHOOF</v>
          </cell>
          <cell r="H254">
            <v>1</v>
          </cell>
          <cell r="I254" t="str">
            <v>Hessing Logistiek</v>
          </cell>
          <cell r="J254">
            <v>26</v>
          </cell>
          <cell r="K254" t="str">
            <v>LD LPR Pallet 120*100</v>
          </cell>
          <cell r="L254">
            <v>1</v>
          </cell>
          <cell r="M254" t="str">
            <v>447670</v>
          </cell>
          <cell r="N254">
            <v>1</v>
          </cell>
          <cell r="O254">
            <v>42917</v>
          </cell>
        </row>
        <row r="255">
          <cell r="A255">
            <v>476647</v>
          </cell>
          <cell r="B255" t="str">
            <v>476647 - 2</v>
          </cell>
          <cell r="C255">
            <v>8999</v>
          </cell>
          <cell r="D255" t="str">
            <v>HESSING ZWAAGDIJK BV</v>
          </cell>
          <cell r="E255" t="str">
            <v>Nieuwmarkt 8</v>
          </cell>
          <cell r="F255" t="str">
            <v>1681 NP</v>
          </cell>
          <cell r="G255" t="str">
            <v>WERVERSHOOF</v>
          </cell>
          <cell r="H255">
            <v>1</v>
          </cell>
          <cell r="I255" t="str">
            <v>Hessing Logistiek</v>
          </cell>
          <cell r="J255">
            <v>240</v>
          </cell>
          <cell r="K255" t="str">
            <v>10404 KF EPS Zwart 40x30x10</v>
          </cell>
          <cell r="L255">
            <v>200</v>
          </cell>
          <cell r="M255" t="str">
            <v>447670</v>
          </cell>
          <cell r="N255">
            <v>1</v>
          </cell>
          <cell r="O255">
            <v>42917</v>
          </cell>
        </row>
      </sheetData>
      <sheetData sheetId="3" refreshError="1"/>
      <sheetData sheetId="4">
        <row r="2">
          <cell r="A2" t="str">
            <v>Auto Grill</v>
          </cell>
        </row>
        <row r="3">
          <cell r="A3" t="str">
            <v xml:space="preserve">Ben Fresh En Of De Pelsmaeker      </v>
          </cell>
        </row>
        <row r="4">
          <cell r="A4" t="str">
            <v xml:space="preserve">Blue Pepper                             </v>
          </cell>
        </row>
        <row r="5">
          <cell r="A5" t="str">
            <v xml:space="preserve">CACTUS CAFRUTA S.A. LU                  </v>
          </cell>
        </row>
        <row r="6">
          <cell r="A6" t="str">
            <v xml:space="preserve">CARREFOUR NIVELLES                      </v>
          </cell>
        </row>
        <row r="7">
          <cell r="A7" t="str">
            <v xml:space="preserve">CARREFOUR SINT KATELIJNE WAVER          </v>
          </cell>
        </row>
        <row r="8">
          <cell r="A8" t="str">
            <v>Chiquita Puurs</v>
          </cell>
        </row>
        <row r="9">
          <cell r="A9" t="str">
            <v xml:space="preserve">Conway Temse                            </v>
          </cell>
        </row>
        <row r="10">
          <cell r="A10" t="str">
            <v>Deli XL Flanders For Thuin</v>
          </cell>
        </row>
        <row r="11">
          <cell r="A11" t="str">
            <v xml:space="preserve">Deli XL Flanders Kruibeke                </v>
          </cell>
        </row>
        <row r="12">
          <cell r="A12" t="str">
            <v xml:space="preserve">DELIXL HELMOND                          </v>
          </cell>
        </row>
        <row r="13">
          <cell r="A13" t="str">
            <v xml:space="preserve">DeliXl RVC Amsterdam                    </v>
          </cell>
        </row>
        <row r="14">
          <cell r="A14" t="str">
            <v xml:space="preserve">DeliXL RVC Meppel                       </v>
          </cell>
        </row>
        <row r="15">
          <cell r="A15" t="str">
            <v xml:space="preserve">DELIXL SCHIEDAM                         </v>
          </cell>
        </row>
        <row r="16">
          <cell r="A16" t="str">
            <v xml:space="preserve">Droessaert N V                          </v>
          </cell>
        </row>
        <row r="17">
          <cell r="A17" t="str">
            <v>Food Invest NV</v>
          </cell>
        </row>
        <row r="18">
          <cell r="A18" t="str">
            <v xml:space="preserve">FRESH CONVENIENCE                       </v>
          </cell>
        </row>
        <row r="19">
          <cell r="A19" t="str">
            <v>GATE GOURMET BELGIUM</v>
          </cell>
        </row>
        <row r="20">
          <cell r="A20" t="str">
            <v xml:space="preserve">Heinz Funken GmbH &amp;Co KG                </v>
          </cell>
        </row>
        <row r="21">
          <cell r="A21" t="str">
            <v xml:space="preserve">Java Bvba                               </v>
          </cell>
        </row>
        <row r="22">
          <cell r="A22" t="str">
            <v xml:space="preserve">KRAFTVERKEHR NAGEL GmbH Co KG           </v>
          </cell>
        </row>
        <row r="23">
          <cell r="A23" t="str">
            <v xml:space="preserve">La Lorraine </v>
          </cell>
        </row>
        <row r="24">
          <cell r="A24" t="str">
            <v>LSG SKY CHEFS NV</v>
          </cell>
        </row>
        <row r="25">
          <cell r="A25" t="str">
            <v>Luxair Catering</v>
          </cell>
        </row>
        <row r="26">
          <cell r="A26" t="str">
            <v>REMITRANS</v>
          </cell>
        </row>
        <row r="27">
          <cell r="A27" t="str">
            <v xml:space="preserve">SPIERS NV                               </v>
          </cell>
        </row>
        <row r="28">
          <cell r="A28" t="str">
            <v>STEF-TFE Benelux</v>
          </cell>
        </row>
        <row r="29">
          <cell r="A29" t="str">
            <v>Trendy Food Belgium</v>
          </cell>
        </row>
        <row r="30">
          <cell r="A30" t="str">
            <v>Trendy Food Luxembourg</v>
          </cell>
        </row>
        <row r="31">
          <cell r="A31" t="str">
            <v xml:space="preserve">VAN GROOTLOON                           </v>
          </cell>
        </row>
        <row r="32">
          <cell r="A32" t="str">
            <v>Pride/Tbwa</v>
          </cell>
        </row>
        <row r="33">
          <cell r="A33" t="str">
            <v>Havi Mcdonalds SK</v>
          </cell>
        </row>
        <row r="34">
          <cell r="A34" t="str">
            <v>Havi Mcdonalds SRO</v>
          </cell>
        </row>
        <row r="35">
          <cell r="A35" t="str">
            <v>Abels</v>
          </cell>
        </row>
      </sheetData>
      <sheetData sheetId="5">
        <row r="2">
          <cell r="A2" t="str">
            <v>Hessing Supervers Maasbree</v>
          </cell>
        </row>
        <row r="3">
          <cell r="A3" t="str">
            <v>Hessing Supervers Maasbree</v>
          </cell>
          <cell r="B3" t="str">
            <v>Hessing Greenport Venlo
Maarten de Vriesstraat 3
5975 RW Sevenum
The Netherlands</v>
          </cell>
          <cell r="C3" t="str">
            <v>5975 RW Sevenum</v>
          </cell>
        </row>
      </sheetData>
      <sheetData sheetId="6">
        <row r="2">
          <cell r="A2" t="str">
            <v>Vers Express</v>
          </cell>
        </row>
        <row r="3">
          <cell r="A3" t="str">
            <v>HTB</v>
          </cell>
        </row>
        <row r="4">
          <cell r="A4" t="str">
            <v>Mooy</v>
          </cell>
        </row>
        <row r="5">
          <cell r="A5" t="str">
            <v>Dachser</v>
          </cell>
        </row>
        <row r="6">
          <cell r="A6" t="str">
            <v xml:space="preserve">Allround Transport </v>
          </cell>
        </row>
      </sheetData>
      <sheetData sheetId="7">
        <row r="2">
          <cell r="E2" t="str">
            <v>FRESH CUT FRUIT</v>
          </cell>
          <cell r="G2" t="str">
            <v>FRANCO</v>
          </cell>
          <cell r="I2" t="str">
            <v>EURO-PALLET</v>
          </cell>
        </row>
        <row r="3">
          <cell r="E3" t="str">
            <v>PALLETS &amp; CRATES</v>
          </cell>
          <cell r="G3" t="str">
            <v>NON FRANCO</v>
          </cell>
          <cell r="I3" t="str">
            <v>PLASTIC PALLET</v>
          </cell>
        </row>
        <row r="4">
          <cell r="I4" t="str">
            <v>POOL-PALLET</v>
          </cell>
        </row>
        <row r="5">
          <cell r="I5" t="str">
            <v>EPS-LOW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924F3-897C-44F7-BBA1-1B6FBDC5CE9B}">
  <sheetPr codeName="Blad4">
    <tabColor indexed="17"/>
    <pageSetUpPr autoPageBreaks="0" fitToPage="1"/>
  </sheetPr>
  <dimension ref="A1:AE74"/>
  <sheetViews>
    <sheetView showGridLines="0" showZeros="0" tabSelected="1" showOutlineSymbols="0" topLeftCell="A3" zoomScale="97" zoomScaleNormal="97" workbookViewId="0">
      <selection activeCell="B3" sqref="B3"/>
    </sheetView>
  </sheetViews>
  <sheetFormatPr defaultRowHeight="12.95" customHeight="1" x14ac:dyDescent="0.2"/>
  <cols>
    <col min="1" max="1" width="3.5703125" style="4" customWidth="1"/>
    <col min="2" max="2" width="11" style="4" customWidth="1"/>
    <col min="3" max="4" width="3.28515625" style="4" customWidth="1"/>
    <col min="5" max="5" width="11" style="4" customWidth="1"/>
    <col min="6" max="6" width="20.7109375" style="4" customWidth="1"/>
    <col min="7" max="7" width="7.140625" style="4" customWidth="1"/>
    <col min="8" max="8" width="3.28515625" style="4" customWidth="1"/>
    <col min="9" max="9" width="2.42578125" style="4" customWidth="1"/>
    <col min="10" max="29" width="3.28515625" style="4" customWidth="1"/>
    <col min="30" max="30" width="12.7109375" style="4" customWidth="1"/>
    <col min="31" max="16384" width="9.140625" style="4"/>
  </cols>
  <sheetData>
    <row r="1" spans="1:31" ht="0.75" hidden="1" customHeight="1" x14ac:dyDescent="0.25">
      <c r="A1" s="1"/>
      <c r="B1" s="1"/>
      <c r="C1" s="2" t="str">
        <f>IF('[1]Invoerveld CMR'!C5="","",VLOOKUP('[1]Invoerveld CMR'!C5,[1]Afzender!A3:B30,2,FALSE))</f>
        <v>Hessing Greenport Venlo
Maarten de Vriesstraat 3
5975 RW Sevenum
The Netherlands</v>
      </c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3"/>
      <c r="P1" s="3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1" ht="3.75" hidden="1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3"/>
      <c r="P2" s="3"/>
      <c r="Q2" s="1"/>
      <c r="R2" s="1"/>
      <c r="S2" s="1"/>
      <c r="V2" s="1"/>
      <c r="W2" s="1"/>
      <c r="X2" s="1"/>
      <c r="Y2" s="1"/>
      <c r="Z2" s="1"/>
      <c r="AA2" s="1"/>
      <c r="AB2" s="1"/>
      <c r="AC2" s="1"/>
      <c r="AD2" s="1"/>
    </row>
    <row r="3" spans="1:31" ht="22.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"/>
      <c r="O3" s="3"/>
      <c r="P3" s="3"/>
      <c r="Q3" s="1"/>
      <c r="R3" s="1"/>
      <c r="S3" s="1"/>
      <c r="V3" s="1"/>
      <c r="W3" s="1"/>
      <c r="X3" s="1"/>
      <c r="Y3" s="1"/>
      <c r="Z3" s="1"/>
      <c r="AA3" s="1"/>
      <c r="AB3" s="1"/>
      <c r="AC3" s="1"/>
      <c r="AD3" s="1"/>
    </row>
    <row r="4" spans="1:31" ht="3.7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3"/>
      <c r="P4" s="3"/>
      <c r="Q4" s="1"/>
      <c r="R4" s="1"/>
      <c r="S4" s="1"/>
      <c r="V4" s="1"/>
      <c r="W4" s="1"/>
      <c r="X4" s="1"/>
      <c r="Y4" s="1"/>
      <c r="Z4" s="1"/>
      <c r="AA4" s="1"/>
      <c r="AB4" s="1"/>
      <c r="AC4" s="1"/>
      <c r="AD4" s="1"/>
    </row>
    <row r="5" spans="1:31" ht="3.75" customHeight="1" x14ac:dyDescent="0.25">
      <c r="A5" s="1"/>
      <c r="B5" s="1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3"/>
      <c r="O5" s="3"/>
      <c r="P5" s="3"/>
      <c r="Q5" s="1"/>
      <c r="R5" s="1"/>
      <c r="S5" s="1"/>
      <c r="V5" s="1"/>
      <c r="W5" s="1"/>
      <c r="X5" s="1"/>
      <c r="Y5" s="1"/>
      <c r="Z5" s="1"/>
      <c r="AA5" s="1"/>
      <c r="AB5" s="1"/>
      <c r="AC5" s="1"/>
      <c r="AD5" s="1"/>
    </row>
    <row r="6" spans="1:31" ht="3.75" customHeight="1" x14ac:dyDescent="0.25">
      <c r="A6" s="1"/>
      <c r="B6" s="1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3"/>
      <c r="P6" s="3"/>
      <c r="Q6" s="1"/>
      <c r="R6" s="1"/>
      <c r="S6" s="1"/>
      <c r="V6" s="1"/>
      <c r="W6" s="1"/>
      <c r="X6" s="1"/>
      <c r="Y6" s="1"/>
      <c r="Z6" s="1"/>
      <c r="AA6" s="1"/>
      <c r="AB6" s="1"/>
      <c r="AC6" s="1"/>
      <c r="AD6" s="1"/>
    </row>
    <row r="7" spans="1:31" ht="7.5" customHeight="1" x14ac:dyDescent="0.25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3"/>
      <c r="P7" s="3"/>
      <c r="Q7" s="1"/>
      <c r="R7" s="1"/>
      <c r="S7" s="1"/>
      <c r="V7" s="1"/>
      <c r="W7" s="1"/>
      <c r="X7" s="1"/>
      <c r="Y7" s="1"/>
      <c r="Z7" s="1"/>
      <c r="AA7" s="1"/>
      <c r="AB7" s="1"/>
      <c r="AC7" s="1"/>
      <c r="AD7" s="1"/>
    </row>
    <row r="8" spans="1:31" ht="12.95" customHeight="1" x14ac:dyDescent="0.2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3"/>
      <c r="P8" s="3"/>
      <c r="Q8" s="1"/>
      <c r="R8" s="1"/>
      <c r="V8" s="1"/>
      <c r="W8" s="1"/>
      <c r="X8" s="1"/>
      <c r="Y8" s="1"/>
      <c r="Z8" s="1"/>
      <c r="AA8" s="1"/>
      <c r="AB8" s="1"/>
      <c r="AC8" s="1"/>
      <c r="AD8" s="1"/>
    </row>
    <row r="9" spans="1:31" ht="14.25" customHeight="1" x14ac:dyDescent="0.2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3"/>
      <c r="P9" s="3"/>
      <c r="Q9" s="1"/>
      <c r="R9" s="1"/>
      <c r="S9" s="1"/>
      <c r="V9" s="1"/>
      <c r="W9" s="1"/>
      <c r="X9" s="1"/>
      <c r="Y9" s="1"/>
      <c r="Z9" s="1"/>
      <c r="AA9" s="1"/>
      <c r="AB9" s="1"/>
      <c r="AC9" s="1"/>
      <c r="AD9" s="1"/>
    </row>
    <row r="10" spans="1:31" ht="18" customHeight="1" x14ac:dyDescent="0.2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3"/>
      <c r="P10" s="3"/>
      <c r="Q10" s="1"/>
      <c r="R10" s="1"/>
      <c r="V10" s="1"/>
      <c r="W10" s="1"/>
      <c r="X10" s="1"/>
      <c r="Y10" s="1"/>
      <c r="Z10" s="1"/>
      <c r="AA10" s="1"/>
      <c r="AB10" s="1"/>
      <c r="AC10" s="1"/>
      <c r="AD10" s="1"/>
    </row>
    <row r="11" spans="1:31" ht="12.95" customHeight="1" x14ac:dyDescent="0.25">
      <c r="A11" s="1"/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Q11" s="1"/>
      <c r="R11" s="1"/>
      <c r="S11" s="1"/>
      <c r="V11" s="1"/>
      <c r="W11" s="1"/>
      <c r="X11" s="1"/>
      <c r="Y11" s="1"/>
      <c r="Z11" s="1"/>
      <c r="AA11" s="1"/>
      <c r="AB11" s="1"/>
      <c r="AC11" s="1"/>
      <c r="AD11" s="1"/>
    </row>
    <row r="12" spans="1:31" ht="15" customHeight="1" x14ac:dyDescent="0.25">
      <c r="A12" s="1"/>
      <c r="B12" s="1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Q12" s="1"/>
      <c r="R12" s="1"/>
      <c r="S12" s="1"/>
      <c r="V12" s="1"/>
      <c r="W12" s="1"/>
      <c r="X12" s="1"/>
      <c r="Y12" s="1"/>
      <c r="Z12" s="1"/>
      <c r="AA12" s="1"/>
      <c r="AB12" s="1"/>
      <c r="AC12" s="1"/>
      <c r="AD12" s="1"/>
    </row>
    <row r="13" spans="1:31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V13" s="1"/>
      <c r="W13" s="1"/>
      <c r="X13" s="1"/>
      <c r="Y13" s="1"/>
      <c r="Z13" s="1"/>
      <c r="AA13" s="1"/>
      <c r="AB13" s="1"/>
      <c r="AC13" s="1"/>
      <c r="AD13" s="1"/>
    </row>
    <row r="14" spans="1:31" ht="19.5" customHeight="1" x14ac:dyDescent="0.25">
      <c r="A14" s="1"/>
      <c r="B14" s="1"/>
      <c r="C14" s="5" t="str">
        <f>VLOOKUP('[1]Invoerveld CMR'!$D$2,'[1]GEGEVENS FOOD'!$A:$O,4,0)</f>
        <v>COLRUYT MAGAZIJN DASSENVELD F4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6" t="str">
        <f>VLOOKUP('[1]Invoerveld CMR'!$D$2,'[1]GEGEVENS FOOD'!$A:$O,9,0)</f>
        <v>Hessing Logistiek</v>
      </c>
      <c r="S14" s="6"/>
      <c r="T14" s="6"/>
      <c r="U14" s="6"/>
      <c r="V14" s="6"/>
      <c r="W14" s="6"/>
      <c r="X14" s="6"/>
      <c r="Y14" s="6"/>
      <c r="Z14" s="6"/>
      <c r="AA14" s="6"/>
    </row>
    <row r="15" spans="1:31" ht="16.5" customHeight="1" x14ac:dyDescent="0.25">
      <c r="A15" s="1"/>
      <c r="B15" s="1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7" t="s">
        <v>0</v>
      </c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</row>
    <row r="16" spans="1:31" ht="18.75" customHeight="1" x14ac:dyDescent="0.25">
      <c r="A16" s="1"/>
      <c r="B16" s="1"/>
      <c r="C16" s="5" t="str">
        <f>VLOOKUP('[1]Invoerveld CMR'!$D$2,'[1]GEGEVENS FOOD'!$A:$O,5,0)</f>
        <v>Zinkstraat 4</v>
      </c>
      <c r="D16" s="5"/>
      <c r="E16" s="5"/>
      <c r="F16" s="5"/>
      <c r="G16" s="8"/>
      <c r="H16" s="8"/>
      <c r="I16" s="8"/>
      <c r="J16" s="8"/>
      <c r="K16" s="8"/>
      <c r="L16" s="8"/>
      <c r="M16" s="8"/>
      <c r="N16" s="8"/>
      <c r="O16" s="8"/>
      <c r="P16" s="7" t="s">
        <v>1</v>
      </c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</row>
    <row r="17" spans="1:31" ht="18.75" customHeight="1" x14ac:dyDescent="0.25">
      <c r="A17" s="1"/>
      <c r="B17" s="1"/>
      <c r="C17" s="6" t="str">
        <f>VLOOKUP('[1]Invoerveld CMR'!$D$2,'[1]GEGEVENS FOOD'!$A:$O,6,0)</f>
        <v>1500</v>
      </c>
      <c r="D17" s="8"/>
      <c r="E17" s="8"/>
      <c r="G17" s="8"/>
      <c r="H17" s="8"/>
      <c r="I17" s="8"/>
      <c r="J17" s="8"/>
      <c r="K17" s="8"/>
      <c r="L17" s="8"/>
      <c r="M17" s="8"/>
      <c r="N17" s="8"/>
      <c r="O17" s="8"/>
      <c r="P17" s="9" t="s">
        <v>2</v>
      </c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</row>
    <row r="18" spans="1:31" ht="18" x14ac:dyDescent="0.25">
      <c r="A18" s="1"/>
      <c r="B18" s="1"/>
      <c r="D18" s="10"/>
      <c r="E18" s="10"/>
      <c r="F18" s="10"/>
      <c r="G18" s="10"/>
      <c r="H18" s="10"/>
      <c r="I18" s="10"/>
      <c r="J18" s="10"/>
      <c r="K18" s="10"/>
      <c r="L18" s="1"/>
      <c r="M18" s="1"/>
      <c r="N18" s="1"/>
      <c r="O18" s="1"/>
      <c r="P18" s="1"/>
      <c r="Q18" s="11"/>
      <c r="R18" s="1"/>
    </row>
    <row r="19" spans="1:31" ht="12.95" customHeight="1" x14ac:dyDescent="0.25">
      <c r="A19" s="1"/>
      <c r="B19" s="1"/>
      <c r="C19" s="10"/>
      <c r="D19" s="10"/>
      <c r="E19" s="10"/>
      <c r="F19" s="10"/>
      <c r="G19" s="10"/>
      <c r="H19" s="10"/>
      <c r="I19" s="10"/>
      <c r="J19" s="10"/>
      <c r="K19" s="10"/>
      <c r="L19" s="1"/>
      <c r="M19" s="1"/>
      <c r="N19" s="1"/>
      <c r="O19" s="1"/>
      <c r="P19" s="1"/>
      <c r="Q19" s="11"/>
      <c r="R19" s="1"/>
      <c r="S19" s="1"/>
      <c r="V19" s="1"/>
      <c r="W19" s="1"/>
      <c r="X19" s="1"/>
      <c r="Y19" s="1"/>
      <c r="Z19" s="1"/>
      <c r="AA19" s="1"/>
      <c r="AB19" s="1"/>
      <c r="AC19" s="1"/>
      <c r="AD19" s="1"/>
    </row>
    <row r="20" spans="1:31" ht="8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"/>
      <c r="W20" s="1"/>
      <c r="X20" s="1"/>
      <c r="Y20" s="1"/>
      <c r="Z20" s="1"/>
      <c r="AA20" s="1"/>
      <c r="AB20" s="1"/>
      <c r="AC20" s="1"/>
      <c r="AD20" s="1"/>
    </row>
    <row r="21" spans="1:31" ht="17.25" customHeight="1" x14ac:dyDescent="0.25">
      <c r="A21" s="1"/>
      <c r="B21" s="1"/>
      <c r="C21" s="6" t="str">
        <f>VLOOKUP('[1]Invoerveld CMR'!$D$2,'[1]GEGEVENS FOOD'!$A:$O,7,0)</f>
        <v>B-Halle  Belgie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V21" s="1"/>
      <c r="W21" s="1"/>
      <c r="X21" s="1"/>
      <c r="Y21" s="1"/>
      <c r="Z21" s="1"/>
      <c r="AA21" s="1"/>
      <c r="AB21" s="1"/>
      <c r="AC21" s="1"/>
      <c r="AD21" s="1"/>
    </row>
    <row r="22" spans="1:31" ht="12.9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V22" s="1"/>
      <c r="W22" s="1"/>
      <c r="X22" s="1"/>
      <c r="Y22" s="1"/>
      <c r="Z22" s="1"/>
      <c r="AA22" s="1"/>
      <c r="AB22" s="1"/>
      <c r="AC22" s="1"/>
      <c r="AD22" s="1"/>
    </row>
    <row r="23" spans="1:31" ht="12.9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"/>
      <c r="W23" s="1"/>
      <c r="X23" s="1"/>
      <c r="Y23" s="1"/>
      <c r="Z23" s="1"/>
      <c r="AA23" s="1"/>
      <c r="AB23" s="1"/>
      <c r="AC23" s="1"/>
      <c r="AD23" s="1"/>
    </row>
    <row r="24" spans="1:31" ht="12.9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"/>
      <c r="W24" s="1"/>
      <c r="X24" s="1"/>
      <c r="Y24" s="1"/>
      <c r="Z24" s="1"/>
      <c r="AA24" s="1"/>
      <c r="AB24" s="1"/>
      <c r="AC24" s="1"/>
      <c r="AD24" s="1"/>
    </row>
    <row r="25" spans="1:31" ht="12.95" customHeight="1" x14ac:dyDescent="0.25">
      <c r="A25" s="1"/>
      <c r="B25" s="1"/>
      <c r="C25" s="12" t="str">
        <f>IF('[1]Invoerveld CMR'!C5="","",VLOOKUP('[1]Invoerveld CMR'!C5,[1]Afzender!A3:C30,3,FALSE))</f>
        <v>5975 RW Sevenum</v>
      </c>
      <c r="D25" s="12"/>
      <c r="E25" s="12"/>
      <c r="F25" s="12"/>
      <c r="G25" s="12"/>
      <c r="H25" s="13"/>
      <c r="P25" s="1"/>
      <c r="U25" s="14"/>
      <c r="X25" s="1"/>
      <c r="Y25" s="1"/>
      <c r="Z25" s="1"/>
      <c r="AA25" s="1"/>
      <c r="AB25" s="1"/>
      <c r="AC25" s="1"/>
      <c r="AD25" s="15">
        <f>'[1]Invoerveld CMR'!C9</f>
        <v>0</v>
      </c>
    </row>
    <row r="26" spans="1:31" ht="12.95" customHeight="1" x14ac:dyDescent="0.25">
      <c r="A26" s="1"/>
      <c r="B26" s="1"/>
      <c r="C26" s="12"/>
      <c r="D26" s="12"/>
      <c r="E26" s="12"/>
      <c r="F26" s="12"/>
      <c r="G26" s="12"/>
      <c r="H26" s="13"/>
      <c r="I26" s="16"/>
      <c r="J26" s="16"/>
      <c r="K26" s="16"/>
      <c r="L26" s="16"/>
      <c r="M26" s="16"/>
      <c r="N26" s="16"/>
      <c r="O26" s="16"/>
      <c r="P26" s="1"/>
      <c r="Q26" s="17"/>
      <c r="R26" s="18"/>
      <c r="X26" s="17"/>
      <c r="Y26" s="19"/>
      <c r="Z26" s="19"/>
      <c r="AA26" s="19"/>
      <c r="AB26" s="19"/>
      <c r="AC26" s="1"/>
    </row>
    <row r="27" spans="1:31" ht="18" x14ac:dyDescent="0.25">
      <c r="A27" s="1"/>
      <c r="B27" s="1"/>
      <c r="C27" s="20">
        <f ca="1">TODAY()+1</f>
        <v>46130</v>
      </c>
      <c r="D27" s="20"/>
      <c r="E27" s="20"/>
      <c r="F27" s="21" t="s">
        <v>3</v>
      </c>
      <c r="G27" s="21"/>
      <c r="H27" s="21"/>
      <c r="I27" s="16"/>
      <c r="J27" s="16"/>
      <c r="K27" s="22"/>
      <c r="L27" s="22"/>
      <c r="M27" s="22"/>
      <c r="N27" s="22"/>
      <c r="O27" s="22"/>
      <c r="P27" s="19"/>
      <c r="Y27" s="19"/>
      <c r="Z27" s="19"/>
      <c r="AA27" s="19"/>
      <c r="AB27" s="19"/>
      <c r="AC27" s="19"/>
    </row>
    <row r="28" spans="1:31" ht="12.95" customHeight="1" x14ac:dyDescent="0.25">
      <c r="A28" s="1"/>
      <c r="B28" s="1"/>
      <c r="C28" s="21"/>
      <c r="D28" s="21"/>
      <c r="E28" s="21"/>
      <c r="F28" s="21"/>
      <c r="G28" s="21"/>
      <c r="H28" s="21"/>
      <c r="I28" s="23"/>
      <c r="J28" s="23"/>
      <c r="K28" s="1"/>
      <c r="L28" s="1"/>
      <c r="M28" s="1"/>
      <c r="N28" s="19"/>
      <c r="O28" s="19"/>
      <c r="P28" s="1"/>
      <c r="Q28" s="19"/>
      <c r="R28" s="18"/>
      <c r="U28" s="14"/>
      <c r="X28" s="19"/>
      <c r="Y28" s="24">
        <f>'[1]Invoerveld CMR'!C10</f>
        <v>0</v>
      </c>
      <c r="Z28" s="24"/>
      <c r="AA28" s="24"/>
      <c r="AB28" s="19"/>
      <c r="AC28" s="19"/>
      <c r="AD28" s="1"/>
    </row>
    <row r="29" spans="1:31" ht="12.95" customHeight="1" x14ac:dyDescent="0.25">
      <c r="A29" s="1"/>
      <c r="B29" s="1"/>
      <c r="C29" s="25"/>
      <c r="D29" s="25"/>
      <c r="E29" s="25"/>
      <c r="F29" s="25"/>
      <c r="G29" s="25"/>
      <c r="H29" s="25"/>
      <c r="I29" s="23"/>
      <c r="J29" s="23"/>
      <c r="K29" s="1"/>
      <c r="L29" s="1"/>
      <c r="M29" s="1"/>
      <c r="N29" s="19"/>
      <c r="O29" s="19"/>
      <c r="P29" s="19"/>
      <c r="Q29" s="1"/>
      <c r="R29" s="1"/>
      <c r="S29" s="1"/>
      <c r="X29" s="19"/>
      <c r="Y29" s="19"/>
      <c r="Z29" s="19"/>
      <c r="AA29" s="19"/>
      <c r="AB29" s="19"/>
      <c r="AC29" s="1"/>
      <c r="AD29" s="1"/>
    </row>
    <row r="30" spans="1:31" ht="12.95" customHeight="1" x14ac:dyDescent="0.25">
      <c r="A30" s="1"/>
      <c r="B30" s="1"/>
      <c r="C30" s="26">
        <f>'[1]Invoerveld CMR'!C14</f>
        <v>0</v>
      </c>
      <c r="D30" s="1"/>
      <c r="E30" s="1"/>
      <c r="G30" s="11"/>
      <c r="H30" s="1"/>
      <c r="I30" s="1"/>
      <c r="J30" s="1"/>
      <c r="K30" s="1"/>
      <c r="L30" s="1"/>
      <c r="M30" s="1"/>
      <c r="N30" s="19"/>
      <c r="O30" s="19"/>
      <c r="P30" s="19"/>
      <c r="Q30" s="1"/>
      <c r="R30" s="19"/>
      <c r="S30" s="19"/>
      <c r="U30" s="14"/>
      <c r="X30" s="19"/>
      <c r="Y30" s="24">
        <f>'[1]Invoerveld CMR'!C11</f>
        <v>0</v>
      </c>
      <c r="Z30" s="24"/>
      <c r="AA30" s="24"/>
      <c r="AB30" s="19"/>
      <c r="AC30" s="19"/>
      <c r="AD30" s="19"/>
    </row>
    <row r="31" spans="1:31" ht="1.5" customHeight="1" x14ac:dyDescent="0.25">
      <c r="A31" s="1"/>
      <c r="B31" s="1"/>
      <c r="C31" s="27" t="str">
        <f>'[1]Invoerveld CMR'!C13</f>
        <v>Delivery note</v>
      </c>
      <c r="D31" s="27"/>
      <c r="E31" s="27"/>
      <c r="F31" s="27"/>
      <c r="G31" s="27"/>
      <c r="H31" s="1"/>
      <c r="I31" s="1"/>
      <c r="J31" s="1"/>
      <c r="K31" s="1"/>
      <c r="L31" s="1"/>
      <c r="M31" s="1"/>
      <c r="N31" s="19"/>
      <c r="O31" s="19"/>
      <c r="P31" s="19"/>
      <c r="Q31" s="19"/>
      <c r="R31" s="19"/>
      <c r="S31" s="19"/>
      <c r="V31" s="19"/>
      <c r="W31" s="19"/>
      <c r="X31" s="19"/>
      <c r="Y31" s="19"/>
      <c r="Z31" s="19"/>
      <c r="AA31" s="19"/>
      <c r="AB31" s="19"/>
      <c r="AC31" s="19"/>
      <c r="AD31" s="19"/>
    </row>
    <row r="32" spans="1:31" ht="12.95" customHeight="1" x14ac:dyDescent="0.25">
      <c r="A32" s="1"/>
      <c r="B32" s="1"/>
      <c r="C32" s="27"/>
      <c r="D32" s="27"/>
      <c r="E32" s="27"/>
      <c r="F32" s="27"/>
      <c r="G32" s="27"/>
      <c r="H32" s="1"/>
      <c r="I32" s="1"/>
      <c r="J32" s="1"/>
      <c r="K32" s="1"/>
      <c r="L32" s="1"/>
      <c r="M32" s="1"/>
      <c r="N32" s="19"/>
      <c r="O32" s="19"/>
      <c r="P32" s="19"/>
      <c r="Q32" s="19"/>
      <c r="R32" s="19"/>
      <c r="S32" s="19"/>
      <c r="V32" s="19"/>
      <c r="W32" s="19"/>
      <c r="X32" s="19"/>
      <c r="Y32" s="19"/>
      <c r="Z32" s="19"/>
      <c r="AA32" s="19"/>
      <c r="AB32" s="19"/>
      <c r="AC32" s="19"/>
      <c r="AD32" s="19"/>
    </row>
    <row r="33" spans="1:30" ht="12.95" customHeight="1" x14ac:dyDescent="0.25">
      <c r="A33" s="1"/>
      <c r="B33" s="1"/>
      <c r="C33" s="28"/>
      <c r="D33" s="28"/>
      <c r="E33" s="28"/>
      <c r="F33" s="28"/>
      <c r="G33" s="28"/>
    </row>
    <row r="34" spans="1:30" ht="12.95" customHeight="1" x14ac:dyDescent="0.25">
      <c r="A34" s="1"/>
      <c r="B34" s="1"/>
      <c r="C34" s="28"/>
      <c r="D34" s="28"/>
      <c r="E34" s="28"/>
      <c r="F34" s="28"/>
      <c r="G34" s="28"/>
    </row>
    <row r="35" spans="1:30" ht="12.95" customHeight="1" x14ac:dyDescent="0.25">
      <c r="A35" s="1"/>
      <c r="B35" s="1"/>
      <c r="C35" s="29">
        <f>'[1]Invoerveld CMR'!D25</f>
        <v>0</v>
      </c>
      <c r="D35" s="29"/>
      <c r="E35" s="29"/>
      <c r="F35" s="30"/>
    </row>
    <row r="36" spans="1:30" ht="13.5" customHeight="1" x14ac:dyDescent="0.25">
      <c r="A36" s="1"/>
      <c r="B36" s="1"/>
      <c r="C36" s="29">
        <f>'[1]Invoerveld CMR'!E25</f>
        <v>0</v>
      </c>
      <c r="D36" s="29"/>
      <c r="E36" s="29"/>
      <c r="F36" s="30"/>
    </row>
    <row r="37" spans="1:30" ht="20.25" x14ac:dyDescent="0.3">
      <c r="A37" s="1"/>
      <c r="B37" s="1"/>
      <c r="C37" s="31"/>
      <c r="D37" s="31"/>
      <c r="E37" s="32" t="s">
        <v>4</v>
      </c>
      <c r="F37" s="30"/>
      <c r="G37" s="17"/>
      <c r="H37" s="17"/>
      <c r="U37" s="33"/>
    </row>
    <row r="38" spans="1:30" ht="18" x14ac:dyDescent="0.25">
      <c r="A38" s="1"/>
      <c r="B38" s="1"/>
      <c r="C38" s="31"/>
      <c r="D38" s="31"/>
      <c r="E38" s="32"/>
      <c r="F38" s="30"/>
      <c r="G38" s="34"/>
      <c r="H38" s="34"/>
    </row>
    <row r="39" spans="1:30" ht="16.5" x14ac:dyDescent="0.25">
      <c r="A39" s="1"/>
      <c r="B39" s="1"/>
      <c r="C39" s="31">
        <f>'[1]Invoerveld CMR'!F25</f>
        <v>0</v>
      </c>
      <c r="D39" s="31"/>
      <c r="E39" s="11" t="s">
        <v>5</v>
      </c>
      <c r="F39" s="1"/>
      <c r="G39" s="1"/>
      <c r="H39" s="1"/>
      <c r="I39" s="1"/>
      <c r="J39" s="19"/>
      <c r="K39" s="19"/>
      <c r="L39" s="19"/>
      <c r="M39" s="19"/>
      <c r="N39" s="19"/>
      <c r="R39" s="11"/>
      <c r="S39" s="1"/>
      <c r="T39" s="1"/>
      <c r="U39" s="1"/>
      <c r="V39" s="1"/>
      <c r="W39" s="1"/>
      <c r="X39" s="1"/>
      <c r="Y39" s="1"/>
      <c r="Z39" s="19"/>
      <c r="AA39" s="19"/>
      <c r="AB39" s="19"/>
      <c r="AC39" s="19"/>
      <c r="AD39" s="19"/>
    </row>
    <row r="40" spans="1:30" ht="20.25" x14ac:dyDescent="0.3">
      <c r="A40" s="1"/>
      <c r="B40" s="1"/>
      <c r="C40" s="31">
        <f>'[1]Invoerveld CMR'!G25</f>
        <v>0</v>
      </c>
      <c r="D40" s="35">
        <v>1</v>
      </c>
      <c r="E40" s="36"/>
      <c r="F40" s="37" t="str">
        <f>IFERROR(VLOOKUP(CONCATENATE('[1]Invoerveld CMR'!$D$2," - ",CMR!D40),'[1]GEGEVENS FOOD'!$B:$L,10,0),"")</f>
        <v>LD Chep pallet 120x80 + SSCC</v>
      </c>
      <c r="G40" s="38"/>
      <c r="H40" s="38"/>
      <c r="I40" s="38"/>
      <c r="J40" s="38"/>
      <c r="K40" s="38"/>
      <c r="L40" s="38"/>
      <c r="M40" s="38"/>
      <c r="N40" s="39"/>
      <c r="P40" s="40"/>
      <c r="Q40" s="40"/>
      <c r="R40" s="40"/>
      <c r="S40" s="40"/>
      <c r="T40" s="40"/>
      <c r="U40" s="41"/>
      <c r="V40" s="41"/>
      <c r="W40" s="41"/>
      <c r="X40" s="41"/>
      <c r="Y40" s="41"/>
      <c r="Z40" s="41"/>
      <c r="AA40" s="41"/>
      <c r="AB40" s="41"/>
      <c r="AC40" s="41"/>
      <c r="AD40" s="41"/>
    </row>
    <row r="41" spans="1:30" ht="20.25" x14ac:dyDescent="0.3">
      <c r="A41" s="1"/>
      <c r="B41" s="1"/>
      <c r="C41" s="42"/>
      <c r="D41" s="35">
        <v>2</v>
      </c>
      <c r="E41" s="43"/>
      <c r="F41" s="37" t="s">
        <v>6</v>
      </c>
      <c r="G41" s="38"/>
      <c r="H41" s="38"/>
      <c r="I41" s="38"/>
      <c r="J41" s="38"/>
      <c r="K41" s="38"/>
      <c r="L41" s="38"/>
      <c r="M41" s="38"/>
      <c r="N41" s="39"/>
      <c r="P41" s="40"/>
      <c r="Q41" s="40"/>
      <c r="R41" s="40"/>
      <c r="S41" s="40"/>
      <c r="T41" s="40"/>
      <c r="U41" s="41"/>
      <c r="V41" s="41"/>
      <c r="W41" s="41"/>
      <c r="X41" s="41"/>
      <c r="Y41" s="41"/>
      <c r="Z41" s="41"/>
      <c r="AA41" s="41"/>
      <c r="AB41" s="41"/>
      <c r="AC41" s="41"/>
      <c r="AD41" s="41"/>
    </row>
    <row r="42" spans="1:30" ht="20.25" x14ac:dyDescent="0.3">
      <c r="A42" s="1"/>
      <c r="B42" s="1"/>
      <c r="C42" s="44">
        <f>'[1]Invoerveld CMR'!C35</f>
        <v>0</v>
      </c>
      <c r="D42" s="35">
        <v>3</v>
      </c>
      <c r="E42" s="36"/>
      <c r="F42" s="37" t="str">
        <f>IFERROR(VLOOKUP(CONCATENATE('[1]Invoerveld CMR'!$D$2," - ",CMR!D42),'[1]GEGEVENS FOOD'!$B:$L,10,0),"")</f>
        <v/>
      </c>
      <c r="G42" s="38"/>
      <c r="H42" s="38"/>
      <c r="I42" s="38"/>
      <c r="J42" s="38"/>
      <c r="K42" s="38"/>
      <c r="L42" s="38"/>
      <c r="M42" s="38"/>
      <c r="N42" s="39"/>
      <c r="P42" s="40"/>
      <c r="Q42" s="40"/>
      <c r="R42" s="40"/>
      <c r="S42" s="40"/>
      <c r="T42" s="40"/>
      <c r="U42" s="41"/>
      <c r="V42" s="41"/>
      <c r="W42" s="41"/>
      <c r="X42" s="41"/>
      <c r="Y42" s="41"/>
      <c r="Z42" s="41"/>
      <c r="AA42" s="41"/>
      <c r="AB42" s="41"/>
      <c r="AC42" s="41"/>
      <c r="AD42" s="41"/>
    </row>
    <row r="43" spans="1:30" ht="24" customHeight="1" x14ac:dyDescent="0.3">
      <c r="A43" s="1"/>
      <c r="B43" s="1"/>
      <c r="C43" s="44"/>
      <c r="D43" s="35">
        <v>4</v>
      </c>
      <c r="E43" s="36" t="str">
        <f>IFERROR(VLOOKUP(CONCATENATE('[1]Invoerveld CMR'!$D$2," - ",CMR!D43),'[1]GEGEVENS FOOD'!$B:$L,11,0),"")</f>
        <v/>
      </c>
      <c r="F43" s="37" t="str">
        <f>IFERROR(VLOOKUP(CONCATENATE('[1]Invoerveld CMR'!$D$2," - ",CMR!D43),'[1]GEGEVENS FOOD'!$B:$L,10,0),"")</f>
        <v/>
      </c>
      <c r="G43" s="38"/>
      <c r="H43" s="38"/>
      <c r="I43" s="38"/>
      <c r="J43" s="38"/>
      <c r="K43" s="38"/>
      <c r="L43" s="38"/>
      <c r="M43" s="38"/>
      <c r="N43" s="39"/>
      <c r="P43" s="40"/>
      <c r="Q43" s="40"/>
      <c r="R43" s="40"/>
      <c r="S43" s="40"/>
      <c r="T43" s="40"/>
      <c r="U43" s="41"/>
      <c r="V43" s="41"/>
      <c r="W43" s="41"/>
      <c r="X43" s="41"/>
      <c r="Y43" s="41"/>
      <c r="Z43" s="41"/>
      <c r="AA43" s="41"/>
      <c r="AB43" s="41"/>
      <c r="AC43" s="41"/>
      <c r="AD43" s="41"/>
    </row>
    <row r="44" spans="1:30" ht="20.25" x14ac:dyDescent="0.3">
      <c r="A44" s="1"/>
      <c r="B44" s="1"/>
      <c r="C44" s="44">
        <f>'[1]Invoerveld CMR'!C37</f>
        <v>0</v>
      </c>
      <c r="D44" s="35">
        <v>5</v>
      </c>
      <c r="E44" s="36" t="str">
        <f>IFERROR(VLOOKUP(CONCATENATE('[1]Invoerveld CMR'!$D$2," - ",CMR!D44),'[1]GEGEVENS FOOD'!$B:$L,11,0),"")</f>
        <v/>
      </c>
      <c r="F44" s="37" t="str">
        <f>IFERROR(VLOOKUP(CONCATENATE('[1]Invoerveld CMR'!$D$2," - ",CMR!D44),'[1]GEGEVENS FOOD'!$B:$L,10,0),"")</f>
        <v/>
      </c>
      <c r="G44" s="38"/>
      <c r="H44" s="38"/>
      <c r="I44" s="38"/>
      <c r="J44" s="38"/>
      <c r="K44" s="38"/>
      <c r="L44" s="38"/>
      <c r="M44" s="38"/>
      <c r="N44" s="39"/>
      <c r="P44" s="40"/>
      <c r="Q44" s="40"/>
      <c r="R44" s="40"/>
      <c r="S44" s="40"/>
      <c r="T44" s="40"/>
      <c r="U44" s="41"/>
      <c r="V44" s="41"/>
      <c r="W44" s="41"/>
      <c r="X44" s="41"/>
      <c r="Y44" s="41"/>
      <c r="Z44" s="41"/>
      <c r="AA44" s="41"/>
      <c r="AB44" s="41"/>
      <c r="AC44" s="41"/>
      <c r="AD44" s="41"/>
    </row>
    <row r="45" spans="1:30" ht="20.25" x14ac:dyDescent="0.3">
      <c r="A45" s="1"/>
      <c r="B45" s="1"/>
      <c r="C45" s="44">
        <f>'[1]Invoerveld CMR'!C38</f>
        <v>0</v>
      </c>
      <c r="D45" s="35">
        <v>6</v>
      </c>
      <c r="E45" s="36" t="str">
        <f>IFERROR(VLOOKUP(CONCATENATE('[1]Invoerveld CMR'!$D$2," - ",CMR!D45),'[1]GEGEVENS FOOD'!$B:$L,11,0),"")</f>
        <v/>
      </c>
      <c r="F45" s="37" t="str">
        <f>IFERROR(VLOOKUP(CONCATENATE('[1]Invoerveld CMR'!$D$2," - ",CMR!D45),'[1]GEGEVENS FOOD'!$B:$L,10,0),"")</f>
        <v/>
      </c>
      <c r="G45" s="38"/>
      <c r="H45" s="38"/>
      <c r="I45" s="38"/>
      <c r="J45" s="38"/>
      <c r="K45" s="38"/>
      <c r="L45" s="38"/>
      <c r="M45" s="38"/>
      <c r="N45" s="39"/>
      <c r="P45" s="40"/>
      <c r="Q45" s="40"/>
      <c r="R45" s="40"/>
      <c r="S45" s="40"/>
      <c r="T45" s="40"/>
      <c r="U45" s="41"/>
      <c r="V45" s="41"/>
      <c r="W45" s="41"/>
      <c r="X45" s="41"/>
      <c r="Y45" s="41"/>
      <c r="Z45" s="41"/>
      <c r="AA45" s="41"/>
      <c r="AB45" s="41"/>
      <c r="AC45" s="41"/>
      <c r="AD45" s="41"/>
    </row>
    <row r="46" spans="1:30" ht="20.25" x14ac:dyDescent="0.3">
      <c r="A46" s="1"/>
      <c r="R46" s="40"/>
      <c r="S46" s="40"/>
      <c r="T46" s="40"/>
      <c r="U46" s="41"/>
      <c r="V46" s="41"/>
      <c r="W46" s="41"/>
      <c r="X46" s="41"/>
      <c r="Y46" s="41"/>
      <c r="Z46" s="41"/>
      <c r="AA46" s="41"/>
      <c r="AB46" s="41"/>
      <c r="AC46" s="41"/>
      <c r="AD46" s="41"/>
    </row>
    <row r="47" spans="1:30" ht="20.25" x14ac:dyDescent="0.3">
      <c r="A47" s="1"/>
      <c r="B47" s="1"/>
      <c r="C47" s="45"/>
      <c r="D47" s="35"/>
      <c r="E47" s="46"/>
      <c r="F47" s="46"/>
      <c r="G47" s="46"/>
      <c r="H47" s="47"/>
      <c r="I47" s="47"/>
      <c r="J47" s="47"/>
      <c r="K47" s="47"/>
      <c r="L47" s="47"/>
      <c r="M47" s="47"/>
      <c r="N47" s="48"/>
      <c r="P47" s="40"/>
      <c r="Q47" s="40"/>
      <c r="R47" s="40"/>
      <c r="S47" s="40"/>
      <c r="T47" s="40"/>
      <c r="U47" s="41"/>
      <c r="V47" s="41"/>
      <c r="W47" s="41"/>
      <c r="X47" s="41"/>
      <c r="Y47" s="41"/>
      <c r="Z47" s="41"/>
      <c r="AA47" s="41"/>
      <c r="AB47" s="41"/>
      <c r="AC47" s="41"/>
      <c r="AD47" s="41"/>
    </row>
    <row r="48" spans="1:30" ht="20.25" x14ac:dyDescent="0.3">
      <c r="A48" s="1"/>
      <c r="B48" s="1"/>
      <c r="C48" s="19"/>
      <c r="D48" s="35"/>
      <c r="E48" s="46"/>
      <c r="F48" s="46"/>
      <c r="G48" s="46"/>
      <c r="H48" s="47"/>
      <c r="I48" s="47"/>
      <c r="J48" s="47"/>
      <c r="K48" s="47"/>
      <c r="L48" s="47"/>
      <c r="M48" s="47"/>
      <c r="N48" s="48"/>
      <c r="P48" s="40"/>
      <c r="Q48" s="40"/>
      <c r="R48" s="40"/>
      <c r="S48" s="40"/>
      <c r="T48" s="40"/>
      <c r="U48" s="41"/>
      <c r="V48" s="41"/>
      <c r="W48" s="41"/>
      <c r="X48" s="41"/>
      <c r="Y48" s="41"/>
      <c r="Z48" s="41"/>
      <c r="AA48" s="41"/>
      <c r="AB48" s="41"/>
      <c r="AC48" s="41"/>
      <c r="AD48" s="41"/>
    </row>
    <row r="49" spans="1:30" ht="20.25" x14ac:dyDescent="0.3">
      <c r="A49" s="1"/>
      <c r="B49" s="1"/>
      <c r="C49" s="15"/>
      <c r="D49" s="35"/>
      <c r="E49" s="49"/>
      <c r="F49" s="49"/>
      <c r="G49" s="49"/>
      <c r="H49" s="49"/>
      <c r="I49" s="49"/>
      <c r="J49" s="49"/>
      <c r="K49" s="49"/>
      <c r="L49" s="49"/>
      <c r="M49" s="49"/>
      <c r="N49" s="49"/>
      <c r="P49" s="40"/>
      <c r="Q49" s="40"/>
      <c r="R49" s="40"/>
      <c r="S49" s="40"/>
      <c r="T49" s="40"/>
      <c r="U49" s="41"/>
      <c r="V49" s="41"/>
      <c r="W49" s="41"/>
      <c r="X49" s="41"/>
      <c r="Y49" s="41"/>
      <c r="Z49" s="41"/>
      <c r="AA49" s="41"/>
      <c r="AB49" s="41"/>
      <c r="AC49" s="41"/>
      <c r="AD49" s="41"/>
    </row>
    <row r="50" spans="1:30" ht="12.95" customHeight="1" x14ac:dyDescent="0.25">
      <c r="A50" s="1"/>
      <c r="B50" s="1"/>
      <c r="C50" s="15"/>
      <c r="D50" s="1"/>
      <c r="E50" s="49"/>
      <c r="F50" s="49"/>
      <c r="G50" s="49"/>
      <c r="H50" s="49"/>
      <c r="I50" s="49"/>
      <c r="J50" s="49"/>
      <c r="K50" s="49"/>
      <c r="L50" s="49"/>
      <c r="M50" s="49"/>
      <c r="N50" s="49"/>
      <c r="R50" s="1"/>
      <c r="S50" s="1"/>
      <c r="U50" s="19"/>
    </row>
    <row r="51" spans="1:30" ht="20.25" x14ac:dyDescent="0.3">
      <c r="A51" s="1"/>
      <c r="B51" s="1"/>
      <c r="C51" s="15"/>
      <c r="D51" s="1"/>
      <c r="E51" s="1"/>
      <c r="G51" s="40"/>
      <c r="H51" s="40"/>
      <c r="I51" s="41">
        <f>[1]Others!I10</f>
        <v>0</v>
      </c>
      <c r="J51" s="41"/>
      <c r="K51" s="41"/>
      <c r="L51" s="41"/>
      <c r="M51" s="41"/>
      <c r="N51" s="41"/>
      <c r="O51" s="41"/>
      <c r="P51" s="41"/>
      <c r="Q51" s="41"/>
      <c r="R51" s="1"/>
      <c r="S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ht="12.95" customHeight="1" x14ac:dyDescent="0.3">
      <c r="A52" s="1"/>
      <c r="B52" s="1"/>
      <c r="C52" s="32"/>
      <c r="D52" s="1"/>
      <c r="E52" s="1"/>
      <c r="F52" s="1"/>
      <c r="G52" s="40"/>
      <c r="H52" s="40"/>
      <c r="I52" s="41"/>
      <c r="J52" s="41"/>
      <c r="K52" s="41"/>
      <c r="L52" s="41"/>
      <c r="M52" s="41"/>
      <c r="N52" s="41"/>
      <c r="O52" s="41"/>
      <c r="P52" s="41"/>
      <c r="Q52" s="41"/>
      <c r="R52" s="1"/>
      <c r="S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ht="12.95" customHeight="1" x14ac:dyDescent="0.25">
      <c r="A53" s="1"/>
      <c r="B53" s="1"/>
      <c r="C53" s="50"/>
      <c r="D53" s="50"/>
      <c r="E53" s="51" t="s">
        <v>7</v>
      </c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  <c r="V53" s="52"/>
      <c r="W53" s="52"/>
      <c r="X53" s="52"/>
      <c r="Y53" s="52"/>
      <c r="Z53" s="52"/>
      <c r="AA53" s="52"/>
      <c r="AB53" s="52"/>
      <c r="AC53" s="52"/>
      <c r="AD53" s="52"/>
    </row>
    <row r="54" spans="1:30" ht="12.95" customHeight="1" x14ac:dyDescent="0.25">
      <c r="A54" s="1"/>
      <c r="B54" s="1"/>
      <c r="C54" s="50"/>
      <c r="D54" s="50"/>
      <c r="E54" s="50"/>
      <c r="F54" s="50"/>
      <c r="G54" s="50"/>
      <c r="H54" s="50"/>
      <c r="I54" s="50"/>
      <c r="J54" s="50"/>
      <c r="K54" s="50"/>
      <c r="L54" s="53"/>
      <c r="M54" s="53"/>
      <c r="N54" s="53"/>
      <c r="O54" s="53"/>
      <c r="P54" s="1"/>
      <c r="Q54" s="1"/>
    </row>
    <row r="55" spans="1:30" ht="12.95" customHeight="1" x14ac:dyDescent="0.25">
      <c r="A55" s="1"/>
      <c r="B55" s="1"/>
      <c r="C55" s="50"/>
      <c r="D55" s="50"/>
      <c r="E55" s="50"/>
      <c r="F55" s="50"/>
      <c r="G55" s="50"/>
      <c r="H55" s="54"/>
      <c r="I55" s="54"/>
      <c r="J55" s="54"/>
      <c r="K55" s="54"/>
      <c r="L55" s="53"/>
      <c r="M55" s="53"/>
      <c r="N55" s="53"/>
      <c r="O55" s="53"/>
      <c r="P55" s="1"/>
      <c r="Q55" s="1"/>
      <c r="R55" s="1"/>
      <c r="S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ht="12.95" customHeight="1" x14ac:dyDescent="0.25">
      <c r="A56" s="1"/>
      <c r="B56" s="1"/>
      <c r="C56" s="50"/>
      <c r="D56" s="50"/>
      <c r="E56" s="50"/>
      <c r="F56" s="50"/>
      <c r="G56" s="50"/>
      <c r="H56" s="50"/>
      <c r="I56" s="50"/>
      <c r="J56" s="50"/>
      <c r="K56" s="50"/>
      <c r="L56" s="55"/>
      <c r="M56" s="55"/>
      <c r="N56" s="55"/>
      <c r="O56" s="55"/>
      <c r="P56" s="1"/>
      <c r="Q56" s="1"/>
      <c r="R56" s="1"/>
      <c r="S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ht="12.75" customHeight="1" x14ac:dyDescent="0.25">
      <c r="A57" s="1"/>
      <c r="B57" s="1"/>
      <c r="C57" s="50"/>
      <c r="D57" s="50"/>
      <c r="E57" s="50"/>
      <c r="F57" s="50"/>
      <c r="G57" s="50"/>
      <c r="H57" s="54"/>
      <c r="I57" s="54"/>
      <c r="J57" s="54"/>
      <c r="K57" s="54"/>
      <c r="L57" s="55"/>
      <c r="M57" s="55"/>
      <c r="N57" s="55"/>
      <c r="O57" s="55"/>
      <c r="P57" s="1"/>
      <c r="Q57" s="1"/>
      <c r="R57" s="1"/>
      <c r="S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ht="81" customHeight="1" x14ac:dyDescent="0.55000000000000004">
      <c r="A58" s="1"/>
      <c r="B58" s="1"/>
      <c r="C58" s="50"/>
      <c r="D58" s="50"/>
      <c r="E58" s="56" t="s">
        <v>8</v>
      </c>
      <c r="F58" s="50"/>
      <c r="G58" s="50"/>
      <c r="H58" s="50"/>
      <c r="I58" s="50"/>
      <c r="J58" s="50"/>
      <c r="K58" s="50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1"/>
      <c r="Z58" s="1"/>
      <c r="AA58" s="1"/>
      <c r="AB58" s="1"/>
      <c r="AC58" s="1"/>
      <c r="AD58" s="1"/>
    </row>
    <row r="59" spans="1:30" ht="12" customHeight="1" x14ac:dyDescent="0.4">
      <c r="A59" s="1"/>
      <c r="B59" s="1"/>
      <c r="C59" s="50"/>
      <c r="D59" s="50"/>
      <c r="F59" s="50"/>
      <c r="G59" s="50"/>
      <c r="H59" s="54"/>
      <c r="I59" s="54"/>
      <c r="J59" s="54"/>
      <c r="K59" s="54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1"/>
      <c r="Z59" s="1"/>
      <c r="AA59" s="1"/>
      <c r="AB59" s="1"/>
      <c r="AC59" s="1"/>
      <c r="AD59" s="1"/>
    </row>
    <row r="60" spans="1:30" ht="3.6" customHeight="1" x14ac:dyDescent="0.25">
      <c r="A60" s="1"/>
      <c r="B60" s="1"/>
      <c r="S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ht="12.75" customHeight="1" x14ac:dyDescent="0.25">
      <c r="A61" s="1"/>
      <c r="B61" s="1"/>
      <c r="S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ht="12.95" customHeight="1" x14ac:dyDescent="0.25">
      <c r="A62" s="1"/>
      <c r="B62" s="1"/>
      <c r="C62" s="58"/>
      <c r="S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7.25" customHeight="1" x14ac:dyDescent="0.25">
      <c r="A63" s="1"/>
      <c r="B63" s="1"/>
      <c r="S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ht="12.95" customHeight="1" x14ac:dyDescent="0.25">
      <c r="A64" s="1"/>
      <c r="B64" s="28"/>
      <c r="C64" s="1"/>
      <c r="D64" s="1"/>
      <c r="E64" s="1"/>
      <c r="F64" s="1"/>
      <c r="G64" s="1"/>
      <c r="H64" s="1"/>
      <c r="I64" s="1"/>
      <c r="J64" s="26">
        <f>'[1]Invoerveld CMR'!C22</f>
        <v>0</v>
      </c>
      <c r="K64" s="1"/>
      <c r="L64" s="1"/>
      <c r="M64" s="1"/>
      <c r="N64" s="1"/>
      <c r="O64" s="1"/>
      <c r="P64" s="1"/>
      <c r="Q64" s="1"/>
      <c r="R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 ht="12.95" customHeight="1" x14ac:dyDescent="0.25">
      <c r="A65" s="1"/>
      <c r="B65" s="28"/>
      <c r="C65" s="1"/>
      <c r="D65" s="1"/>
      <c r="E65" s="1"/>
      <c r="F65" s="1"/>
      <c r="G65" s="1"/>
      <c r="H65" s="1"/>
      <c r="I65" s="1"/>
      <c r="J65" s="26"/>
      <c r="K65" s="1"/>
      <c r="L65" s="1"/>
      <c r="M65" s="1"/>
      <c r="N65" s="1"/>
      <c r="O65" s="1"/>
      <c r="P65" s="1"/>
      <c r="Q65" s="1"/>
      <c r="R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ht="12.95" customHeight="1" x14ac:dyDescent="0.25">
      <c r="A66" s="1"/>
      <c r="B66" s="1"/>
      <c r="C66" s="1"/>
      <c r="D66" s="1"/>
      <c r="F66" s="10"/>
      <c r="G66" s="10"/>
      <c r="H66" s="10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V66" s="1"/>
      <c r="W66" s="1"/>
      <c r="X66" s="1"/>
      <c r="Y66" s="1"/>
      <c r="Z66" s="1"/>
      <c r="AA66" s="1"/>
      <c r="AB66" s="1"/>
      <c r="AC66" s="1"/>
      <c r="AD66" s="1"/>
    </row>
    <row r="67" spans="1:30" ht="16.5" x14ac:dyDescent="0.25">
      <c r="A67" s="1"/>
      <c r="B67" s="1"/>
      <c r="C67" s="1"/>
      <c r="D67" s="1"/>
      <c r="P67" s="59"/>
      <c r="Q67" s="59"/>
      <c r="R67" s="59"/>
      <c r="S67" s="59"/>
      <c r="V67" s="1"/>
      <c r="W67" s="1"/>
      <c r="X67" s="1"/>
      <c r="Y67" s="1"/>
      <c r="Z67" s="1"/>
      <c r="AA67" s="1"/>
      <c r="AB67" s="1"/>
      <c r="AC67" s="1"/>
      <c r="AD67" s="1"/>
    </row>
    <row r="68" spans="1:30" ht="26.25" customHeight="1" x14ac:dyDescent="0.25">
      <c r="A68" s="1"/>
      <c r="B68" s="1"/>
      <c r="C68" s="60"/>
      <c r="D68" s="60"/>
      <c r="E68" s="60"/>
      <c r="F68" s="60"/>
      <c r="G68" s="61">
        <f ca="1">TODAY()+1</f>
        <v>46130</v>
      </c>
      <c r="H68" s="61"/>
      <c r="I68" s="61"/>
      <c r="J68" s="61"/>
      <c r="K68" s="61"/>
      <c r="L68" s="61"/>
      <c r="M68" s="62"/>
      <c r="N68" s="16"/>
      <c r="O68" s="60"/>
      <c r="P68" s="60"/>
      <c r="Q68" s="60"/>
      <c r="R68" s="60"/>
      <c r="S68" s="60"/>
      <c r="W68" s="63"/>
      <c r="X68" s="63"/>
      <c r="Y68" s="63"/>
      <c r="AA68" s="1"/>
      <c r="AB68" s="1"/>
      <c r="AC68" s="1"/>
      <c r="AD68" s="1"/>
    </row>
    <row r="69" spans="1:30" ht="12.95" customHeight="1" x14ac:dyDescent="0.25">
      <c r="A69" s="1"/>
      <c r="B69" s="28"/>
      <c r="C69" s="64" t="str">
        <f>IF('[1]Invoerveld CMR'!C5="","",VLOOKUP('[1]Invoerveld CMR'!C5,[1]Afzender!A3:B30,2,FALSE))</f>
        <v>Hessing Greenport Venlo
Maarten de Vriesstraat 3
5975 RW Sevenum
The Netherlands</v>
      </c>
      <c r="D69" s="64"/>
      <c r="E69" s="64"/>
      <c r="F69" s="64"/>
      <c r="G69" s="64"/>
      <c r="H69" s="64"/>
      <c r="I69" s="64"/>
      <c r="J69" s="64"/>
      <c r="K69" s="64"/>
      <c r="L69" s="64"/>
      <c r="M69" s="64" t="str">
        <f>VLOOKUP('[1]Invoerveld CMR'!$D$2,'[1]GEGEVENS FOOD'!$A:$O,9,0)</f>
        <v>Hessing Logistiek</v>
      </c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0"/>
      <c r="Z69" s="60"/>
      <c r="AA69" s="1"/>
      <c r="AB69" s="1"/>
      <c r="AC69" s="1"/>
      <c r="AD69" s="1"/>
    </row>
    <row r="70" spans="1:30" ht="12.95" customHeight="1" x14ac:dyDescent="0.25">
      <c r="A70" s="1"/>
      <c r="B70" s="28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0"/>
      <c r="Z70" s="60"/>
      <c r="AA70" s="1"/>
      <c r="AB70" s="1"/>
      <c r="AC70" s="1"/>
      <c r="AD70" s="1"/>
    </row>
    <row r="71" spans="1:30" ht="12.95" customHeight="1" x14ac:dyDescent="0.25">
      <c r="A71" s="1"/>
      <c r="B71" s="28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0"/>
      <c r="Z71" s="60"/>
      <c r="AA71" s="1"/>
      <c r="AB71" s="1"/>
      <c r="AC71" s="1"/>
      <c r="AD71" s="1"/>
    </row>
    <row r="72" spans="1:30" ht="12.95" customHeight="1" x14ac:dyDescent="0.25">
      <c r="A72" s="1"/>
      <c r="B72" s="28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0"/>
      <c r="Z72" s="60"/>
      <c r="AA72" s="1"/>
      <c r="AB72" s="1"/>
      <c r="AC72" s="1"/>
      <c r="AD72" s="1"/>
    </row>
    <row r="73" spans="1:30" ht="12.95" customHeight="1" x14ac:dyDescent="0.25">
      <c r="A73" s="1"/>
      <c r="B73" s="1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0"/>
      <c r="Z73" s="60"/>
      <c r="AA73" s="1"/>
      <c r="AB73" s="1"/>
      <c r="AC73" s="1"/>
      <c r="AD73" s="1"/>
    </row>
    <row r="74" spans="1:30" ht="12.95" customHeight="1" x14ac:dyDescent="0.25">
      <c r="A74" s="1"/>
      <c r="B74" s="1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16"/>
      <c r="N74" s="16"/>
      <c r="O74" s="16"/>
      <c r="P74" s="60"/>
      <c r="Q74" s="60"/>
      <c r="R74" s="60"/>
      <c r="S74" s="60"/>
      <c r="T74" s="60"/>
      <c r="U74" s="60"/>
      <c r="V74" s="60"/>
      <c r="W74" s="60"/>
      <c r="X74" s="60"/>
      <c r="AA74" s="1"/>
      <c r="AB74" s="1"/>
      <c r="AC74" s="1"/>
      <c r="AD74" s="1"/>
    </row>
  </sheetData>
  <protectedRanges>
    <protectedRange sqref="P40:P43 S40:T43 S45:T49 H53 S53 P45 P47:P49 E40:E45 E47:E49" name="Range1"/>
  </protectedRanges>
  <mergeCells count="16">
    <mergeCell ref="E53:T53"/>
    <mergeCell ref="G68:L68"/>
    <mergeCell ref="C69:L74"/>
    <mergeCell ref="M69:X73"/>
    <mergeCell ref="Y28:AA28"/>
    <mergeCell ref="Y30:AA30"/>
    <mergeCell ref="C31:G32"/>
    <mergeCell ref="C35:E35"/>
    <mergeCell ref="C36:E36"/>
    <mergeCell ref="G38:H38"/>
    <mergeCell ref="C1:M12"/>
    <mergeCell ref="C14:O15"/>
    <mergeCell ref="C16:F16"/>
    <mergeCell ref="P17:AE17"/>
    <mergeCell ref="C25:G26"/>
    <mergeCell ref="C27:E27"/>
  </mergeCells>
  <printOptions horizontalCentered="1" verticalCentered="1"/>
  <pageMargins left="0" right="0" top="0" bottom="0" header="0" footer="0"/>
  <pageSetup paperSize="9" scale="7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CMR</vt:lpstr>
      <vt:lpstr>CMR!Print_Area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Gonçalo Latino Candido</dc:creator>
  <cp:lastModifiedBy>Gonçalo Latino Candido</cp:lastModifiedBy>
  <dcterms:created xsi:type="dcterms:W3CDTF">2015-06-05T18:19:34Z</dcterms:created>
  <dcterms:modified xsi:type="dcterms:W3CDTF">2026-04-17T13:54:54Z</dcterms:modified>
</cp:coreProperties>
</file>