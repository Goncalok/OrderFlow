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Rewe + Penny/"/>
    </mc:Choice>
  </mc:AlternateContent>
  <xr:revisionPtr revIDLastSave="1194" documentId="8_{E125BFB6-ED9A-4ED7-9CCD-3C7E84538834}" xr6:coauthVersionLast="47" xr6:coauthVersionMax="47" xr10:uidLastSave="{779AC079-AC72-4079-B9EA-D29686F3DC6B}"/>
  <bookViews>
    <workbookView xWindow="-120" yWindow="-120" windowWidth="29040" windowHeight="15720" xr2:uid="{FFD8DE7A-5458-414D-B92D-FD195E75E718}"/>
  </bookViews>
  <sheets>
    <sheet name="CMR" sheetId="1" r:id="rId1"/>
    <sheet name="DATA" sheetId="3" r:id="rId2"/>
  </sheets>
  <externalReferences>
    <externalReference r:id="rId3"/>
  </externalReferences>
  <definedNames>
    <definedName name="data">[1]Data!$B$1:$L$65536</definedName>
    <definedName name="Landen">#REF!</definedName>
    <definedName name="_xlnm.Print_Area" localSheetId="0">CMR!$A:$AG</definedName>
    <definedName name="Shops" localSheetId="1">Table1[DC''s]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9" i="1" l="1"/>
  <c r="A16" i="1"/>
  <c r="M63" i="1"/>
  <c r="A65" i="1"/>
  <c r="A64" i="1"/>
  <c r="A63" i="1"/>
  <c r="A62" i="1"/>
  <c r="AV3" i="1"/>
  <c r="AU7" i="1"/>
  <c r="AU19" i="1"/>
  <c r="AU60" i="1"/>
  <c r="A57" i="1" s="1"/>
  <c r="AU59" i="1"/>
  <c r="AU21" i="1" l="1"/>
  <c r="T1" i="1" s="1"/>
  <c r="BC19" i="1" s="1"/>
  <c r="AU20" i="1"/>
</calcChain>
</file>

<file path=xl/sharedStrings.xml><?xml version="1.0" encoding="utf-8"?>
<sst xmlns="http://schemas.openxmlformats.org/spreadsheetml/2006/main" count="69" uniqueCount="63">
  <si>
    <t>A</t>
  </si>
  <si>
    <t>alcomij</t>
  </si>
  <si>
    <t xml:space="preserve">                    </t>
  </si>
  <si>
    <t>Fatrans Logistics B.V.</t>
  </si>
  <si>
    <t>lenssen</t>
  </si>
  <si>
    <t>Venrayseweg 146H</t>
  </si>
  <si>
    <t>5928 RH Venlo, NL</t>
  </si>
  <si>
    <t>holstein</t>
  </si>
  <si>
    <t xml:space="preserve">  </t>
  </si>
  <si>
    <t>waar</t>
  </si>
  <si>
    <t>Waar</t>
  </si>
  <si>
    <t>for chilled products setpoint cool engine at 3 degrees</t>
  </si>
  <si>
    <t xml:space="preserve">  Pakbon:</t>
  </si>
  <si>
    <t>Products:</t>
  </si>
  <si>
    <t>Auto:_____ Route:_____ Tijd:_____</t>
  </si>
  <si>
    <t>Ontvangstnr:____________________</t>
  </si>
  <si>
    <t>Temperatuur:_____ Graden Celcius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</si>
  <si>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</si>
  <si>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onwaar</t>
  </si>
  <si>
    <t xml:space="preserve"> </t>
  </si>
  <si>
    <t>Kenteken:_____________</t>
  </si>
  <si>
    <t>Oplegger/Aanhangwagen:____________</t>
  </si>
  <si>
    <t>78-RD-78</t>
  </si>
  <si>
    <t>Hessing Greenport Venlo B.V.</t>
  </si>
  <si>
    <t>Maarten de Vriesstraat</t>
  </si>
  <si>
    <t>5975 RW Sevenum</t>
  </si>
  <si>
    <t>Netherlands</t>
  </si>
  <si>
    <t>Fatrans Dispo</t>
  </si>
  <si>
    <t>DC's</t>
  </si>
  <si>
    <t>REWE Rüsseina Nossen</t>
  </si>
  <si>
    <t>REWE Neudietendorf</t>
  </si>
  <si>
    <t>REWE Oranienburg</t>
  </si>
  <si>
    <t>REWE Breuna</t>
  </si>
  <si>
    <t>REWE Lehrte</t>
  </si>
  <si>
    <t>REWE Eitting</t>
  </si>
  <si>
    <t>REWE Buttenheim</t>
  </si>
  <si>
    <t>REWE Bondorf</t>
  </si>
  <si>
    <t>REWE Lahr</t>
  </si>
  <si>
    <t>REWE Wiesloch</t>
  </si>
  <si>
    <t>REWE Raunheim</t>
  </si>
  <si>
    <t>REWE Rosbach</t>
  </si>
  <si>
    <t>REWE Sottrum</t>
  </si>
  <si>
    <t>REWE Stelle</t>
  </si>
  <si>
    <t>REWE Henstedt-Ulzburg</t>
  </si>
  <si>
    <t>REWE Koblenz</t>
  </si>
  <si>
    <t>REWE Köln-Langel</t>
  </si>
  <si>
    <t>REWE Dortmund</t>
  </si>
  <si>
    <t>PENNY Großbeeren</t>
  </si>
  <si>
    <t>PENNY Landsberg</t>
  </si>
  <si>
    <t>PENNY Lehrte</t>
  </si>
  <si>
    <t>PENNY Eching</t>
  </si>
  <si>
    <t>PENNY Neuhausen</t>
  </si>
  <si>
    <t>PENNY Kronau</t>
  </si>
  <si>
    <t>PENNY Rosbach</t>
  </si>
  <si>
    <t>PENNY Norderstedt</t>
  </si>
  <si>
    <t>PENNY Essen</t>
  </si>
  <si>
    <t>PENNY Bocklermünd</t>
  </si>
  <si>
    <t>Fatrans Logistics B.V. Hannover
Nenndorfer Chausee 18
30453 Hannover, DE</t>
  </si>
  <si>
    <t>Fatrans Logistics B.V. Rosbach
Bornweg 100
61191 Rosbach, DE</t>
  </si>
  <si>
    <t>Fatrans Logistics B.V. Monheim
Am Kielsgraben 6-8
40789 Monheim am Rhein</t>
  </si>
  <si>
    <t>Fatrans Logistics B.V.
Venrayseweg 146H
5928 RH Venlo, NL</t>
  </si>
  <si>
    <t>Palletplaats PENNY:</t>
  </si>
  <si>
    <t>Palletplaats REWE: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</si>
</sst>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3]d\ mmmm\ yyyy;@"/>
  </numFmts>
  <fonts count="25" x14ac:knownFonts="1">
    <font>
      <sz val="12"/>
      <name val="Arial Narrow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20"/>
      <name val="Tahoma"/>
      <family val="2"/>
    </font>
    <font>
      <b/>
      <sz val="12"/>
      <name val="Tahoma"/>
      <family val="2"/>
    </font>
    <font>
      <b/>
      <sz val="11"/>
      <color indexed="10"/>
      <name val="Tahoma"/>
      <family val="2"/>
    </font>
    <font>
      <sz val="12"/>
      <name val="Arial Narrow"/>
      <family val="2"/>
    </font>
    <font>
      <b/>
      <sz val="9"/>
      <name val="Tahoma"/>
      <family val="2"/>
    </font>
    <font>
      <b/>
      <sz val="8"/>
      <name val="Tahoma"/>
      <family val="2"/>
    </font>
    <font>
      <b/>
      <sz val="11"/>
      <name val="Tahoma"/>
      <family val="2"/>
    </font>
    <font>
      <sz val="11"/>
      <name val="Arial Narrow"/>
      <family val="2"/>
    </font>
    <font>
      <sz val="9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8"/>
      <color theme="0"/>
      <name val="Tahoma"/>
      <family val="2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b/>
      <sz val="12"/>
      <color theme="0"/>
      <name val="Tahoma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sz val="12"/>
      <name val="Arial Narrow"/>
      <family val="2"/>
    </font>
    <font>
      <b/>
      <sz val="13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6">
    <xf numFmtId="0" fontId="0" fillId="0" borderId="0" xfId="0"/>
    <xf numFmtId="0" fontId="3" fillId="0" borderId="0" xfId="1" applyFont="1" applyAlignment="1">
      <alignment horizontal="left"/>
    </xf>
    <xf numFmtId="0" fontId="3" fillId="2" borderId="0" xfId="1" applyFont="1" applyFill="1" applyAlignment="1">
      <alignment horizontal="left"/>
    </xf>
    <xf numFmtId="0" fontId="3" fillId="3" borderId="0" xfId="1" applyFont="1" applyFill="1" applyAlignment="1">
      <alignment horizontal="left"/>
    </xf>
    <xf numFmtId="0" fontId="3" fillId="0" borderId="0" xfId="1" applyFont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/>
    </xf>
    <xf numFmtId="0" fontId="3" fillId="2" borderId="0" xfId="1" applyFont="1" applyFill="1"/>
    <xf numFmtId="0" fontId="3" fillId="0" borderId="0" xfId="1" applyFont="1" applyAlignment="1" applyProtection="1">
      <alignment horizontal="left"/>
      <protection locked="0"/>
    </xf>
    <xf numFmtId="0" fontId="3" fillId="3" borderId="0" xfId="1" applyFont="1" applyFill="1"/>
    <xf numFmtId="0" fontId="15" fillId="0" borderId="0" xfId="1" applyFont="1" applyAlignment="1">
      <alignment horizontal="left"/>
    </xf>
    <xf numFmtId="0" fontId="3" fillId="0" borderId="0" xfId="1" applyFont="1" applyProtection="1">
      <protection locked="0"/>
    </xf>
    <xf numFmtId="0" fontId="0" fillId="0" borderId="0" xfId="0" applyAlignment="1">
      <alignment horizontal="left"/>
    </xf>
    <xf numFmtId="0" fontId="13" fillId="0" borderId="0" xfId="1" applyFont="1" applyAlignment="1">
      <alignment horizontal="left"/>
    </xf>
    <xf numFmtId="14" fontId="3" fillId="0" borderId="0" xfId="1" applyNumberFormat="1" applyFont="1"/>
    <xf numFmtId="0" fontId="14" fillId="0" borderId="0" xfId="1" applyFont="1" applyAlignment="1" applyProtection="1">
      <alignment horizontal="left"/>
      <protection locked="0"/>
    </xf>
    <xf numFmtId="0" fontId="7" fillId="0" borderId="0" xfId="0" applyFont="1"/>
    <xf numFmtId="0" fontId="16" fillId="0" borderId="0" xfId="1" applyFont="1" applyProtection="1">
      <protection locked="0"/>
    </xf>
    <xf numFmtId="0" fontId="21" fillId="0" borderId="0" xfId="0" applyFont="1"/>
    <xf numFmtId="0" fontId="3" fillId="0" borderId="0" xfId="1" applyFont="1" applyAlignment="1" applyProtection="1">
      <alignment vertical="top"/>
      <protection locked="0"/>
    </xf>
    <xf numFmtId="0" fontId="19" fillId="0" borderId="0" xfId="0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22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Protection="1">
      <protection locked="0"/>
    </xf>
    <xf numFmtId="0" fontId="13" fillId="0" borderId="0" xfId="1" applyFont="1" applyAlignment="1">
      <alignment horizontal="left"/>
    </xf>
    <xf numFmtId="0" fontId="3" fillId="0" borderId="0" xfId="1" applyFont="1" applyAlignment="1" applyProtection="1">
      <alignment horizontal="left"/>
      <protection locked="0"/>
    </xf>
    <xf numFmtId="14" fontId="3" fillId="0" borderId="0" xfId="1" applyNumberFormat="1" applyFont="1" applyAlignment="1">
      <alignment horizontal="left"/>
    </xf>
    <xf numFmtId="0" fontId="3" fillId="0" borderId="0" xfId="1" applyFont="1" applyAlignment="1">
      <alignment horizontal="left"/>
    </xf>
    <xf numFmtId="14" fontId="3" fillId="0" borderId="0" xfId="1" quotePrefix="1" applyNumberFormat="1" applyFont="1" applyAlignment="1">
      <alignment horizontal="left"/>
    </xf>
    <xf numFmtId="0" fontId="9" fillId="0" borderId="0" xfId="1" applyFont="1" applyAlignment="1" applyProtection="1">
      <alignment horizontal="right"/>
      <protection locked="0"/>
    </xf>
    <xf numFmtId="0" fontId="24" fillId="0" borderId="0" xfId="0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10" fillId="0" borderId="0" xfId="1" applyFont="1" applyAlignment="1">
      <alignment horizontal="right" vertical="top"/>
    </xf>
    <xf numFmtId="0" fontId="11" fillId="0" borderId="0" xfId="0" applyFont="1" applyAlignment="1">
      <alignment horizontal="right" vertical="top"/>
    </xf>
    <xf numFmtId="0" fontId="3" fillId="0" borderId="0" xfId="1" applyFont="1" applyAlignment="1">
      <alignment horizontal="left" wrapText="1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 applyProtection="1">
      <alignment horizontal="center"/>
      <protection locked="0"/>
    </xf>
    <xf numFmtId="0" fontId="12" fillId="0" borderId="0" xfId="1" applyFont="1" applyAlignment="1">
      <alignment horizontal="left"/>
    </xf>
    <xf numFmtId="0" fontId="3" fillId="0" borderId="0" xfId="1" applyFont="1"/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14" fontId="9" fillId="0" borderId="0" xfId="1" applyNumberFormat="1" applyFont="1" applyAlignment="1">
      <alignment horizontal="center" vertical="center"/>
    </xf>
    <xf numFmtId="0" fontId="3" fillId="0" borderId="0" xfId="1" quotePrefix="1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7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/>
    </xf>
    <xf numFmtId="14" fontId="3" fillId="0" borderId="0" xfId="1" applyNumberFormat="1" applyFont="1" applyAlignment="1">
      <alignment horizontal="center"/>
    </xf>
    <xf numFmtId="0" fontId="16" fillId="0" borderId="0" xfId="1" applyFont="1" applyAlignment="1">
      <alignment horizontal="left" vertical="top"/>
    </xf>
    <xf numFmtId="164" fontId="3" fillId="0" borderId="0" xfId="1" applyNumberFormat="1" applyFont="1" applyAlignment="1">
      <alignment horizontal="left"/>
    </xf>
    <xf numFmtId="0" fontId="9" fillId="0" borderId="0" xfId="1" applyFont="1" applyProtection="1">
      <protection locked="0"/>
    </xf>
    <xf numFmtId="0" fontId="20" fillId="0" borderId="0" xfId="1" applyFont="1" applyAlignment="1">
      <alignment horizontal="left" vertical="center"/>
    </xf>
    <xf numFmtId="0" fontId="5" fillId="0" borderId="0" xfId="1" applyFont="1" applyAlignment="1" applyProtection="1">
      <alignment horizontal="left"/>
      <protection locked="0"/>
    </xf>
    <xf numFmtId="14" fontId="17" fillId="0" borderId="0" xfId="1" applyNumberFormat="1" applyFont="1" applyAlignment="1">
      <alignment horizontal="left"/>
    </xf>
    <xf numFmtId="14" fontId="18" fillId="0" borderId="0" xfId="0" applyNumberFormat="1" applyFont="1" applyAlignment="1">
      <alignment horizontal="left"/>
    </xf>
  </cellXfs>
  <cellStyles count="2">
    <cellStyle name="Normal" xfId="0" builtinId="0"/>
    <cellStyle name="Standaard_VRACHTBRIEVEN(1)" xfId="1" xr:uid="{1225FEDC-79C0-488F-A10A-CA5F45B54706}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3</xdr:row>
          <xdr:rowOff>0</xdr:rowOff>
        </xdr:from>
        <xdr:to>
          <xdr:col>40</xdr:col>
          <xdr:colOff>57150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ric%20van%20den%20Berg\Alcomij\cmr\Vrachtbrieve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CMR"/>
      <sheetName val="AVC"/>
      <sheetName val="Plaatsnamen"/>
      <sheetName val="Landen"/>
      <sheetName val="Kenteke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B1" t="str">
            <v>Zoeknaam</v>
          </cell>
          <cell r="C1" t="str">
            <v>Contactpersoon</v>
          </cell>
          <cell r="D1" t="str">
            <v>Bedrijfsnaam</v>
          </cell>
          <cell r="E1" t="str">
            <v>Adres</v>
          </cell>
          <cell r="F1" t="str">
            <v>Huisnummer</v>
          </cell>
          <cell r="G1" t="str">
            <v>Postcode</v>
          </cell>
          <cell r="H1" t="str">
            <v>Woonplaats</v>
          </cell>
          <cell r="I1" t="str">
            <v>Land</v>
          </cell>
          <cell r="J1" t="str">
            <v>Telefoon</v>
          </cell>
          <cell r="K1" t="str">
            <v>Telefax</v>
          </cell>
          <cell r="L1" t="str">
            <v>Niwo nr.</v>
          </cell>
        </row>
        <row r="2">
          <cell r="B2" t="str">
            <v>&lt;&lt;geen&gt;&gt;</v>
          </cell>
        </row>
        <row r="3">
          <cell r="B3" t="str">
            <v>alcomij</v>
          </cell>
          <cell r="D3" t="str">
            <v>alcomij BV</v>
          </cell>
          <cell r="E3" t="str">
            <v>Hoflaan</v>
          </cell>
          <cell r="F3">
            <v>175</v>
          </cell>
          <cell r="G3" t="str">
            <v>2691 AS</v>
          </cell>
          <cell r="H3" t="str">
            <v>s-Gravenzande</v>
          </cell>
          <cell r="I3" t="str">
            <v>Nederland</v>
          </cell>
          <cell r="J3" t="str">
            <v>0174-445300</v>
          </cell>
          <cell r="K3" t="str">
            <v>0174-417332</v>
          </cell>
        </row>
        <row r="4">
          <cell r="B4" t="str">
            <v>antwerpse verzinkerij</v>
          </cell>
          <cell r="D4" t="str">
            <v>Antwerpse verzinkerij</v>
          </cell>
          <cell r="E4" t="str">
            <v>Toekomstlaan</v>
          </cell>
          <cell r="F4">
            <v>18</v>
          </cell>
          <cell r="G4" t="str">
            <v>B-2900</v>
          </cell>
          <cell r="H4" t="str">
            <v>Schoten</v>
          </cell>
          <cell r="I4" t="str">
            <v>Belgie</v>
          </cell>
        </row>
        <row r="5">
          <cell r="B5" t="str">
            <v>berger</v>
          </cell>
          <cell r="D5" t="str">
            <v>Ton van Berger</v>
          </cell>
          <cell r="H5" t="str">
            <v>Monster</v>
          </cell>
          <cell r="I5" t="str">
            <v>Nederland</v>
          </cell>
          <cell r="L5">
            <v>5075</v>
          </cell>
        </row>
        <row r="6">
          <cell r="B6" t="str">
            <v>convracht</v>
          </cell>
          <cell r="D6" t="str">
            <v>Convracht bv</v>
          </cell>
          <cell r="E6" t="str">
            <v xml:space="preserve">Sluisjesdijk </v>
          </cell>
          <cell r="F6">
            <v>98</v>
          </cell>
          <cell r="G6" t="str">
            <v>3087 AJ</v>
          </cell>
          <cell r="H6" t="str">
            <v>Rotterdam</v>
          </cell>
          <cell r="I6" t="str">
            <v>Nederland</v>
          </cell>
          <cell r="J6" t="str">
            <v>010-4280010</v>
          </cell>
        </row>
        <row r="7">
          <cell r="B7" t="str">
            <v>conzalez</v>
          </cell>
          <cell r="C7" t="str">
            <v>Jos verhagen</v>
          </cell>
          <cell r="D7" t="str">
            <v>Conzalez aanvullend transport bv</v>
          </cell>
          <cell r="E7" t="str">
            <v xml:space="preserve">Driemanssteeweg </v>
          </cell>
          <cell r="F7">
            <v>84</v>
          </cell>
          <cell r="G7" t="str">
            <v>3089 KG</v>
          </cell>
          <cell r="H7" t="str">
            <v>Rotterdam</v>
          </cell>
          <cell r="I7" t="str">
            <v>Nederland</v>
          </cell>
          <cell r="J7" t="str">
            <v>010-4955887</v>
          </cell>
        </row>
        <row r="8">
          <cell r="B8" t="str">
            <v>coopra</v>
          </cell>
          <cell r="C8" t="str">
            <v>Andre Reidveld</v>
          </cell>
          <cell r="D8" t="str">
            <v>Coopra buis bv</v>
          </cell>
          <cell r="E8" t="str">
            <v xml:space="preserve">Wolweverstraat </v>
          </cell>
          <cell r="F8">
            <v>31</v>
          </cell>
          <cell r="G8" t="str">
            <v>2984 CE</v>
          </cell>
          <cell r="H8" t="str">
            <v>Ridderkerk</v>
          </cell>
          <cell r="I8" t="str">
            <v>Nederland</v>
          </cell>
          <cell r="J8" t="str">
            <v>0180-480505</v>
          </cell>
          <cell r="K8" t="str">
            <v>0180-480868</v>
          </cell>
        </row>
        <row r="9">
          <cell r="B9" t="str">
            <v>diemen</v>
          </cell>
          <cell r="D9" t="str">
            <v>van Diemen</v>
          </cell>
          <cell r="E9" t="str">
            <v>Bedrijvenweg</v>
          </cell>
          <cell r="F9">
            <v>24</v>
          </cell>
          <cell r="G9" t="str">
            <v>1424 PX</v>
          </cell>
          <cell r="H9" t="str">
            <v>De Kwakel</v>
          </cell>
          <cell r="I9" t="str">
            <v>Nederland</v>
          </cell>
        </row>
        <row r="10">
          <cell r="B10" t="str">
            <v>ect delta</v>
          </cell>
          <cell r="D10" t="str">
            <v>ECT Delta Terminals</v>
          </cell>
          <cell r="E10" t="str">
            <v>Europaweg</v>
          </cell>
          <cell r="F10">
            <v>875</v>
          </cell>
          <cell r="G10" t="str">
            <v>3199 LD</v>
          </cell>
          <cell r="H10" t="str">
            <v>Rotterdam (Maasvlakte)</v>
          </cell>
          <cell r="I10" t="str">
            <v>Nederland</v>
          </cell>
          <cell r="J10" t="str">
            <v>0181-278278</v>
          </cell>
          <cell r="K10" t="str">
            <v>0181-278315</v>
          </cell>
        </row>
        <row r="11">
          <cell r="B11" t="str">
            <v>ect euromax</v>
          </cell>
          <cell r="D11" t="str">
            <v>ECT Euromax Terminal</v>
          </cell>
          <cell r="E11" t="str">
            <v xml:space="preserve">Europaweg </v>
          </cell>
          <cell r="F11">
            <v>951</v>
          </cell>
          <cell r="G11" t="str">
            <v>3199 LD</v>
          </cell>
          <cell r="H11" t="str">
            <v>Rotterdam (Maasvlakte)</v>
          </cell>
          <cell r="I11" t="str">
            <v>Nederland</v>
          </cell>
          <cell r="J11" t="str">
            <v>0181-377377</v>
          </cell>
          <cell r="K11" t="str">
            <v>0181-377300</v>
          </cell>
        </row>
        <row r="12">
          <cell r="B12" t="str">
            <v>ect home</v>
          </cell>
          <cell r="D12" t="str">
            <v>ECT Home Terminal</v>
          </cell>
          <cell r="E12" t="str">
            <v>Reeweg</v>
          </cell>
          <cell r="F12">
            <v>25</v>
          </cell>
          <cell r="G12" t="str">
            <v>3089 KM</v>
          </cell>
          <cell r="H12" t="str">
            <v>Rotterdam</v>
          </cell>
          <cell r="I12" t="str">
            <v>Nederland</v>
          </cell>
          <cell r="J12" t="str">
            <v>010-4916911</v>
          </cell>
          <cell r="K12" t="str">
            <v>010-4916434</v>
          </cell>
        </row>
        <row r="13">
          <cell r="B13" t="str">
            <v>fleura</v>
          </cell>
          <cell r="D13" t="str">
            <v>Fleura Aalsmeer</v>
          </cell>
          <cell r="E13" t="str">
            <v>Betula</v>
          </cell>
          <cell r="F13">
            <v>31</v>
          </cell>
          <cell r="G13" t="str">
            <v>1424 LH</v>
          </cell>
          <cell r="H13" t="str">
            <v>De Kwakel</v>
          </cell>
          <cell r="I13" t="str">
            <v>Nederland</v>
          </cell>
        </row>
        <row r="14">
          <cell r="B14" t="str">
            <v>flora bleiswijk</v>
          </cell>
          <cell r="D14" t="str">
            <v>Flora Holland Bleiswijk</v>
          </cell>
          <cell r="E14" t="str">
            <v>Klappolder</v>
          </cell>
          <cell r="F14">
            <v>130</v>
          </cell>
          <cell r="G14" t="str">
            <v>2665 ZM</v>
          </cell>
          <cell r="H14" t="str">
            <v>Bleiswijk</v>
          </cell>
          <cell r="I14" t="str">
            <v>Nederland</v>
          </cell>
        </row>
        <row r="15">
          <cell r="B15" t="str">
            <v>flora naaldwijk</v>
          </cell>
          <cell r="D15" t="str">
            <v>Flora Holland Naaldwijk</v>
          </cell>
          <cell r="E15" t="str">
            <v>Middel Broekweg</v>
          </cell>
          <cell r="F15">
            <v>29</v>
          </cell>
          <cell r="G15" t="str">
            <v>2670 AE</v>
          </cell>
          <cell r="H15" t="str">
            <v>Naaldwijk</v>
          </cell>
          <cell r="I15" t="str">
            <v>Nederland</v>
          </cell>
        </row>
        <row r="16">
          <cell r="B16" t="str">
            <v>flora rijnsburg</v>
          </cell>
          <cell r="D16" t="str">
            <v>Flora Holland Rijnsburg</v>
          </cell>
          <cell r="E16" t="str">
            <v>Laan van Verhof</v>
          </cell>
          <cell r="F16">
            <v>3</v>
          </cell>
          <cell r="G16" t="str">
            <v>2230 AA</v>
          </cell>
          <cell r="H16" t="str">
            <v>Rijnsburg</v>
          </cell>
          <cell r="I16" t="str">
            <v>Nederland</v>
          </cell>
        </row>
        <row r="17">
          <cell r="B17" t="str">
            <v>hans van bebber</v>
          </cell>
          <cell r="D17" t="str">
            <v>Hans van Bebber Heizungsbau</v>
          </cell>
          <cell r="E17" t="str">
            <v>An den Bleiche</v>
          </cell>
          <cell r="F17">
            <v>41</v>
          </cell>
          <cell r="G17">
            <v>47638</v>
          </cell>
          <cell r="H17" t="str">
            <v>Staelen</v>
          </cell>
          <cell r="I17" t="str">
            <v>Deutschland</v>
          </cell>
        </row>
        <row r="18">
          <cell r="B18" t="str">
            <v>heemskerk</v>
          </cell>
          <cell r="D18" t="str">
            <v>A Heemskerk</v>
          </cell>
          <cell r="E18" t="str">
            <v>Laan van Verhof</v>
          </cell>
          <cell r="F18">
            <v>65</v>
          </cell>
          <cell r="G18" t="str">
            <v>2230 AE</v>
          </cell>
          <cell r="H18" t="str">
            <v>Rijnsburg</v>
          </cell>
          <cell r="I18" t="str">
            <v>Nederland</v>
          </cell>
        </row>
        <row r="19">
          <cell r="B19" t="str">
            <v>holstein</v>
          </cell>
          <cell r="C19" t="str">
            <v>Jan van Holstein</v>
          </cell>
          <cell r="D19" t="str">
            <v>van Holstein Transport VOF</v>
          </cell>
          <cell r="E19" t="str">
            <v>van Buerenlaan</v>
          </cell>
          <cell r="F19">
            <v>19</v>
          </cell>
          <cell r="G19" t="str">
            <v>2295 MA</v>
          </cell>
          <cell r="H19" t="str">
            <v>Kwintsheul</v>
          </cell>
          <cell r="I19" t="str">
            <v>Nederland</v>
          </cell>
          <cell r="J19" t="str">
            <v>0653-222236</v>
          </cell>
          <cell r="K19" t="str">
            <v>0174-624332</v>
          </cell>
          <cell r="L19">
            <v>5175</v>
          </cell>
        </row>
        <row r="20">
          <cell r="B20" t="str">
            <v>kovemont</v>
          </cell>
          <cell r="D20" t="str">
            <v>Kovermont BM s.r.o.</v>
          </cell>
          <cell r="E20" t="str">
            <v>Zahradnicka</v>
          </cell>
          <cell r="F20">
            <v>1135</v>
          </cell>
          <cell r="G20" t="str">
            <v>958 03</v>
          </cell>
          <cell r="H20" t="str">
            <v>Partizanske</v>
          </cell>
          <cell r="I20" t="str">
            <v>Slovakia</v>
          </cell>
        </row>
        <row r="21">
          <cell r="B21" t="str">
            <v>lenssen</v>
          </cell>
          <cell r="D21" t="str">
            <v>Verzinkerij Lenssen</v>
          </cell>
          <cell r="E21" t="str">
            <v>Hendy Fordlaan</v>
          </cell>
          <cell r="F21">
            <v>29</v>
          </cell>
          <cell r="G21" t="str">
            <v>B3600</v>
          </cell>
          <cell r="H21" t="str">
            <v>Genk</v>
          </cell>
          <cell r="I21" t="str">
            <v>Belgie</v>
          </cell>
        </row>
        <row r="22">
          <cell r="B22" t="str">
            <v>linden</v>
          </cell>
          <cell r="D22" t="str">
            <v>Van der Linden</v>
          </cell>
          <cell r="E22" t="str">
            <v>Energieweg</v>
          </cell>
          <cell r="F22">
            <v>7</v>
          </cell>
          <cell r="G22" t="str">
            <v>5145 NW</v>
          </cell>
          <cell r="H22" t="str">
            <v>Waalwijk</v>
          </cell>
          <cell r="I22" t="str">
            <v>Nederland</v>
          </cell>
        </row>
        <row r="23">
          <cell r="B23" t="str">
            <v>logiqs</v>
          </cell>
          <cell r="D23" t="str">
            <v>Logiqs Apro BV</v>
          </cell>
          <cell r="E23" t="str">
            <v>Lierweg</v>
          </cell>
          <cell r="F23">
            <v>20</v>
          </cell>
          <cell r="G23" t="str">
            <v>2678 CW</v>
          </cell>
          <cell r="H23" t="str">
            <v>De Lier</v>
          </cell>
          <cell r="I23" t="str">
            <v>Nederland</v>
          </cell>
          <cell r="J23" t="str">
            <v>0174-514141</v>
          </cell>
          <cell r="K23" t="str">
            <v>0174-517877</v>
          </cell>
        </row>
        <row r="24">
          <cell r="B24" t="str">
            <v>ninove</v>
          </cell>
          <cell r="D24" t="str">
            <v>Nedcoat Ninove BV</v>
          </cell>
          <cell r="E24" t="str">
            <v>Pamelstraat-Oost</v>
          </cell>
          <cell r="F24">
            <v>500</v>
          </cell>
          <cell r="G24" t="str">
            <v>B-9400</v>
          </cell>
          <cell r="H24" t="str">
            <v>Ninove</v>
          </cell>
          <cell r="I24" t="str">
            <v>Belgie</v>
          </cell>
        </row>
        <row r="25">
          <cell r="B25" t="str">
            <v>nocton</v>
          </cell>
          <cell r="D25" t="str">
            <v>Nocton LTD</v>
          </cell>
          <cell r="E25" t="str">
            <v>Lincolnshire LN</v>
          </cell>
          <cell r="F25">
            <v>4</v>
          </cell>
          <cell r="G25" t="str">
            <v>2AB</v>
          </cell>
          <cell r="H25" t="str">
            <v>Lincolnshire</v>
          </cell>
          <cell r="I25" t="str">
            <v>United Kingdom</v>
          </cell>
        </row>
        <row r="26">
          <cell r="B26" t="str">
            <v>ploeger</v>
          </cell>
          <cell r="D26" t="str">
            <v>Ploeger Logistic Services</v>
          </cell>
          <cell r="E26" t="str">
            <v>Daltonstraat</v>
          </cell>
          <cell r="F26">
            <v>13</v>
          </cell>
          <cell r="G26" t="str">
            <v>3846 BX</v>
          </cell>
          <cell r="H26" t="str">
            <v>Hardenwijk</v>
          </cell>
          <cell r="I26" t="str">
            <v>Nederland</v>
          </cell>
        </row>
        <row r="27">
          <cell r="B27" t="str">
            <v>trade parc</v>
          </cell>
          <cell r="D27" t="str">
            <v>Trade Parc Westland</v>
          </cell>
          <cell r="E27" t="str">
            <v>Venus</v>
          </cell>
          <cell r="F27" t="str">
            <v>400-499</v>
          </cell>
          <cell r="G27" t="str">
            <v>2675 ZG</v>
          </cell>
          <cell r="H27" t="str">
            <v>Honselersdijk</v>
          </cell>
          <cell r="I27" t="str">
            <v>Nederland</v>
          </cell>
        </row>
        <row r="28">
          <cell r="B28" t="str">
            <v>westerstuw</v>
          </cell>
          <cell r="D28" t="str">
            <v>Westerstuw BV</v>
          </cell>
          <cell r="E28" t="str">
            <v>Waalhaven N.Z.</v>
          </cell>
          <cell r="F28">
            <v>48</v>
          </cell>
          <cell r="G28" t="str">
            <v>3087 BL</v>
          </cell>
          <cell r="H28" t="str">
            <v>Rotterdam</v>
          </cell>
          <cell r="I28" t="str">
            <v>Nederland</v>
          </cell>
          <cell r="J28" t="str">
            <v>010-4253100</v>
          </cell>
          <cell r="K28" t="str">
            <v>010-4281376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6CBF47-9097-45A8-BFCB-BE4991F778CC}" name="Table1" displayName="Table1" ref="B1:B29" totalsRowShown="0" headerRowDxfId="5" dataDxfId="4">
  <autoFilter ref="B1:B29" xr:uid="{5F6CBF47-9097-45A8-BFCB-BE4991F778CC}"/>
  <tableColumns count="1">
    <tableColumn id="1" xr3:uid="{057712EC-4E4E-41AB-B105-410E6315AEBB}" name="DC's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9B333D-993F-4275-90AE-431848E2D6EB}" name="Table2" displayName="Table2" ref="A1:A5" totalsRowShown="0" headerRowDxfId="2" dataDxfId="1">
  <autoFilter ref="A1:A5" xr:uid="{799B333D-993F-4275-90AE-431848E2D6EB}"/>
  <tableColumns count="1">
    <tableColumn id="1" xr3:uid="{38B9B931-FA3E-4E38-A996-240FF613F9EA}" name="Fatrans Disp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4E88B-6999-4099-86B9-89E130F1D58B}">
  <sheetPr codeName="Sheet2"/>
  <dimension ref="A1:BO65"/>
  <sheetViews>
    <sheetView tabSelected="1" zoomScaleNormal="100" workbookViewId="0">
      <selection activeCell="V41" sqref="V41:Y41"/>
    </sheetView>
  </sheetViews>
  <sheetFormatPr defaultColWidth="0" defaultRowHeight="0" customHeight="1" zeroHeight="1" outlineLevelCol="1" x14ac:dyDescent="0.15"/>
  <cols>
    <col min="1" max="1" width="2" style="1" customWidth="1"/>
    <col min="2" max="6" width="2.7109375" style="1" customWidth="1"/>
    <col min="7" max="16" width="2.7109375" style="1" customWidth="1" outlineLevel="1"/>
    <col min="17" max="17" width="5" style="1" customWidth="1" outlineLevel="1"/>
    <col min="18" max="29" width="2.7109375" style="1" customWidth="1" outlineLevel="1"/>
    <col min="30" max="30" width="2" style="1" customWidth="1"/>
    <col min="31" max="32" width="2.7109375" style="1" customWidth="1"/>
    <col min="33" max="33" width="4" style="1" customWidth="1"/>
    <col min="34" max="34" width="2.7109375" style="2" customWidth="1"/>
    <col min="35" max="45" width="2.7109375" style="3" customWidth="1"/>
    <col min="46" max="55" width="2.7109375" style="1" hidden="1" customWidth="1"/>
    <col min="56" max="56" width="2.7109375" style="2" customWidth="1"/>
    <col min="57" max="16384" width="2.7109375" style="1" hidden="1"/>
  </cols>
  <sheetData>
    <row r="1" spans="1:54" ht="27.95" customHeight="1" x14ac:dyDescent="0.35">
      <c r="A1" s="10">
        <v>30</v>
      </c>
      <c r="T1" s="39" t="str">
        <f>AU21</f>
        <v/>
      </c>
      <c r="U1" s="39"/>
      <c r="V1" s="39"/>
      <c r="W1" s="39"/>
      <c r="X1" s="39"/>
      <c r="Y1" s="39"/>
      <c r="AE1" s="38"/>
      <c r="AF1" s="38"/>
      <c r="AG1" s="38"/>
      <c r="AV1" s="1">
        <v>1</v>
      </c>
    </row>
    <row r="2" spans="1:54" ht="6" hidden="1" customHeight="1" x14ac:dyDescent="0.1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</row>
    <row r="3" spans="1:54" ht="6" hidden="1" customHeight="1" x14ac:dyDescent="0.1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V3" s="57">
        <f ca="1">TODAY()</f>
        <v>46132</v>
      </c>
      <c r="AW3" s="57"/>
      <c r="AX3" s="57"/>
      <c r="AY3" s="57"/>
      <c r="AZ3" s="57"/>
      <c r="BA3" s="57"/>
      <c r="BB3" s="57"/>
    </row>
    <row r="4" spans="1:54" ht="12" customHeight="1" x14ac:dyDescent="0.15">
      <c r="A4" s="4" t="s">
        <v>23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Q4" s="40"/>
      <c r="R4" s="40"/>
      <c r="S4" s="40"/>
      <c r="T4" s="40"/>
      <c r="U4" s="40"/>
      <c r="V4" s="40"/>
      <c r="W4" s="40"/>
      <c r="X4" s="40"/>
      <c r="Y4" s="40"/>
      <c r="Z4" s="40"/>
      <c r="AA4" s="62">
        <v>711</v>
      </c>
      <c r="AB4" s="62"/>
      <c r="AC4" s="62"/>
      <c r="AD4" s="62"/>
      <c r="AE4" s="62"/>
      <c r="AF4" s="62"/>
      <c r="AG4" s="5"/>
    </row>
    <row r="5" spans="1:54" ht="12" customHeight="1" x14ac:dyDescent="0.2">
      <c r="A5" s="1" t="s">
        <v>24</v>
      </c>
      <c r="Q5" s="40"/>
      <c r="R5" s="40"/>
      <c r="S5" s="40"/>
      <c r="T5" s="40"/>
      <c r="U5" s="40"/>
      <c r="V5" s="40"/>
      <c r="W5" s="40"/>
      <c r="X5" s="40"/>
      <c r="Y5" s="40"/>
      <c r="Z5" s="40"/>
      <c r="AA5" s="62"/>
      <c r="AB5" s="62"/>
      <c r="AC5" s="62"/>
      <c r="AD5" s="62"/>
      <c r="AE5" s="62"/>
      <c r="AF5" s="62"/>
      <c r="AG5" s="5"/>
      <c r="AT5" s="6" t="s">
        <v>0</v>
      </c>
      <c r="AU5" s="46" t="s">
        <v>1</v>
      </c>
      <c r="AV5" s="46"/>
      <c r="AW5" s="46"/>
    </row>
    <row r="6" spans="1:54" ht="12" customHeight="1" x14ac:dyDescent="0.15">
      <c r="A6" s="1" t="s">
        <v>25</v>
      </c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L6" s="3" t="s">
        <v>2</v>
      </c>
    </row>
    <row r="7" spans="1:54" ht="12" customHeight="1" x14ac:dyDescent="0.15">
      <c r="A7" s="33" t="s">
        <v>26</v>
      </c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U7" s="1" t="str">
        <f>RIGHT(AA4,4)</f>
        <v>711</v>
      </c>
    </row>
    <row r="8" spans="1:54" ht="12" customHeight="1" x14ac:dyDescent="0.1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</row>
    <row r="9" spans="1:54" ht="9.9499999999999993" customHeight="1" x14ac:dyDescent="0.1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</row>
    <row r="10" spans="1:54" ht="15" customHeight="1" x14ac:dyDescent="0.15">
      <c r="A10" s="43" t="s">
        <v>60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R10" s="33" t="s">
        <v>3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U10" s="46" t="s">
        <v>4</v>
      </c>
      <c r="AV10" s="46"/>
      <c r="AW10" s="46"/>
    </row>
    <row r="11" spans="1:54" ht="12" customHeight="1" x14ac:dyDescent="0.1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R11" s="33" t="s">
        <v>5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</row>
    <row r="12" spans="1:54" ht="12" customHeight="1" x14ac:dyDescent="0.1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R12" s="33" t="s">
        <v>6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</row>
    <row r="13" spans="1:54" ht="12" customHeight="1" x14ac:dyDescent="0.1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U13" s="46" t="s">
        <v>7</v>
      </c>
      <c r="AV13" s="46"/>
      <c r="AW13" s="46"/>
    </row>
    <row r="14" spans="1:54" ht="12" customHeight="1" x14ac:dyDescent="0.1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</row>
    <row r="15" spans="1:54" ht="14.1" customHeight="1" x14ac:dyDescent="0.15">
      <c r="A15" s="33" t="s">
        <v>8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</row>
    <row r="16" spans="1:54" ht="16.5" customHeight="1" x14ac:dyDescent="0.15">
      <c r="A16" s="44" t="str">
        <f>A10</f>
        <v>Fatrans Logistics B.V.
Venrayseweg 146H
5928 RH Venlo, NL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AU16" s="8" t="s">
        <v>9</v>
      </c>
      <c r="AV16" s="8"/>
    </row>
    <row r="17" spans="1:56" ht="16.5" customHeight="1" x14ac:dyDescent="0.1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R17" s="33" t="s">
        <v>3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U17" s="8" t="s">
        <v>10</v>
      </c>
      <c r="AV17" s="8"/>
    </row>
    <row r="18" spans="1:56" ht="16.5" customHeight="1" x14ac:dyDescent="0.2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</row>
    <row r="19" spans="1:56" ht="26.25" customHeight="1" x14ac:dyDescent="0.25">
      <c r="A19" s="33"/>
      <c r="B19" s="33"/>
      <c r="C19" s="33"/>
      <c r="D19" s="33"/>
      <c r="E19" s="33"/>
      <c r="F19" s="33"/>
      <c r="G19" s="33"/>
      <c r="H19" s="33"/>
      <c r="I19" s="33"/>
      <c r="J19"/>
      <c r="K19"/>
      <c r="L19"/>
      <c r="M19"/>
      <c r="N19"/>
      <c r="O19"/>
      <c r="P19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U19" s="46" t="str">
        <f>IF(AU17="onwaar","xx","xxxx")</f>
        <v>xxxx</v>
      </c>
      <c r="AV19" s="46"/>
      <c r="AW19" s="46"/>
      <c r="AX19" s="46"/>
      <c r="AY19" s="46"/>
      <c r="AZ19" s="46"/>
      <c r="BA19" s="46"/>
      <c r="BC19" s="1" t="str">
        <f>IF(T1="XX","AVC","CMR")</f>
        <v>CMR</v>
      </c>
    </row>
    <row r="20" spans="1:56" ht="12" customHeight="1" x14ac:dyDescent="0.2">
      <c r="A20" s="34"/>
      <c r="B20" s="33"/>
      <c r="C20" s="33"/>
      <c r="D20" s="33"/>
      <c r="E20" s="33"/>
      <c r="F20" s="33"/>
      <c r="G20" s="33"/>
      <c r="H20" s="33"/>
      <c r="I20" s="33"/>
      <c r="J20" s="32"/>
      <c r="K20" s="33"/>
      <c r="L20" s="33"/>
      <c r="M20" s="33"/>
      <c r="N20" s="33"/>
      <c r="O20" s="33"/>
      <c r="P20" s="33"/>
      <c r="Q20" s="33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U20" s="46" t="str">
        <f>IF(AU19="xxxx","xxxx","")</f>
        <v>xxxx</v>
      </c>
      <c r="AV20" s="46"/>
      <c r="AW20" s="46"/>
      <c r="AX20" s="46"/>
      <c r="AY20" s="46"/>
      <c r="AZ20" s="46"/>
      <c r="BA20" s="46"/>
    </row>
    <row r="21" spans="1:56" ht="12" customHeight="1" x14ac:dyDescent="0.15">
      <c r="A21" s="33"/>
      <c r="B21" s="33"/>
      <c r="C21" s="33"/>
      <c r="D21" s="33"/>
      <c r="E21" s="33"/>
      <c r="F21" s="33"/>
      <c r="G21" s="33"/>
      <c r="H21" s="33"/>
      <c r="I21" s="33"/>
      <c r="J21" s="60"/>
      <c r="K21" s="60"/>
      <c r="L21" s="60"/>
      <c r="M21" s="60"/>
      <c r="N21" s="60"/>
      <c r="O21" s="60"/>
      <c r="P21" s="60"/>
      <c r="Q21" s="60"/>
      <c r="AU21" s="46" t="str">
        <f>IF(AU19="xx","xx","")</f>
        <v/>
      </c>
      <c r="AV21" s="46"/>
      <c r="AW21" s="46"/>
      <c r="AX21" s="46"/>
      <c r="AY21" s="46"/>
      <c r="AZ21" s="46"/>
      <c r="BA21" s="46"/>
    </row>
    <row r="22" spans="1:56" ht="12" customHeight="1" x14ac:dyDescent="0.25">
      <c r="A22" s="4"/>
      <c r="B22" s="4"/>
      <c r="C22" s="4"/>
      <c r="D22" s="4"/>
      <c r="E22" s="4"/>
      <c r="F22" s="64"/>
      <c r="G22" s="65"/>
      <c r="H22" s="65"/>
      <c r="I22" s="65"/>
      <c r="J22" s="41"/>
      <c r="K22" s="41"/>
      <c r="L22" s="41"/>
      <c r="M22" s="41"/>
      <c r="N22" s="41"/>
      <c r="O22" s="41"/>
      <c r="P22" s="41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1:56" ht="12.75" x14ac:dyDescent="0.2">
      <c r="A23" s="40"/>
      <c r="B23" s="40"/>
      <c r="C23" s="40"/>
      <c r="D23" s="40"/>
      <c r="E23" s="40"/>
      <c r="F23" s="40"/>
      <c r="G23" s="40"/>
      <c r="H23" s="40"/>
      <c r="I23" s="40"/>
      <c r="J23" s="42"/>
      <c r="K23" s="42"/>
      <c r="L23" s="42"/>
      <c r="M23" s="42"/>
      <c r="N23" s="42"/>
      <c r="O23" s="42"/>
      <c r="P23" s="42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1:56" ht="12" customHeight="1" x14ac:dyDescent="0.2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R24" s="13" t="s">
        <v>11</v>
      </c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5" spans="1:56" ht="12" customHeight="1" x14ac:dyDescent="0.2">
      <c r="A25" s="33" t="s">
        <v>12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</row>
    <row r="26" spans="1:56" ht="12" customHeight="1" x14ac:dyDescent="0.1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</row>
    <row r="27" spans="1:56" ht="12" customHeight="1" x14ac:dyDescent="0.15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U27" s="58"/>
      <c r="AV27" s="58"/>
      <c r="AW27" s="58"/>
      <c r="AX27" s="58"/>
    </row>
    <row r="28" spans="1:56" ht="9.75" customHeight="1" x14ac:dyDescent="0.1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</row>
    <row r="29" spans="1:56" s="4" customFormat="1" ht="12" customHeight="1" x14ac:dyDescent="0.15">
      <c r="A29" s="29"/>
      <c r="B29" s="29"/>
      <c r="C29" s="29"/>
      <c r="D29" s="29"/>
      <c r="E29" s="29"/>
      <c r="F29" s="61"/>
      <c r="G29" s="61"/>
      <c r="H29" s="61"/>
      <c r="I29" s="35"/>
      <c r="J29" s="35"/>
      <c r="K29" s="35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31"/>
      <c r="W29" s="31"/>
      <c r="X29" s="31"/>
      <c r="Y29" s="31"/>
      <c r="Z29" s="29"/>
      <c r="AA29" s="29"/>
      <c r="AB29" s="29"/>
      <c r="AC29" s="29"/>
      <c r="AD29" s="29"/>
      <c r="AE29" s="29"/>
      <c r="AF29" s="29"/>
      <c r="AG29" s="29"/>
      <c r="AH29" s="7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BD29" s="7"/>
    </row>
    <row r="30" spans="1:56" s="4" customFormat="1" ht="15.75" customHeight="1" x14ac:dyDescent="0.25">
      <c r="A30" s="11"/>
      <c r="B30" s="11"/>
      <c r="C30" s="63"/>
      <c r="D30" s="63"/>
      <c r="E30" s="63"/>
      <c r="F30" s="63"/>
      <c r="G30" s="63"/>
      <c r="H30" s="63"/>
      <c r="I30" s="63"/>
      <c r="J30" s="63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/>
      <c r="Y30"/>
      <c r="Z30" s="29"/>
      <c r="AA30" s="29"/>
      <c r="AB30" s="29"/>
      <c r="AC30" s="29"/>
      <c r="AD30" s="29"/>
      <c r="AE30" s="29"/>
      <c r="AF30" s="29"/>
      <c r="AG30" s="29"/>
      <c r="AH30" s="7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BD30" s="7"/>
    </row>
    <row r="31" spans="1:56" s="4" customFormat="1" ht="15.75" customHeight="1" x14ac:dyDescent="0.15">
      <c r="A31" s="11"/>
      <c r="B31" s="11"/>
      <c r="C31" s="36" t="s">
        <v>62</v>
      </c>
      <c r="D31" s="36"/>
      <c r="E31" s="36"/>
      <c r="F31" s="36"/>
      <c r="G31" s="36"/>
      <c r="H31" s="36"/>
      <c r="I31" s="36"/>
      <c r="J31" s="37"/>
      <c r="K31" s="37"/>
      <c r="L31" s="37"/>
      <c r="M31" s="37"/>
      <c r="N31" s="27"/>
      <c r="O31" s="36" t="s">
        <v>61</v>
      </c>
      <c r="P31" s="36"/>
      <c r="Q31" s="36"/>
      <c r="R31" s="36"/>
      <c r="S31" s="36"/>
      <c r="T31" s="36"/>
      <c r="U31" s="36"/>
      <c r="V31" s="37"/>
      <c r="W31" s="37"/>
      <c r="X31" s="37"/>
      <c r="Y31" s="37"/>
      <c r="Z31" s="29"/>
      <c r="AA31" s="29"/>
      <c r="AB31" s="29"/>
      <c r="AC31" s="29"/>
      <c r="AD31" s="29"/>
      <c r="AE31" s="29"/>
      <c r="AF31" s="29"/>
      <c r="AG31" s="29"/>
      <c r="AH31" s="7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BD31" s="7"/>
    </row>
    <row r="32" spans="1:56" s="4" customFormat="1" ht="15.75" customHeight="1" x14ac:dyDescent="0.15">
      <c r="A32" s="11"/>
      <c r="B32" s="11"/>
      <c r="C32" s="36"/>
      <c r="D32" s="36"/>
      <c r="E32" s="36"/>
      <c r="F32" s="36"/>
      <c r="G32" s="36"/>
      <c r="H32" s="36"/>
      <c r="I32" s="36"/>
      <c r="J32" s="37"/>
      <c r="K32" s="37"/>
      <c r="L32" s="37"/>
      <c r="M32" s="37"/>
      <c r="N32" s="28"/>
      <c r="O32" s="36"/>
      <c r="P32" s="36"/>
      <c r="Q32" s="36"/>
      <c r="R32" s="36"/>
      <c r="S32" s="36"/>
      <c r="T32" s="36"/>
      <c r="U32" s="36"/>
      <c r="V32" s="37"/>
      <c r="W32" s="37"/>
      <c r="X32" s="37"/>
      <c r="Y32" s="37"/>
      <c r="Z32" s="29"/>
      <c r="AA32" s="29"/>
      <c r="AB32" s="29"/>
      <c r="AC32" s="29"/>
      <c r="AD32" s="29"/>
      <c r="AE32" s="29"/>
      <c r="AF32" s="29"/>
      <c r="AG32" s="29"/>
      <c r="AH32" s="7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BD32" s="7"/>
    </row>
    <row r="33" spans="1:56" s="4" customFormat="1" ht="15.75" customHeight="1" x14ac:dyDescent="0.25">
      <c r="A33" s="11"/>
      <c r="B33" s="17"/>
      <c r="C33" s="36"/>
      <c r="D33" s="36"/>
      <c r="E33" s="36"/>
      <c r="F33" s="36"/>
      <c r="G33" s="36"/>
      <c r="H33" s="36"/>
      <c r="I33" s="36"/>
      <c r="J33" s="37"/>
      <c r="K33" s="37"/>
      <c r="L33" s="37"/>
      <c r="M33" s="37"/>
      <c r="N33" s="28"/>
      <c r="O33" s="36"/>
      <c r="P33" s="36"/>
      <c r="Q33" s="36"/>
      <c r="R33" s="36"/>
      <c r="S33" s="36"/>
      <c r="T33" s="36"/>
      <c r="U33" s="36"/>
      <c r="V33" s="37"/>
      <c r="W33" s="37"/>
      <c r="X33" s="37"/>
      <c r="Y33" s="37"/>
      <c r="Z33" s="20"/>
      <c r="AA33" s="19"/>
      <c r="AB33" s="11"/>
      <c r="AC33" s="11"/>
      <c r="AD33" s="29"/>
      <c r="AE33" s="29"/>
      <c r="AF33" s="29"/>
      <c r="AG33" s="29"/>
      <c r="AH33" s="7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BD33" s="7"/>
    </row>
    <row r="34" spans="1:56" s="4" customFormat="1" ht="15.75" customHeight="1" x14ac:dyDescent="0.25">
      <c r="A34" s="11"/>
      <c r="B34" s="17"/>
      <c r="C34" s="15"/>
      <c r="D34" s="16"/>
      <c r="E34" s="16"/>
      <c r="F34" s="16"/>
      <c r="G34" s="16"/>
      <c r="H34" s="26"/>
      <c r="I34" s="26"/>
      <c r="J34" s="26"/>
      <c r="K34" s="18"/>
      <c r="L34" s="18"/>
      <c r="M34" s="18"/>
      <c r="N34" s="16"/>
      <c r="O34" s="16"/>
      <c r="P34" s="16"/>
      <c r="Q34" s="21"/>
      <c r="R34" s="20"/>
      <c r="S34" s="20"/>
      <c r="T34" s="20"/>
      <c r="U34" s="26"/>
      <c r="V34" s="26"/>
      <c r="W34" s="26"/>
      <c r="X34" s="20"/>
      <c r="Y34" s="20"/>
      <c r="Z34" s="29"/>
      <c r="AA34" s="29"/>
      <c r="AB34" s="29"/>
      <c r="AC34" s="29"/>
      <c r="AD34" s="29"/>
      <c r="AE34" s="29"/>
      <c r="AF34" s="29"/>
      <c r="AG34" s="29"/>
      <c r="AH34" s="7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BD34" s="7"/>
    </row>
    <row r="35" spans="1:56" s="4" customFormat="1" ht="15.75" customHeight="1" x14ac:dyDescent="0.15">
      <c r="A35" s="11"/>
      <c r="B35" s="17"/>
      <c r="C35" s="56" t="s">
        <v>13</v>
      </c>
      <c r="D35" s="56"/>
      <c r="E35" s="56"/>
      <c r="F35" s="56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11"/>
      <c r="AF35" s="11"/>
      <c r="AG35" s="11"/>
      <c r="AH35" s="7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BD35" s="7"/>
    </row>
    <row r="36" spans="1:56" s="4" customFormat="1" ht="15.75" customHeight="1" x14ac:dyDescent="0.15">
      <c r="A36" s="11"/>
      <c r="B36" s="11"/>
      <c r="C36" s="56"/>
      <c r="D36" s="56"/>
      <c r="E36" s="56"/>
      <c r="F36" s="56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11"/>
      <c r="AF36" s="11"/>
      <c r="AG36" s="11"/>
      <c r="AH36" s="7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BD36" s="7"/>
    </row>
    <row r="37" spans="1:56" s="4" customFormat="1" ht="15.75" customHeight="1" x14ac:dyDescent="0.15">
      <c r="A37" s="11"/>
      <c r="B37" s="11"/>
      <c r="C37" s="56"/>
      <c r="D37" s="56"/>
      <c r="E37" s="56"/>
      <c r="F37" s="56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11"/>
      <c r="AF37" s="11"/>
      <c r="AG37" s="11"/>
      <c r="AH37" s="7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BD37" s="7"/>
    </row>
    <row r="38" spans="1:56" s="4" customFormat="1" ht="12" customHeight="1" x14ac:dyDescent="0.15">
      <c r="C38" s="56"/>
      <c r="D38" s="56"/>
      <c r="E38" s="56"/>
      <c r="F38" s="56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11"/>
      <c r="AF38" s="11"/>
      <c r="AG38" s="11"/>
      <c r="AH38" s="7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BD38" s="7"/>
    </row>
    <row r="39" spans="1:56" s="4" customFormat="1" ht="12" customHeight="1" x14ac:dyDescent="0.15">
      <c r="A39" s="11"/>
      <c r="B39" s="11"/>
      <c r="C39" s="56"/>
      <c r="D39" s="56"/>
      <c r="E39" s="56"/>
      <c r="F39" s="56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11"/>
      <c r="AF39" s="11"/>
      <c r="AG39" s="11"/>
      <c r="AH39" s="7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BD39" s="7"/>
    </row>
    <row r="40" spans="1:56" s="4" customFormat="1" ht="15.75" customHeight="1" x14ac:dyDescent="0.15">
      <c r="A40" s="11"/>
      <c r="B40" s="11"/>
      <c r="C40" s="56"/>
      <c r="D40" s="56"/>
      <c r="E40" s="56"/>
      <c r="F40" s="56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11"/>
      <c r="AF40" s="11"/>
      <c r="AG40" s="11"/>
      <c r="AH40" s="7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BD40" s="7"/>
    </row>
    <row r="41" spans="1:56" s="4" customFormat="1" ht="12" customHeight="1" x14ac:dyDescent="0.1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31"/>
      <c r="W41" s="31"/>
      <c r="X41" s="31"/>
      <c r="Y41" s="31"/>
      <c r="Z41" s="29"/>
      <c r="AA41" s="29"/>
      <c r="AB41" s="29"/>
      <c r="AC41" s="29"/>
      <c r="AD41" s="29"/>
      <c r="AE41" s="29"/>
      <c r="AF41" s="29"/>
      <c r="AG41" s="29"/>
      <c r="AH41" s="7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BD41" s="7"/>
    </row>
    <row r="42" spans="1:56" ht="9.9499999999999993" customHeight="1" x14ac:dyDescent="0.1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</row>
    <row r="43" spans="1:56" ht="12" customHeight="1" x14ac:dyDescent="0.1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</row>
    <row r="44" spans="1:56" ht="12" customHeight="1" x14ac:dyDescent="0.1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</row>
    <row r="45" spans="1:56" ht="9.9499999999999993" customHeight="1" x14ac:dyDescent="0.1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</row>
    <row r="46" spans="1:56" ht="12" customHeight="1" x14ac:dyDescent="0.1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47" t="s">
        <v>14</v>
      </c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</row>
    <row r="47" spans="1:56" ht="12" customHeight="1" x14ac:dyDescent="0.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33"/>
      <c r="R47" s="47" t="s">
        <v>15</v>
      </c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56" ht="12" customHeight="1" x14ac:dyDescent="0.1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33"/>
      <c r="R48" s="47" t="s">
        <v>16</v>
      </c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</row>
    <row r="49" spans="1:67" ht="12" customHeight="1" x14ac:dyDescent="0.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</row>
    <row r="50" spans="1:67" ht="12" customHeight="1" x14ac:dyDescent="0.1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</row>
    <row r="51" spans="1:67" ht="12" customHeight="1" x14ac:dyDescent="0.1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</row>
    <row r="52" spans="1:67" ht="12" customHeight="1" x14ac:dyDescent="0.1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</row>
    <row r="53" spans="1:67" ht="12" customHeight="1" x14ac:dyDescent="0.1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</row>
    <row r="54" spans="1:67" ht="12" customHeight="1" x14ac:dyDescent="0.15">
      <c r="A54" s="4"/>
      <c r="B54" s="4"/>
      <c r="C54" s="4"/>
      <c r="D54" s="4"/>
      <c r="E54" s="40" t="s">
        <v>8</v>
      </c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2" t="s">
        <v>17</v>
      </c>
    </row>
    <row r="55" spans="1:67" ht="7.5" customHeight="1" x14ac:dyDescent="0.15">
      <c r="A55" s="4"/>
      <c r="B55" s="4"/>
      <c r="C55" s="4"/>
      <c r="D55" s="4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</row>
    <row r="56" spans="1:67" ht="10.5" customHeight="1" x14ac:dyDescent="0.15">
      <c r="A56" s="4"/>
      <c r="C56" s="4"/>
      <c r="D56" s="4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U56" s="1" t="s">
        <v>9</v>
      </c>
    </row>
    <row r="57" spans="1:67" ht="12" customHeight="1" x14ac:dyDescent="0.15">
      <c r="A57" s="4" t="str">
        <f>AU60</f>
        <v/>
      </c>
      <c r="C57" s="4"/>
      <c r="D57" s="4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U57" s="1" t="s">
        <v>18</v>
      </c>
    </row>
    <row r="58" spans="1:67" ht="3.6" customHeight="1" x14ac:dyDescent="0.15">
      <c r="A58" s="33" t="s">
        <v>19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</row>
    <row r="59" spans="1:67" ht="21.95" customHeight="1" x14ac:dyDescent="0.15">
      <c r="A59" s="54"/>
      <c r="B59" s="45"/>
      <c r="C59" s="45"/>
      <c r="D59" s="45"/>
      <c r="E59" s="45"/>
      <c r="F59" s="45"/>
      <c r="G59" s="45"/>
      <c r="H59" s="45"/>
      <c r="I59" s="45"/>
      <c r="J59" s="53">
        <f ca="1">TODAY()+1</f>
        <v>46133</v>
      </c>
      <c r="K59" s="53"/>
      <c r="L59" s="53"/>
      <c r="M59" s="53"/>
      <c r="N59" s="53"/>
      <c r="O59" s="53"/>
      <c r="P59" s="53"/>
      <c r="Q59" s="53"/>
      <c r="R59" s="33" t="s">
        <v>8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U59" s="46" t="str">
        <f>IF(AU57="onwaar","X","")</f>
        <v>X</v>
      </c>
      <c r="AV59" s="46"/>
      <c r="AW59" s="46"/>
      <c r="AX59" s="46"/>
      <c r="AY59" s="46"/>
      <c r="AZ59" s="46"/>
      <c r="BA59" s="46"/>
    </row>
    <row r="60" spans="1:67" ht="12" customHeight="1" x14ac:dyDescent="0.1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U60" s="46" t="str">
        <f>IF(AU57="waar","X","")</f>
        <v/>
      </c>
      <c r="AV60" s="46"/>
      <c r="AW60" s="46"/>
      <c r="AX60" s="46"/>
      <c r="AY60" s="46"/>
      <c r="AZ60" s="46"/>
      <c r="BA60" s="46"/>
    </row>
    <row r="61" spans="1:67" ht="6" customHeight="1" x14ac:dyDescent="0.1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U61" s="8"/>
    </row>
    <row r="62" spans="1:67" ht="12" customHeight="1" x14ac:dyDescent="0.25">
      <c r="A62" s="4" t="str">
        <f>A4</f>
        <v>Hessing Greenport Venlo B.V.</v>
      </c>
      <c r="C62" s="4"/>
      <c r="D62" s="4"/>
      <c r="E62" s="4"/>
      <c r="F62" s="4"/>
      <c r="G62" s="4"/>
      <c r="H62" s="4"/>
      <c r="I62" s="4"/>
      <c r="J62" s="4"/>
      <c r="M62" s="48" t="s">
        <v>3</v>
      </c>
      <c r="N62" s="48"/>
      <c r="O62" s="48"/>
      <c r="P62" s="48"/>
      <c r="Q62" s="48"/>
      <c r="R62" s="48"/>
      <c r="S62" s="48"/>
      <c r="T62" s="48"/>
      <c r="U62" s="48"/>
      <c r="V62" s="48"/>
      <c r="W62" s="14"/>
      <c r="X62"/>
      <c r="Y62"/>
      <c r="Z62"/>
      <c r="AA62"/>
      <c r="AB62"/>
      <c r="AC62" s="49"/>
      <c r="AD62" s="50"/>
      <c r="AE62" s="50"/>
      <c r="AF62" s="50"/>
      <c r="AG62" s="50"/>
      <c r="AU62" s="8"/>
    </row>
    <row r="63" spans="1:67" ht="12" customHeight="1" x14ac:dyDescent="0.15">
      <c r="A63" s="33" t="str">
        <f>A5</f>
        <v>Maarten de Vriesstraat</v>
      </c>
      <c r="B63" s="33"/>
      <c r="C63" s="33"/>
      <c r="D63" s="33"/>
      <c r="E63" s="33"/>
      <c r="F63" s="33"/>
      <c r="G63" s="33"/>
      <c r="H63" s="33"/>
      <c r="I63" s="33"/>
      <c r="J63" s="33"/>
      <c r="L63" s="4"/>
      <c r="M63" s="32">
        <f ca="1">TODAY()</f>
        <v>46132</v>
      </c>
      <c r="N63" s="33"/>
      <c r="O63" s="33"/>
      <c r="P63" s="33"/>
      <c r="Q63" s="33"/>
      <c r="R63" s="33"/>
      <c r="S63" s="33"/>
      <c r="T63" s="33"/>
      <c r="U63" s="33"/>
      <c r="V63" s="33"/>
      <c r="AU63" s="40"/>
      <c r="AV63" s="40"/>
      <c r="AW63" s="40"/>
      <c r="AX63" s="40"/>
      <c r="AZ63" s="33" t="s">
        <v>20</v>
      </c>
      <c r="BA63" s="33"/>
      <c r="BB63" s="33"/>
      <c r="BC63" s="33"/>
    </row>
    <row r="64" spans="1:67" ht="12" customHeight="1" x14ac:dyDescent="0.25">
      <c r="A64" s="33" t="str">
        <f>A6</f>
        <v>5975 RW Sevenum</v>
      </c>
      <c r="B64" s="33"/>
      <c r="C64" s="33"/>
      <c r="D64" s="33"/>
      <c r="E64" s="33"/>
      <c r="F64" s="33"/>
      <c r="G64" s="33"/>
      <c r="H64" s="33"/>
      <c r="I64" s="33"/>
      <c r="J64" s="33"/>
      <c r="L64" s="4"/>
      <c r="M64" s="48"/>
      <c r="N64" s="48"/>
      <c r="O64" s="48"/>
      <c r="P64" s="48"/>
      <c r="Q64" s="48"/>
      <c r="R64" s="48"/>
      <c r="S64" s="48"/>
      <c r="T64" s="48"/>
      <c r="U64" s="48"/>
      <c r="V64" s="48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U64" s="46"/>
      <c r="AV64" s="46"/>
      <c r="AW64" s="46"/>
      <c r="AX64" s="46"/>
      <c r="AZ64" s="33" t="s">
        <v>21</v>
      </c>
      <c r="BA64" s="33"/>
      <c r="BB64" s="33"/>
      <c r="BC64" s="33"/>
      <c r="BO64" s="1" t="s">
        <v>22</v>
      </c>
    </row>
    <row r="65" spans="1:33" ht="9.75" customHeight="1" x14ac:dyDescent="0.25">
      <c r="A65" s="33" t="str">
        <f>A7</f>
        <v>Netherlands</v>
      </c>
      <c r="B65" s="33"/>
      <c r="C65" s="33"/>
      <c r="D65" s="33"/>
      <c r="E65" s="33"/>
      <c r="F65" s="33"/>
      <c r="G65" s="33"/>
      <c r="H65" s="33"/>
      <c r="I65" s="33"/>
      <c r="J65" s="33"/>
      <c r="L65" s="4"/>
      <c r="M65" s="48"/>
      <c r="N65" s="48"/>
      <c r="O65" s="48"/>
      <c r="P65" s="48"/>
      <c r="Q65" s="48"/>
      <c r="R65" s="48"/>
      <c r="S65" s="48"/>
      <c r="T65" s="48"/>
      <c r="U65" s="48"/>
      <c r="V65" s="48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</sheetData>
  <sheetProtection selectLockedCells="1" selectUnlockedCells="1"/>
  <dataConsolidate/>
  <mergeCells count="112">
    <mergeCell ref="I41:K41"/>
    <mergeCell ref="Z29:AC29"/>
    <mergeCell ref="C35:F40"/>
    <mergeCell ref="A15:AG15"/>
    <mergeCell ref="AV3:BB3"/>
    <mergeCell ref="AU27:AX27"/>
    <mergeCell ref="AU13:AW13"/>
    <mergeCell ref="AU19:BA19"/>
    <mergeCell ref="AU20:BA20"/>
    <mergeCell ref="AD33:AG33"/>
    <mergeCell ref="AU21:BA21"/>
    <mergeCell ref="AU5:AW5"/>
    <mergeCell ref="A26:AG27"/>
    <mergeCell ref="J21:Q21"/>
    <mergeCell ref="AU10:AW10"/>
    <mergeCell ref="F29:H29"/>
    <mergeCell ref="AA4:AF5"/>
    <mergeCell ref="A25:P25"/>
    <mergeCell ref="R17:AG17"/>
    <mergeCell ref="R13:AG13"/>
    <mergeCell ref="Q14:AG14"/>
    <mergeCell ref="C30:J30"/>
    <mergeCell ref="F22:I22"/>
    <mergeCell ref="A23:I23"/>
    <mergeCell ref="M65:V65"/>
    <mergeCell ref="AC62:AG62"/>
    <mergeCell ref="A63:J63"/>
    <mergeCell ref="R49:AG49"/>
    <mergeCell ref="AD30:AG30"/>
    <mergeCell ref="A49:P49"/>
    <mergeCell ref="A50:P50"/>
    <mergeCell ref="A47:P47"/>
    <mergeCell ref="A65:J65"/>
    <mergeCell ref="A51:P51"/>
    <mergeCell ref="V41:Y41"/>
    <mergeCell ref="Z41:AC41"/>
    <mergeCell ref="Q45:Q49"/>
    <mergeCell ref="Q50:AG53"/>
    <mergeCell ref="A48:P48"/>
    <mergeCell ref="R45:AG45"/>
    <mergeCell ref="J59:Q59"/>
    <mergeCell ref="M63:V63"/>
    <mergeCell ref="R47:AG47"/>
    <mergeCell ref="A59:I59"/>
    <mergeCell ref="Z34:AC34"/>
    <mergeCell ref="AD34:AG34"/>
    <mergeCell ref="G35:AD40"/>
    <mergeCell ref="A41:E41"/>
    <mergeCell ref="AZ64:BC64"/>
    <mergeCell ref="AU59:BA59"/>
    <mergeCell ref="AU60:BA60"/>
    <mergeCell ref="AU63:AX63"/>
    <mergeCell ref="AU64:AX64"/>
    <mergeCell ref="AD41:AG41"/>
    <mergeCell ref="AZ63:BC63"/>
    <mergeCell ref="R48:AG48"/>
    <mergeCell ref="L41:U41"/>
    <mergeCell ref="M64:V64"/>
    <mergeCell ref="A53:P53"/>
    <mergeCell ref="AB58:AG58"/>
    <mergeCell ref="R46:AG46"/>
    <mergeCell ref="A64:J64"/>
    <mergeCell ref="M62:V62"/>
    <mergeCell ref="R59:AG59"/>
    <mergeCell ref="A45:P45"/>
    <mergeCell ref="F41:H41"/>
    <mergeCell ref="A42:AG44"/>
    <mergeCell ref="E54:AG57"/>
    <mergeCell ref="A58:AA58"/>
    <mergeCell ref="A52:P52"/>
    <mergeCell ref="A60:AG61"/>
    <mergeCell ref="A46:P46"/>
    <mergeCell ref="AE1:AG1"/>
    <mergeCell ref="V1:Y1"/>
    <mergeCell ref="R10:AG10"/>
    <mergeCell ref="R11:AG11"/>
    <mergeCell ref="R12:AG12"/>
    <mergeCell ref="AD31:AG31"/>
    <mergeCell ref="T1:U1"/>
    <mergeCell ref="A2:AG3"/>
    <mergeCell ref="Q6:AG9"/>
    <mergeCell ref="Z31:AC31"/>
    <mergeCell ref="A9:P9"/>
    <mergeCell ref="V29:Y29"/>
    <mergeCell ref="Q4:Z5"/>
    <mergeCell ref="A7:P7"/>
    <mergeCell ref="A24:P24"/>
    <mergeCell ref="A8:P8"/>
    <mergeCell ref="A19:I19"/>
    <mergeCell ref="A14:P14"/>
    <mergeCell ref="A13:P13"/>
    <mergeCell ref="J22:P23"/>
    <mergeCell ref="R19:AG19"/>
    <mergeCell ref="A10:P12"/>
    <mergeCell ref="A16:P18"/>
    <mergeCell ref="O31:U33"/>
    <mergeCell ref="A29:E29"/>
    <mergeCell ref="R18:AG18"/>
    <mergeCell ref="A28:AG28"/>
    <mergeCell ref="AD29:AG29"/>
    <mergeCell ref="J20:Q20"/>
    <mergeCell ref="Z32:AC32"/>
    <mergeCell ref="AD32:AG32"/>
    <mergeCell ref="A20:I20"/>
    <mergeCell ref="A21:I21"/>
    <mergeCell ref="R20:AG20"/>
    <mergeCell ref="I29:K29"/>
    <mergeCell ref="Z30:AC30"/>
    <mergeCell ref="L29:U29"/>
    <mergeCell ref="C31:I33"/>
    <mergeCell ref="J31:M33"/>
    <mergeCell ref="V31:Y33"/>
  </mergeCells>
  <phoneticPr fontId="2" type="noConversion"/>
  <pageMargins left="0.87" right="0.27559055118110237" top="7.874015748031496E-2" bottom="0.23622047244094491" header="0" footer="0"/>
  <pageSetup paperSize="9" orientation="portrait" copies="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35</xdr:col>
                <xdr:colOff>47625</xdr:colOff>
                <xdr:row>3</xdr:row>
                <xdr:rowOff>0</xdr:rowOff>
              </from>
              <to>
                <xdr:col>40</xdr:col>
                <xdr:colOff>57150</xdr:colOff>
                <xdr:row>5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8E9713-688A-4AAF-A319-8D2B42BF7BC3}">
          <x14:formula1>
            <xm:f>DATA!$A$2:$A$5</xm:f>
          </x14:formula1>
          <xm:sqref>A10:P12</xm:sqref>
        </x14:dataValidation>
        <x14:dataValidation type="list" allowBlank="1" showInputMessage="1" showErrorMessage="1" xr:uid="{D413EF33-98CC-40A4-875E-C727CBD2D968}">
          <x14:formula1>
            <xm:f>DATA!$B$2:$B$29</xm:f>
          </x14:formula1>
          <xm:sqref>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AEEC-AEA7-4E32-BB85-4CB702DD1563}">
  <sheetPr codeName="Sheet1"/>
  <dimension ref="A1:F48"/>
  <sheetViews>
    <sheetView workbookViewId="0">
      <selection activeCell="A6" sqref="A6"/>
    </sheetView>
  </sheetViews>
  <sheetFormatPr defaultRowHeight="15.75" x14ac:dyDescent="0.25"/>
  <cols>
    <col min="1" max="1" width="28.85546875" style="22" bestFit="1" customWidth="1"/>
    <col min="2" max="2" width="22.5703125" style="22" bestFit="1" customWidth="1"/>
    <col min="3" max="16384" width="9.140625" style="22"/>
  </cols>
  <sheetData>
    <row r="1" spans="1:6" x14ac:dyDescent="0.25">
      <c r="A1" s="22" t="s">
        <v>27</v>
      </c>
      <c r="B1" s="22" t="s">
        <v>28</v>
      </c>
    </row>
    <row r="2" spans="1:6" s="23" customFormat="1" ht="47.25" x14ac:dyDescent="0.25">
      <c r="A2" s="25" t="s">
        <v>57</v>
      </c>
      <c r="B2" s="23" t="s">
        <v>29</v>
      </c>
    </row>
    <row r="3" spans="1:6" s="23" customFormat="1" ht="47.25" x14ac:dyDescent="0.25">
      <c r="A3" s="25" t="s">
        <v>59</v>
      </c>
      <c r="B3" s="23" t="s">
        <v>30</v>
      </c>
    </row>
    <row r="4" spans="1:6" s="23" customFormat="1" ht="47.25" x14ac:dyDescent="0.25">
      <c r="A4" s="25" t="s">
        <v>58</v>
      </c>
      <c r="B4" s="23" t="s">
        <v>31</v>
      </c>
    </row>
    <row r="5" spans="1:6" s="23" customFormat="1" ht="47.25" x14ac:dyDescent="0.25">
      <c r="A5" s="25" t="s">
        <v>60</v>
      </c>
      <c r="B5" s="23" t="s">
        <v>32</v>
      </c>
    </row>
    <row r="6" spans="1:6" s="23" customFormat="1" x14ac:dyDescent="0.25">
      <c r="B6" s="23" t="s">
        <v>33</v>
      </c>
    </row>
    <row r="7" spans="1:6" s="23" customFormat="1" x14ac:dyDescent="0.25">
      <c r="B7" s="23" t="s">
        <v>34</v>
      </c>
    </row>
    <row r="8" spans="1:6" s="23" customFormat="1" x14ac:dyDescent="0.25">
      <c r="B8" s="23" t="s">
        <v>35</v>
      </c>
      <c r="F8" s="24"/>
    </row>
    <row r="9" spans="1:6" s="23" customFormat="1" x14ac:dyDescent="0.25">
      <c r="B9" s="23" t="s">
        <v>36</v>
      </c>
    </row>
    <row r="10" spans="1:6" s="23" customFormat="1" x14ac:dyDescent="0.25">
      <c r="B10" s="23" t="s">
        <v>37</v>
      </c>
    </row>
    <row r="11" spans="1:6" s="23" customFormat="1" x14ac:dyDescent="0.25">
      <c r="B11" s="23" t="s">
        <v>38</v>
      </c>
    </row>
    <row r="12" spans="1:6" s="23" customFormat="1" x14ac:dyDescent="0.25">
      <c r="B12" s="23" t="s">
        <v>39</v>
      </c>
    </row>
    <row r="13" spans="1:6" s="23" customFormat="1" x14ac:dyDescent="0.25">
      <c r="B13" s="23" t="s">
        <v>40</v>
      </c>
    </row>
    <row r="14" spans="1:6" s="23" customFormat="1" x14ac:dyDescent="0.25">
      <c r="B14" s="23" t="s">
        <v>41</v>
      </c>
    </row>
    <row r="15" spans="1:6" s="23" customFormat="1" x14ac:dyDescent="0.25">
      <c r="B15" s="23" t="s">
        <v>42</v>
      </c>
    </row>
    <row r="16" spans="1:6" s="23" customFormat="1" x14ac:dyDescent="0.25">
      <c r="B16" s="23" t="s">
        <v>43</v>
      </c>
    </row>
    <row r="17" spans="2:2" s="23" customFormat="1" x14ac:dyDescent="0.25">
      <c r="B17" s="23" t="s">
        <v>44</v>
      </c>
    </row>
    <row r="18" spans="2:2" s="23" customFormat="1" x14ac:dyDescent="0.25">
      <c r="B18" s="23" t="s">
        <v>45</v>
      </c>
    </row>
    <row r="19" spans="2:2" s="23" customFormat="1" x14ac:dyDescent="0.25">
      <c r="B19" s="23" t="s">
        <v>46</v>
      </c>
    </row>
    <row r="20" spans="2:2" s="23" customFormat="1" x14ac:dyDescent="0.25">
      <c r="B20" s="23" t="s">
        <v>47</v>
      </c>
    </row>
    <row r="21" spans="2:2" s="23" customFormat="1" x14ac:dyDescent="0.25">
      <c r="B21" s="23" t="s">
        <v>48</v>
      </c>
    </row>
    <row r="22" spans="2:2" s="23" customFormat="1" x14ac:dyDescent="0.25">
      <c r="B22" s="23" t="s">
        <v>49</v>
      </c>
    </row>
    <row r="23" spans="2:2" s="23" customFormat="1" x14ac:dyDescent="0.25">
      <c r="B23" s="23" t="s">
        <v>50</v>
      </c>
    </row>
    <row r="24" spans="2:2" s="23" customFormat="1" x14ac:dyDescent="0.25">
      <c r="B24" s="23" t="s">
        <v>51</v>
      </c>
    </row>
    <row r="25" spans="2:2" s="23" customFormat="1" x14ac:dyDescent="0.25">
      <c r="B25" s="23" t="s">
        <v>52</v>
      </c>
    </row>
    <row r="26" spans="2:2" s="23" customFormat="1" x14ac:dyDescent="0.25">
      <c r="B26" s="23" t="s">
        <v>53</v>
      </c>
    </row>
    <row r="27" spans="2:2" s="23" customFormat="1" x14ac:dyDescent="0.25">
      <c r="B27" s="23" t="s">
        <v>54</v>
      </c>
    </row>
    <row r="28" spans="2:2" s="23" customFormat="1" x14ac:dyDescent="0.25">
      <c r="B28" s="23" t="s">
        <v>55</v>
      </c>
    </row>
    <row r="29" spans="2:2" s="23" customFormat="1" x14ac:dyDescent="0.25">
      <c r="B29" s="23" t="s">
        <v>56</v>
      </c>
    </row>
    <row r="30" spans="2:2" s="23" customFormat="1" x14ac:dyDescent="0.25"/>
    <row r="31" spans="2:2" s="23" customFormat="1" x14ac:dyDescent="0.25"/>
    <row r="32" spans="2: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Props1.xml><?xml version="1.0" encoding="utf-8"?>
<ds:datastoreItem xmlns:ds="http://schemas.openxmlformats.org/officeDocument/2006/customXml" ds:itemID="{D761C8C9-095B-4E43-93C5-7AD4A65F83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9B4689-DA86-4CE5-92C5-DC85CBC637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75C557-7C5D-4AE4-9E5C-4B96E5A23BAE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CMR</vt:lpstr>
      <vt:lpstr>DATA</vt:lpstr>
      <vt:lpstr>CMR!Print_Area</vt:lpstr>
      <vt:lpstr>DATA!Shops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Bergjes</dc:creator>
  <cp:keywords/>
  <dc:description/>
  <cp:lastModifiedBy>Expeditie Venlo</cp:lastModifiedBy>
  <cp:revision/>
  <cp:lastPrinted>2026-04-20T18:58:00Z</cp:lastPrinted>
  <dcterms:created xsi:type="dcterms:W3CDTF">2009-08-14T16:35:50Z</dcterms:created>
  <dcterms:modified xsi:type="dcterms:W3CDTF">2026-04-20T18:58:00Z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