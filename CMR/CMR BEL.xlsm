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407" documentId="13_ncr:1_{510C1DF1-4FCF-406B-A88B-B72050943AFA}" xr6:coauthVersionLast="47" xr6:coauthVersionMax="47" xr10:uidLastSave="{93651428-F4FC-4D20-B2D0-86EEB1DCCC53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CMR!$A$1:$AF$74</definedName>
    <definedName name="_xlnm.Print_Area" localSheetId="3">'CMR - print Blanco'!$A$1:$AQ$97</definedName>
    <definedName name="Query_van_FOODMAASBREE" localSheetId="2" hidden="1">'GEGEVENS FOOD'!$A$4:$O$332</definedName>
    <definedName name="verpakking">Others!$I$2:$I$5</definedName>
    <definedName name="Vervoerder">Vervoerder!$A$2:$A$12</definedName>
    <definedName name="Z_0FD69B58_EF51_4C18_B4D6_31C971A37616_.wvu.PrintArea" localSheetId="1" hidden="1">CMR!$A$1:$AF$74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CMR!$A$1:$AF$74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CMR!$A$1:$AF$74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CMR!$C$1:$AF$74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CMR!$C$1:$AF$74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" l="1"/>
  <c r="C26" i="1"/>
  <c r="G68" i="1"/>
  <c r="C69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Q5" i="10"/>
  <c r="B5" i="10" s="1"/>
  <c r="Q6" i="10"/>
  <c r="B6" i="10" s="1"/>
  <c r="Q8" i="10"/>
  <c r="Q10" i="10"/>
  <c r="B10" i="10" s="1"/>
  <c r="Q11" i="10"/>
  <c r="B11" i="10" s="1"/>
  <c r="Q14" i="10"/>
  <c r="B14" i="10" s="1"/>
  <c r="Q16" i="10"/>
  <c r="Q18" i="10"/>
  <c r="B18" i="10" s="1"/>
  <c r="Q20" i="10"/>
  <c r="B20" i="10" s="1"/>
  <c r="Q25" i="10"/>
  <c r="B25" i="10" s="1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2" i="10"/>
  <c r="B82" i="10" s="1"/>
  <c r="Q85" i="10"/>
  <c r="B85" i="10" s="1"/>
  <c r="Q87" i="10"/>
  <c r="B87" i="10" s="1"/>
  <c r="Q89" i="10"/>
  <c r="B89" i="10" s="1"/>
  <c r="Q90" i="10"/>
  <c r="B90" i="10" s="1"/>
  <c r="Q91" i="10"/>
  <c r="B91" i="10" s="1"/>
  <c r="Q94" i="10"/>
  <c r="B94" i="10" s="1"/>
  <c r="Q96" i="10"/>
  <c r="B96" i="10" s="1"/>
  <c r="Q97" i="10"/>
  <c r="B97" i="10" s="1"/>
  <c r="Q100" i="10"/>
  <c r="B100" i="10" s="1"/>
  <c r="Q103" i="10"/>
  <c r="B103" i="10" s="1"/>
  <c r="Q109" i="10"/>
  <c r="B109" i="10" s="1"/>
  <c r="Q110" i="10"/>
  <c r="B110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3" i="10"/>
  <c r="B173" i="10" s="1"/>
  <c r="Q177" i="10"/>
  <c r="B177" i="10" s="1"/>
  <c r="Q178" i="10"/>
  <c r="B178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6" i="10"/>
  <c r="B206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7" i="10"/>
  <c r="B217" i="10" s="1"/>
  <c r="Q218" i="10"/>
  <c r="B218" i="10" s="1"/>
  <c r="Q221" i="10"/>
  <c r="B221" i="10" s="1"/>
  <c r="Q225" i="10"/>
  <c r="B225" i="10" s="1"/>
  <c r="Q228" i="10"/>
  <c r="B228" i="10" s="1"/>
  <c r="Q229" i="10"/>
  <c r="B229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58" i="10"/>
  <c r="B258" i="10" s="1"/>
  <c r="Q261" i="10"/>
  <c r="B261" i="10" s="1"/>
  <c r="Q264" i="10"/>
  <c r="B264" i="10" s="1"/>
  <c r="Q268" i="10"/>
  <c r="B268" i="10" s="1"/>
  <c r="Q269" i="10"/>
  <c r="B269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2" i="10"/>
  <c r="B282" i="10" s="1"/>
  <c r="Q283" i="10"/>
  <c r="B283" i="10" s="1"/>
  <c r="Q285" i="10"/>
  <c r="B285" i="10" s="1"/>
  <c r="Q286" i="10"/>
  <c r="B286" i="10" s="1"/>
  <c r="Q288" i="10"/>
  <c r="B288" i="10" s="1"/>
  <c r="Q289" i="10"/>
  <c r="B289" i="10" s="1"/>
  <c r="Q292" i="10"/>
  <c r="B292" i="10" s="1"/>
  <c r="Q295" i="10"/>
  <c r="B295" i="10" s="1"/>
  <c r="Q298" i="10"/>
  <c r="B298" i="10" s="1"/>
  <c r="Q301" i="10"/>
  <c r="B301" i="10" s="1"/>
  <c r="Q302" i="10"/>
  <c r="B302" i="10" s="1"/>
  <c r="Q304" i="10"/>
  <c r="B304" i="10" s="1"/>
  <c r="Q305" i="10"/>
  <c r="B305" i="10" s="1"/>
  <c r="Q308" i="10"/>
  <c r="B308" i="10" s="1"/>
  <c r="Q309" i="10"/>
  <c r="B309" i="10" s="1"/>
  <c r="Q310" i="10"/>
  <c r="B310" i="10" s="1"/>
  <c r="Q311" i="10"/>
  <c r="B311" i="10" s="1"/>
  <c r="Q313" i="10"/>
  <c r="B313" i="10" s="1"/>
  <c r="Q315" i="10"/>
  <c r="B315" i="10" s="1"/>
  <c r="Q317" i="10"/>
  <c r="B317" i="10" s="1"/>
  <c r="Q321" i="10"/>
  <c r="B321" i="10" s="1"/>
  <c r="Q324" i="10"/>
  <c r="B324" i="10" s="1"/>
  <c r="Q326" i="10"/>
  <c r="B326" i="10" s="1"/>
  <c r="Q329" i="10"/>
  <c r="B329" i="10" s="1"/>
  <c r="Q330" i="10"/>
  <c r="B330" i="10" s="1"/>
  <c r="Q273" i="10" l="1"/>
  <c r="B273" i="10" s="1"/>
  <c r="Q234" i="10"/>
  <c r="B234" i="10" s="1"/>
  <c r="Q101" i="10"/>
  <c r="B101" i="10" s="1"/>
  <c r="Q325" i="10"/>
  <c r="B325" i="10" s="1"/>
  <c r="Q306" i="10"/>
  <c r="B306" i="10" s="1"/>
  <c r="Q222" i="10"/>
  <c r="B222" i="10" s="1"/>
  <c r="Q130" i="10"/>
  <c r="B130" i="10" s="1"/>
  <c r="Q77" i="10"/>
  <c r="B77" i="10" s="1"/>
  <c r="Q26" i="10"/>
  <c r="B26" i="10" s="1"/>
  <c r="Q12" i="10"/>
  <c r="Q322" i="10"/>
  <c r="B322" i="10" s="1"/>
  <c r="Q293" i="10"/>
  <c r="Q265" i="10"/>
  <c r="Q253" i="10"/>
  <c r="B253" i="10" s="1"/>
  <c r="Q238" i="10"/>
  <c r="B238" i="10" s="1"/>
  <c r="Q161" i="10"/>
  <c r="Q318" i="10"/>
  <c r="B318" i="10" s="1"/>
  <c r="Q270" i="10"/>
  <c r="B270" i="10" s="1"/>
  <c r="Q250" i="10"/>
  <c r="B250" i="10" s="1"/>
  <c r="Q154" i="10"/>
  <c r="B154" i="10" s="1"/>
  <c r="Q121" i="10"/>
  <c r="B121" i="10" s="1"/>
  <c r="Q102" i="10"/>
  <c r="B102" i="10" s="1"/>
  <c r="Q70" i="10"/>
  <c r="B70" i="10" s="1"/>
  <c r="Q7" i="10"/>
  <c r="B7" i="10" s="1"/>
  <c r="Q314" i="10"/>
  <c r="B314" i="10" s="1"/>
  <c r="Q290" i="10"/>
  <c r="B290" i="10" s="1"/>
  <c r="Q278" i="10"/>
  <c r="B278" i="10" s="1"/>
  <c r="Q262" i="10"/>
  <c r="B262" i="10" s="1"/>
  <c r="Q226" i="10"/>
  <c r="B226" i="10" s="1"/>
  <c r="Q174" i="10"/>
  <c r="B174" i="10" s="1"/>
  <c r="Q166" i="10"/>
  <c r="B166" i="10" s="1"/>
  <c r="Q146" i="10"/>
  <c r="B146" i="10" s="1"/>
  <c r="Q141" i="10"/>
  <c r="B141" i="10" s="1"/>
  <c r="Q98" i="10"/>
  <c r="B98" i="10" s="1"/>
  <c r="Q86" i="10"/>
  <c r="B86" i="10" s="1"/>
  <c r="Q73" i="10"/>
  <c r="B73" i="10" s="1"/>
  <c r="Q46" i="10"/>
  <c r="B46" i="10" s="1"/>
  <c r="Q41" i="10"/>
  <c r="Q21" i="10"/>
  <c r="Q15" i="10"/>
  <c r="B15" i="10" s="1"/>
  <c r="Q331" i="10"/>
  <c r="Q327" i="10"/>
  <c r="Q323" i="10"/>
  <c r="B323" i="10" s="1"/>
  <c r="Q319" i="10"/>
  <c r="Q307" i="10"/>
  <c r="B307" i="10" s="1"/>
  <c r="Q303" i="10"/>
  <c r="B303" i="10" s="1"/>
  <c r="Q299" i="10"/>
  <c r="Q287" i="10"/>
  <c r="B287" i="10" s="1"/>
  <c r="Q275" i="10"/>
  <c r="Q259" i="10"/>
  <c r="Q255" i="10"/>
  <c r="Q247" i="10"/>
  <c r="Q243" i="10"/>
  <c r="Q239" i="10"/>
  <c r="Q227" i="10"/>
  <c r="B227" i="10" s="1"/>
  <c r="Q223" i="10"/>
  <c r="Q219" i="10"/>
  <c r="Q215" i="10"/>
  <c r="B215" i="10" s="1"/>
  <c r="Q179" i="10"/>
  <c r="Q135" i="10"/>
  <c r="Q127" i="10"/>
  <c r="Q123" i="10"/>
  <c r="Q111" i="10"/>
  <c r="Q95" i="10"/>
  <c r="B95" i="10" s="1"/>
  <c r="Q83" i="10"/>
  <c r="Q79" i="10"/>
  <c r="Q75" i="10"/>
  <c r="B75" i="10" s="1"/>
  <c r="Q71" i="10"/>
  <c r="B71" i="10" s="1"/>
  <c r="Q51" i="10"/>
  <c r="B51" i="10" s="1"/>
  <c r="Q47" i="10"/>
  <c r="B47" i="10" s="1"/>
  <c r="Q39" i="10"/>
  <c r="B39" i="10" s="1"/>
  <c r="Q19" i="10"/>
  <c r="B19" i="10" s="1"/>
  <c r="Q9" i="10"/>
  <c r="B9" i="10" s="1"/>
  <c r="B8" i="10"/>
  <c r="Q13" i="10"/>
  <c r="B13" i="10" s="1"/>
  <c r="B12" i="10"/>
  <c r="Q17" i="10"/>
  <c r="B17" i="10" s="1"/>
  <c r="B16" i="10"/>
  <c r="Q316" i="10"/>
  <c r="B316" i="10" s="1"/>
  <c r="Q312" i="10"/>
  <c r="B312" i="10" s="1"/>
  <c r="Q296" i="10"/>
  <c r="Q284" i="10"/>
  <c r="B284" i="10" s="1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16" i="10"/>
  <c r="Q104" i="10"/>
  <c r="Q92" i="10"/>
  <c r="Q88" i="10"/>
  <c r="B88" i="10" s="1"/>
  <c r="Q44" i="10"/>
  <c r="B44" i="10" s="1"/>
  <c r="Q36" i="10"/>
  <c r="B36" i="10" s="1"/>
  <c r="Q99" i="10" l="1"/>
  <c r="B99" i="10" s="1"/>
  <c r="Q251" i="10"/>
  <c r="B251" i="10" s="1"/>
  <c r="Q131" i="10"/>
  <c r="Q279" i="10"/>
  <c r="B265" i="10"/>
  <c r="Q266" i="10"/>
  <c r="B293" i="10"/>
  <c r="Q294" i="10"/>
  <c r="B294" i="10" s="1"/>
  <c r="Q27" i="10"/>
  <c r="Q28" i="10" s="1"/>
  <c r="Q147" i="10"/>
  <c r="Q155" i="10"/>
  <c r="B155" i="10" s="1"/>
  <c r="B161" i="10"/>
  <c r="Q162" i="10"/>
  <c r="Q291" i="10"/>
  <c r="B291" i="10" s="1"/>
  <c r="B21" i="10"/>
  <c r="Q22" i="10"/>
  <c r="B41" i="10"/>
  <c r="Q42" i="10"/>
  <c r="B42" i="10" s="1"/>
  <c r="Q175" i="10"/>
  <c r="Q176" i="10" s="1"/>
  <c r="B176" i="10" s="1"/>
  <c r="Q263" i="10"/>
  <c r="B263" i="10" s="1"/>
  <c r="B116" i="10"/>
  <c r="Q117" i="10"/>
  <c r="B104" i="10"/>
  <c r="Q105" i="10"/>
  <c r="B168" i="10"/>
  <c r="Q169" i="10"/>
  <c r="B83" i="10"/>
  <c r="Q84" i="10"/>
  <c r="B84" i="10" s="1"/>
  <c r="B123" i="10"/>
  <c r="Q124" i="10"/>
  <c r="B147" i="10"/>
  <c r="Q148" i="10"/>
  <c r="B179" i="10"/>
  <c r="Q180" i="10"/>
  <c r="B180" i="10" s="1"/>
  <c r="B319" i="10"/>
  <c r="Q320" i="10"/>
  <c r="B320" i="10" s="1"/>
  <c r="B127" i="10"/>
  <c r="Q128" i="10"/>
  <c r="B128" i="10" s="1"/>
  <c r="B239" i="10"/>
  <c r="Q240" i="10"/>
  <c r="B255" i="10"/>
  <c r="Q256" i="10"/>
  <c r="B256" i="10" s="1"/>
  <c r="B275" i="10"/>
  <c r="Q276" i="10"/>
  <c r="B276" i="10" s="1"/>
  <c r="B299" i="10"/>
  <c r="Q300" i="10"/>
  <c r="B300" i="10" s="1"/>
  <c r="B296" i="10"/>
  <c r="Q297" i="10"/>
  <c r="B297" i="10" s="1"/>
  <c r="B131" i="10"/>
  <c r="Q132" i="10"/>
  <c r="B219" i="10"/>
  <c r="Q220" i="10"/>
  <c r="B220" i="10" s="1"/>
  <c r="B243" i="10"/>
  <c r="Q244" i="10"/>
  <c r="B259" i="10"/>
  <c r="Q260" i="10"/>
  <c r="B260" i="10" s="1"/>
  <c r="B279" i="10"/>
  <c r="Q280" i="10"/>
  <c r="B280" i="10" s="1"/>
  <c r="B327" i="10"/>
  <c r="Q328" i="10"/>
  <c r="B328" i="10" s="1"/>
  <c r="B92" i="10"/>
  <c r="Q93" i="10"/>
  <c r="B93" i="10" s="1"/>
  <c r="B79" i="10"/>
  <c r="Q80" i="10"/>
  <c r="B80" i="10" s="1"/>
  <c r="B111" i="10"/>
  <c r="Q112" i="10"/>
  <c r="B135" i="10"/>
  <c r="Q136" i="10"/>
  <c r="B175" i="10"/>
  <c r="B223" i="10"/>
  <c r="Q224" i="10"/>
  <c r="B224" i="10" s="1"/>
  <c r="B247" i="10"/>
  <c r="Q248" i="10"/>
  <c r="B248" i="10" s="1"/>
  <c r="B331" i="10"/>
  <c r="Q332" i="10"/>
  <c r="B332" i="10" s="1"/>
  <c r="F2" i="2"/>
  <c r="Q156" i="10" l="1"/>
  <c r="B27" i="10"/>
  <c r="B162" i="10"/>
  <c r="Q163" i="10"/>
  <c r="B266" i="10"/>
  <c r="Q267" i="10"/>
  <c r="B267" i="10" s="1"/>
  <c r="B22" i="10"/>
  <c r="Q23" i="10"/>
  <c r="B136" i="10"/>
  <c r="Q137" i="10"/>
  <c r="B132" i="10"/>
  <c r="Q133" i="10"/>
  <c r="B133" i="10" s="1"/>
  <c r="B156" i="10"/>
  <c r="Q157" i="10"/>
  <c r="B28" i="10"/>
  <c r="Q29" i="10"/>
  <c r="B124" i="10"/>
  <c r="Q125" i="10"/>
  <c r="B125" i="10" s="1"/>
  <c r="B105" i="10"/>
  <c r="Q106" i="10"/>
  <c r="B112" i="10"/>
  <c r="Q113" i="10"/>
  <c r="B244" i="10"/>
  <c r="Q245" i="10"/>
  <c r="B245" i="10" s="1"/>
  <c r="B240" i="10"/>
  <c r="Q241" i="10"/>
  <c r="B241" i="10" s="1"/>
  <c r="B148" i="10"/>
  <c r="Q149" i="10"/>
  <c r="B169" i="10"/>
  <c r="Q170" i="10"/>
  <c r="B117" i="10"/>
  <c r="Q118" i="10"/>
  <c r="W16" i="1"/>
  <c r="AF21" i="1"/>
  <c r="AF23" i="1"/>
  <c r="AA26" i="1"/>
  <c r="C28" i="1"/>
  <c r="AA28" i="1"/>
  <c r="C33" i="1"/>
  <c r="C34" i="1"/>
  <c r="C37" i="1"/>
  <c r="C38" i="1"/>
  <c r="W38" i="1"/>
  <c r="W39" i="1"/>
  <c r="C40" i="1"/>
  <c r="W40" i="1"/>
  <c r="C42" i="1"/>
  <c r="C43" i="1"/>
  <c r="W43" i="1"/>
  <c r="C44" i="1"/>
  <c r="J50" i="1"/>
  <c r="K63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163" i="10" l="1"/>
  <c r="Q164" i="10"/>
  <c r="B164" i="10" s="1"/>
  <c r="B23" i="10"/>
  <c r="Q24" i="10"/>
  <c r="B24" i="10" s="1"/>
  <c r="B118" i="10"/>
  <c r="Q119" i="10"/>
  <c r="B119" i="10" s="1"/>
  <c r="B149" i="10"/>
  <c r="Q150" i="10"/>
  <c r="B150" i="10" s="1"/>
  <c r="B106" i="10"/>
  <c r="Q107" i="10"/>
  <c r="B29" i="10"/>
  <c r="Q30" i="10"/>
  <c r="B30" i="10" s="1"/>
  <c r="B170" i="10"/>
  <c r="Q171" i="10"/>
  <c r="B171" i="10" s="1"/>
  <c r="B113" i="10"/>
  <c r="Q114" i="10"/>
  <c r="B114" i="10" s="1"/>
  <c r="B157" i="10"/>
  <c r="Q158" i="10"/>
  <c r="B137" i="10"/>
  <c r="Q138" i="10"/>
  <c r="B138" i="10" l="1"/>
  <c r="Q139" i="10"/>
  <c r="B139" i="10" s="1"/>
  <c r="B158" i="10"/>
  <c r="Q159" i="10"/>
  <c r="B159" i="10" s="1"/>
  <c r="B107" i="10"/>
  <c r="Q108" i="10"/>
  <c r="B108" i="10" s="1"/>
  <c r="F43" i="1" l="1"/>
  <c r="E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<sst xmlns="http://schemas.openxmlformats.org/spreadsheetml/2006/main" count="2531" uniqueCount="454">
  <si>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</si>
  <si>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</si>
  <si>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</si>
  <si>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</si>
  <si>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</si>
  <si>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</si>
  <si>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</si>
  <si>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</si>
  <si>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</si>
  <si>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</si>
  <si>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</si>
  <si>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</si>
  <si>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</si>
  <si>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</si>
  <si>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</si>
  <si>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</si>
  <si>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</si>
  <si>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</si>
  <si>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</si>
  <si>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</si>
  <si>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</si>
  <si>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</si>
  <si>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</si>
  <si>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</si>
  <si>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</si>
  <si>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</si>
  <si>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</si>
  <si>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</si>
  <si>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</si>
  <si>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</si>
  <si>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</si>
  <si>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</si>
  <si>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</si>
  <si>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</si>
  <si>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</si>
  <si>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</si>
  <si>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</si>
  <si>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</si>
  <si>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</si>
  <si>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</si>
  <si>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</si>
  <si>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</si>
  <si>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</si>
  <si>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</si>
  <si>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</si>
  <si>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</si>
  <si>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</si>
  <si>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</si>
  <si>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</si>
  <si>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</si>
  <si>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</si>
  <si>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</si>
  <si>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</si>
  <si>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</si>
  <si>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</si>
  <si>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</si>
  <si>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</si>
  <si>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</si>
  <si>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</si>
  <si>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</si>
  <si>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</si>
  <si>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</si>
  <si>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</si>
  <si>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</si>
  <si>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</si>
  <si>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</si>
  <si>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</si>
  <si>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</si>
  <si>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</si>
  <si>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</si>
  <si>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</si>
  <si>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</si>
  <si>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</si>
  <si>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</si>
  <si>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</si>
  <si>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</si>
  <si>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</si>
  <si>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</si>
  <si>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</si>
  <si>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</si>
  <si>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</si>
  <si>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</si>
  <si>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</si>
  <si>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</si>
  <si>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</si>
  <si>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</si>
  <si>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</si>
  <si>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</si>
  <si>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</si>
  <si>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</si>
  <si>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</si>
  <si>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</si>
  <si>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</si>
  <si>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</si>
  <si>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</si>
  <si>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</si>
  <si>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</si>
  <si>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</si>
  <si>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</si>
  <si>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</si>
  <si>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</si>
  <si>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</si>
  <si>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</si>
  <si>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</si>
  <si>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</si>
  <si>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</si>
  <si>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</si>
  <si>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</si>
  <si>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</si>
  <si>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</si>
  <si>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</si>
  <si>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</si>
  <si>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</si>
  <si>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</si>
  <si>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</si>
  <si>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</si>
  <si>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</si>
  <si>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</si>
  <si>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</si>
  <si>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</si>
  <si>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</si>
  <si>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</si>
  <si>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</si>
  <si>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</si>
  <si>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</si>
  <si>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</si>
  <si>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</si>
  <si>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</si>
  <si>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</si>
  <si>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</si>
  <si>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</si>
  <si>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</si>
  <si>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</si>
  <si>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</si>
  <si>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</si>
  <si>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</si>
  <si>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</si>
  <si>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</si>
  <si>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</si>
  <si>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</si>
  <si>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</si>
  <si>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</si>
  <si>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</si>
  <si>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</si>
  <si>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</si>
  <si>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</si>
  <si>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</si>
  <si>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</si>
  <si>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</si>
  <si>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</si>
  <si>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</si>
  <si>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</si>
  <si>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</si>
  <si>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</si>
  <si>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</si>
  <si>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</si>
  <si>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</si>
  <si>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</si>
  <si>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</si>
  <si>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</si>
  <si>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</si>
  <si>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</si>
  <si>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</si>
  <si>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</si>
  <si>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</si>
  <si>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</si>
  <si>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</si>
  <si>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</si>
  <si>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</si>
  <si>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</si>
  <si>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</si>
  <si>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</si>
  <si>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</si>
  <si>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</si>
  <si>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</si>
  <si>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</si>
  <si>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</si>
  <si>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</si>
  <si>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</si>
  <si>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</si>
  <si>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</si>
  <si>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RETURNED EMBALLAGE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</si>
  <si>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</si>
  <si>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</si>
  <si>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</si>
  <si>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</si>
  <si>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</si>
  <si>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</si>
  <si>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</si>
  <si>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</si>
  <si>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</si>
  <si>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</si>
  <si>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</si>
  <si>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</si>
  <si>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</si>
  <si>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</si>
  <si>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</si>
  <si>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</si>
  <si>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</si>
  <si>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</si>
  <si>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</si>
  <si>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</si>
  <si>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</si>
  <si>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</si>
  <si>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</si>
  <si>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</si>
  <si>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</si>
  <si>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</si>
  <si>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</si>
  <si>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</si>
  <si>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</si>
  <si>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</si>
  <si>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</si>
  <si>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</si>
  <si>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</si>
  <si>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</si>
  <si>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</si>
  <si>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</si>
  <si>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</si>
  <si>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</si>
  <si>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</si>
  <si>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</si>
  <si>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</si>
  <si>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</si>
  <si>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</si>
  <si>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</si>
  <si>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</si>
  <si>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</si>
  <si>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</si>
  <si>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</si>
  <si>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</si>
  <si>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</si>
  <si>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CBL 8 30/40/7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</si>
  <si>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</si>
  <si>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</si>
  <si>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</si>
  <si>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</si>
  <si>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</si>
  <si>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</si>
  <si>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</si>
  <si>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</si>
  <si>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</si>
  <si>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</si>
  <si>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</si>
  <si>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</si>
  <si>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</si>
  <si>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</si>
  <si>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</si>
  <si>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4378 Doos AVD BC Pijl 29x25x11</t>
  </si>
  <si>
    <t>8255 Doos Side Sal.McD36x24x8</t>
  </si>
  <si>
    <t>HAVI LOGISTICS BV</t>
  </si>
  <si>
    <t>Amersfoort</t>
  </si>
  <si>
    <t>Box Hessing EUR 150,00</t>
  </si>
  <si>
    <t>LD Hessing Supervers pallet</t>
  </si>
  <si>
    <t>KF EPS 24 hoog (60/40/23)</t>
  </si>
  <si>
    <t>CBL23 60/40/23 zwart</t>
  </si>
  <si>
    <t>GU18-11298</t>
  </si>
  <si>
    <t>EPS 17 middel (60/40/15)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</si>
  <si>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</si>
  <si>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</si>
  <si>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</si>
  <si>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</si>
  <si>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</si>
  <si>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</si>
  <si>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</si>
  <si>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</si>
  <si>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</si>
  <si>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</si>
  <si>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</si>
  <si>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</si>
  <si>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FL Eurocom KF Blauw</t>
  </si>
  <si>
    <t>10437778/01</t>
  </si>
  <si>
    <t>10437768/01</t>
  </si>
  <si>
    <t>10437775/01</t>
  </si>
  <si>
    <t>10437777/01</t>
  </si>
  <si>
    <t>10437772/01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</si>
  <si>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</si>
  <si>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</si>
  <si>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</si>
  <si>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</si>
  <si>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</si>
  <si>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</si>
  <si>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</si>
  <si>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</si>
  <si>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</si>
  <si>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</si>
  <si>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</si>
  <si>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</si>
  <si>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</si>
  <si>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</si>
  <si>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</si>
  <si>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</si>
  <si>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</si>
  <si>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</si>
  <si>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</si>
  <si>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</si>
  <si>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</si>
  <si>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</si>
  <si>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</si>
  <si>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</si>
  <si>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</si>
  <si>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</si>
  <si>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</si>
  <si>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</si>
  <si>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</si>
  <si>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</si>
  <si>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</si>
  <si>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</si>
  <si>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</si>
  <si>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</si>
  <si>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</si>
  <si>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</si>
  <si>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</si>
  <si>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</si>
  <si>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</si>
  <si>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</si>
  <si>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</si>
  <si>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</si>
  <si>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</si>
  <si>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</si>
  <si>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</si>
  <si>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</si>
  <si>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</si>
  <si>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1144 Doos bruin 40x30x17cm</t>
  </si>
  <si>
    <t>99133989/01</t>
  </si>
  <si>
    <t>99133989/02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</si>
  <si>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</si>
  <si>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</si>
  <si>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</si>
  <si>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</si>
  <si>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</si>
  <si>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</si>
  <si>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</si>
  <si>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99325222/1</t>
  </si>
  <si>
    <t>99325221/1</t>
  </si>
  <si>
    <t>518000</t>
  </si>
  <si>
    <t>518006</t>
  </si>
  <si>
    <t>1143 Doos bruin 40x30x9cm</t>
  </si>
  <si>
    <t>518015</t>
  </si>
  <si>
    <t>518037</t>
  </si>
  <si>
    <t>518038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</si>
  <si>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</si>
  <si>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</si>
  <si>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</si>
  <si>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</si>
  <si>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</si>
  <si>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</si>
  <si>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</si>
  <si>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</si>
  <si>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</si>
  <si>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</si>
  <si>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</si>
  <si>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</si>
  <si>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</si>
  <si>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</si>
  <si>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</si>
  <si>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</si>
  <si>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</si>
  <si>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</si>
  <si>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</si>
  <si>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</si>
  <si>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</si>
  <si>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</si>
  <si>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</si>
  <si>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</si>
  <si>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</si>
  <si>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</si>
  <si>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</si>
  <si>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</si>
  <si>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</si>
  <si>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</si>
  <si>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</si>
  <si>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</si>
  <si>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</si>
  <si>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</si>
  <si>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</si>
  <si>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</si>
  <si>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</si>
  <si>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</si>
  <si>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</si>
  <si>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</si>
  <si>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</si>
  <si>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</si>
  <si>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</si>
  <si>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</si>
  <si>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</si>
  <si>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</si>
  <si>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</si>
  <si>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</si>
  <si>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</si>
  <si>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</si>
  <si>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</si>
  <si>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</si>
  <si>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</si>
  <si>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</si>
  <si>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</si>
  <si>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</si>
  <si>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</si>
  <si>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</si>
  <si>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</si>
  <si>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</si>
  <si>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</si>
  <si>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</si>
  <si>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</si>
  <si>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</si>
  <si>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</si>
  <si>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</si>
  <si>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</si>
  <si>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</si>
  <si>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</si>
  <si>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</si>
  <si>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</si>
  <si>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</si>
  <si>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</si>
  <si>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</si>
  <si>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</si>
  <si>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</si>
  <si>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</si>
  <si>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</si>
  <si>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</si>
  <si>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</si>
  <si>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</si>
  <si>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</si>
  <si>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</si>
  <si>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</si>
  <si>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</si>
  <si>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</si>
  <si>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4801879462</t>
  </si>
  <si>
    <t>BST18-16170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</si>
  <si>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</si>
  <si>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</si>
  <si>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</si>
  <si>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</si>
  <si>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</si>
  <si>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</si>
  <si>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</si>
  <si>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</si>
  <si>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GREENYARD FRESH DIRECT BELGIUM</t>
  </si>
  <si>
    <t>FORTSESTEENWEG 27</t>
  </si>
  <si>
    <t>SINT-KATELIJNE-WAVER Belgium</t>
  </si>
  <si>
    <t>163684</t>
  </si>
  <si>
    <t xml:space="preserve">    </t>
  </si>
  <si>
    <t>Bij koelverse producten koelmotor instellen op 4 graden</t>
  </si>
  <si>
    <t>Hessing Greenport Venlo
Maarten de Vriesstraat 3
5975 RW Sevenum
The Netherlands</t>
  </si>
  <si>
    <t>5975 RW Sevenum</t>
  </si>
  <si>
    <t>Havi Belgium</t>
  </si>
  <si>
    <t>Lammerdries-oost 32</t>
  </si>
  <si>
    <t>2250 Olen-Belgie</t>
  </si>
  <si>
    <t>2250 Olen - Belgie</t>
  </si>
  <si>
    <t>Chep 120x80 pallet</t>
  </si>
  <si>
    <t>Dozen</t>
  </si>
  <si>
    <t>MAXIMAAL 5 GRADEN</t>
  </si>
  <si>
    <t>VCSO001312191 VCSO001312190</t>
  </si>
  <si>
    <t>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</si>
</sst>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sz val="14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77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3" fontId="8" fillId="0" borderId="0" xfId="0" applyNumberFormat="1" applyFon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8" xfId="0" applyFont="1" applyBorder="1" applyAlignment="1">
      <alignment horizontal="left"/>
    </xf>
    <xf numFmtId="1" fontId="19" fillId="0" borderId="2" xfId="0" applyNumberFormat="1" applyFont="1" applyBorder="1" applyAlignment="1">
      <alignment horizontal="center"/>
    </xf>
    <xf numFmtId="1" fontId="19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4" fillId="0" borderId="0" xfId="1" applyFont="1" applyProtection="1">
      <protection locked="0"/>
    </xf>
    <xf numFmtId="0" fontId="25" fillId="0" borderId="0" xfId="1" applyFont="1" applyProtection="1">
      <protection locked="0"/>
    </xf>
    <xf numFmtId="0" fontId="25" fillId="0" borderId="0" xfId="1" applyFont="1"/>
    <xf numFmtId="0" fontId="24" fillId="0" borderId="0" xfId="1" applyFont="1"/>
    <xf numFmtId="0" fontId="12" fillId="0" borderId="1" xfId="0" applyFont="1" applyBorder="1" applyAlignment="1">
      <alignment horizontal="center" vertical="center"/>
    </xf>
    <xf numFmtId="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6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24" fillId="0" borderId="0" xfId="1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18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 vertical="top"/>
    </xf>
    <xf numFmtId="0" fontId="11" fillId="0" borderId="0" xfId="0" applyFont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top" wrapText="1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2" tableType="queryTable" totalsRowShown="0">
  <autoFilter ref="A4:Q332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19" t="s">
        <v>167</v>
      </c>
      <c r="D2" s="119">
        <v>559611</v>
      </c>
      <c r="E2" s="119" t="s">
        <v>200</v>
      </c>
      <c r="F2">
        <f>+VLOOKUP(D2,'GEGEVENS FOOD'!A:A,1,0)</f>
        <v>559611</v>
      </c>
    </row>
    <row r="3" spans="1:6" ht="20.25" customHeight="1" x14ac:dyDescent="0.2">
      <c r="A3" s="39"/>
      <c r="B3" s="40" t="s">
        <v>119</v>
      </c>
      <c r="C3" s="120">
        <v>41597</v>
      </c>
    </row>
    <row r="4" spans="1:6" ht="15" customHeight="1" x14ac:dyDescent="0.2">
      <c r="A4" s="39"/>
      <c r="B4" s="39"/>
      <c r="D4" s="121"/>
    </row>
    <row r="5" spans="1:6" ht="30" customHeight="1" x14ac:dyDescent="0.2">
      <c r="A5" s="39"/>
      <c r="B5" s="40" t="s">
        <v>43</v>
      </c>
      <c r="C5" s="122" t="s">
        <v>180</v>
      </c>
      <c r="D5" s="123"/>
    </row>
    <row r="6" spans="1:6" ht="30" hidden="1" customHeight="1" x14ac:dyDescent="0.2">
      <c r="A6" s="39"/>
      <c r="B6" s="40" t="s">
        <v>44</v>
      </c>
      <c r="C6" s="122" t="s">
        <v>81</v>
      </c>
    </row>
    <row r="7" spans="1:6" ht="30" hidden="1" customHeight="1" x14ac:dyDescent="0.2">
      <c r="A7" s="39"/>
      <c r="B7" s="40" t="s">
        <v>45</v>
      </c>
      <c r="C7" s="122"/>
    </row>
    <row r="8" spans="1:6" ht="30" hidden="1" customHeight="1" x14ac:dyDescent="0.2">
      <c r="A8" s="39"/>
      <c r="B8" s="40" t="s">
        <v>46</v>
      </c>
      <c r="C8" s="122"/>
    </row>
    <row r="9" spans="1:6" ht="30" hidden="1" customHeight="1" x14ac:dyDescent="0.2">
      <c r="A9" s="39"/>
      <c r="B9" s="40" t="s">
        <v>47</v>
      </c>
      <c r="C9" s="122"/>
    </row>
    <row r="10" spans="1:6" ht="30" hidden="1" customHeight="1" x14ac:dyDescent="0.2">
      <c r="A10" s="39"/>
      <c r="B10" s="40" t="s">
        <v>48</v>
      </c>
      <c r="C10" s="124"/>
    </row>
    <row r="11" spans="1:6" ht="30" hidden="1" customHeight="1" x14ac:dyDescent="0.2">
      <c r="A11" s="39"/>
      <c r="B11" s="40" t="s">
        <v>60</v>
      </c>
      <c r="C11" s="124"/>
    </row>
    <row r="12" spans="1:6" ht="30" hidden="1" customHeight="1" x14ac:dyDescent="0.2">
      <c r="A12" s="39"/>
      <c r="B12" s="40" t="s">
        <v>49</v>
      </c>
      <c r="C12" s="125"/>
    </row>
    <row r="13" spans="1:6" ht="30" hidden="1" customHeight="1" x14ac:dyDescent="0.2">
      <c r="A13" s="39"/>
      <c r="B13" s="40" t="s">
        <v>78</v>
      </c>
      <c r="C13" s="122" t="s">
        <v>79</v>
      </c>
    </row>
    <row r="14" spans="1:6" ht="30" hidden="1" customHeight="1" x14ac:dyDescent="0.2">
      <c r="A14" s="39"/>
      <c r="B14" s="40" t="s">
        <v>77</v>
      </c>
      <c r="C14" s="126"/>
    </row>
    <row r="15" spans="1:6" ht="12" hidden="1" customHeight="1" x14ac:dyDescent="0.2">
      <c r="A15" s="41"/>
      <c r="B15" s="42"/>
      <c r="C15" s="127"/>
    </row>
    <row r="16" spans="1:6" ht="30" hidden="1" customHeight="1" x14ac:dyDescent="0.2">
      <c r="A16" s="39"/>
      <c r="B16" s="43" t="s">
        <v>87</v>
      </c>
      <c r="C16" s="122"/>
    </row>
    <row r="17" spans="1:7" ht="30" hidden="1" customHeight="1" x14ac:dyDescent="0.2">
      <c r="A17" s="39"/>
      <c r="B17" s="43" t="s">
        <v>88</v>
      </c>
      <c r="C17" s="128"/>
    </row>
    <row r="18" spans="1:7" ht="30" hidden="1" customHeight="1" x14ac:dyDescent="0.2">
      <c r="A18" s="39"/>
      <c r="B18" s="43" t="s">
        <v>61</v>
      </c>
      <c r="C18" s="128"/>
    </row>
    <row r="19" spans="1:7" ht="30" hidden="1" customHeight="1" x14ac:dyDescent="0.2">
      <c r="A19" s="39"/>
      <c r="B19" s="43" t="s">
        <v>62</v>
      </c>
      <c r="C19" s="128"/>
    </row>
    <row r="20" spans="1:7" ht="30" hidden="1" customHeight="1" x14ac:dyDescent="0.2">
      <c r="A20" s="39"/>
      <c r="B20" s="40" t="s">
        <v>63</v>
      </c>
      <c r="C20" s="128"/>
    </row>
    <row r="21" spans="1:7" ht="30" hidden="1" customHeight="1" x14ac:dyDescent="0.2">
      <c r="A21" s="39"/>
      <c r="B21" s="40" t="s">
        <v>69</v>
      </c>
      <c r="C21" s="128" t="s">
        <v>73</v>
      </c>
    </row>
    <row r="22" spans="1:7" ht="30" hidden="1" customHeight="1" x14ac:dyDescent="0.2">
      <c r="A22" s="39"/>
      <c r="B22" s="40" t="s">
        <v>70</v>
      </c>
      <c r="C22" s="128"/>
    </row>
    <row r="23" spans="1:7" ht="12" hidden="1" customHeight="1" x14ac:dyDescent="0.2">
      <c r="A23" s="41"/>
      <c r="B23" s="44"/>
      <c r="C23" s="129"/>
    </row>
    <row r="24" spans="1:7" ht="12" hidden="1" customHeight="1" x14ac:dyDescent="0.2">
      <c r="A24" s="41" t="s">
        <v>50</v>
      </c>
      <c r="B24" s="44"/>
      <c r="C24" s="130" t="s">
        <v>55</v>
      </c>
      <c r="D24" s="130" t="s">
        <v>56</v>
      </c>
      <c r="E24" s="130" t="s">
        <v>57</v>
      </c>
      <c r="F24" s="130" t="s">
        <v>58</v>
      </c>
      <c r="G24" s="130" t="s">
        <v>59</v>
      </c>
    </row>
    <row r="25" spans="1:7" ht="30" hidden="1" customHeight="1" x14ac:dyDescent="0.2">
      <c r="A25" s="39"/>
      <c r="B25" s="43" t="s">
        <v>51</v>
      </c>
      <c r="C25" s="122"/>
      <c r="D25" s="122"/>
      <c r="E25" s="122"/>
      <c r="F25" s="122"/>
      <c r="G25" s="122"/>
    </row>
    <row r="26" spans="1:7" ht="30" hidden="1" customHeight="1" x14ac:dyDescent="0.2">
      <c r="A26" s="39"/>
      <c r="B26" s="43" t="s">
        <v>52</v>
      </c>
      <c r="C26" s="122"/>
      <c r="D26" s="122"/>
      <c r="E26" s="122"/>
      <c r="F26" s="122"/>
      <c r="G26" s="122"/>
    </row>
    <row r="27" spans="1:7" ht="30" hidden="1" customHeight="1" x14ac:dyDescent="0.2">
      <c r="A27" s="39"/>
      <c r="B27" s="43" t="s">
        <v>53</v>
      </c>
      <c r="C27" s="122"/>
      <c r="D27" s="122"/>
      <c r="E27" s="122"/>
      <c r="F27" s="122"/>
      <c r="G27" s="122"/>
    </row>
    <row r="28" spans="1:7" ht="30" hidden="1" customHeight="1" x14ac:dyDescent="0.2">
      <c r="A28" s="39"/>
      <c r="B28" s="43" t="s">
        <v>76</v>
      </c>
      <c r="C28" s="122"/>
      <c r="D28" s="122"/>
      <c r="E28" s="122"/>
      <c r="F28" s="122"/>
      <c r="G28" s="122"/>
    </row>
    <row r="29" spans="1:7" ht="30" hidden="1" customHeight="1" x14ac:dyDescent="0.2">
      <c r="A29" s="39"/>
      <c r="B29" s="43" t="s">
        <v>68</v>
      </c>
      <c r="C29" s="125" t="s">
        <v>85</v>
      </c>
      <c r="D29" s="125"/>
      <c r="E29" s="125"/>
      <c r="F29" s="131"/>
      <c r="G29" s="131"/>
    </row>
    <row r="30" spans="1:7" ht="30" hidden="1" customHeight="1" x14ac:dyDescent="0.2">
      <c r="A30" s="39"/>
      <c r="B30" s="43" t="s">
        <v>54</v>
      </c>
      <c r="C30" s="132"/>
      <c r="D30" s="132"/>
      <c r="E30" s="132"/>
      <c r="F30" s="132"/>
      <c r="G30" s="132"/>
    </row>
    <row r="31" spans="1:7" ht="30" hidden="1" customHeight="1" x14ac:dyDescent="0.2">
      <c r="A31" s="39"/>
      <c r="B31" s="43" t="s">
        <v>64</v>
      </c>
      <c r="C31" s="132"/>
      <c r="D31" s="132"/>
      <c r="E31" s="132"/>
      <c r="F31" s="132"/>
      <c r="G31" s="132"/>
    </row>
    <row r="32" spans="1:7" ht="12" hidden="1" customHeight="1" x14ac:dyDescent="0.2">
      <c r="A32" s="41"/>
      <c r="B32" s="44"/>
      <c r="C32" s="129"/>
    </row>
    <row r="33" spans="1:7" ht="12" hidden="1" customHeight="1" x14ac:dyDescent="0.2">
      <c r="A33" s="41" t="s">
        <v>65</v>
      </c>
      <c r="B33" s="44"/>
      <c r="C33" s="130"/>
      <c r="D33" s="130"/>
      <c r="E33" s="130"/>
      <c r="F33" s="130"/>
      <c r="G33" s="130"/>
    </row>
    <row r="34" spans="1:7" ht="30" hidden="1" customHeight="1" x14ac:dyDescent="0.2">
      <c r="A34" s="39"/>
      <c r="B34" s="43"/>
      <c r="C34" s="152"/>
      <c r="D34" s="153"/>
      <c r="E34" s="154"/>
      <c r="F34" s="155"/>
    </row>
    <row r="35" spans="1:7" ht="30" hidden="1" customHeight="1" x14ac:dyDescent="0.2">
      <c r="A35" s="39"/>
      <c r="B35" s="43"/>
      <c r="C35" s="152"/>
      <c r="D35" s="153"/>
      <c r="E35" s="154"/>
      <c r="F35" s="155"/>
    </row>
    <row r="36" spans="1:7" ht="30" hidden="1" customHeight="1" x14ac:dyDescent="0.2">
      <c r="A36" s="39"/>
      <c r="B36" s="43"/>
      <c r="C36" s="152"/>
      <c r="D36" s="153"/>
      <c r="E36" s="154"/>
      <c r="F36" s="155"/>
    </row>
    <row r="37" spans="1:7" ht="30" hidden="1" customHeight="1" x14ac:dyDescent="0.2">
      <c r="A37" s="39"/>
      <c r="B37" s="43"/>
      <c r="C37" s="152"/>
      <c r="D37" s="153"/>
      <c r="E37" s="154"/>
      <c r="F37" s="155"/>
    </row>
    <row r="38" spans="1:7" ht="30" hidden="1" customHeight="1" x14ac:dyDescent="0.2">
      <c r="A38" s="39"/>
      <c r="B38" s="43"/>
      <c r="C38" s="152"/>
      <c r="D38" s="153"/>
      <c r="E38" s="154"/>
      <c r="F38" s="155"/>
    </row>
    <row r="39" spans="1:7" ht="30" hidden="1" customHeight="1" x14ac:dyDescent="0.2">
      <c r="A39" s="39"/>
      <c r="B39" s="40"/>
      <c r="C39" s="152"/>
      <c r="D39" s="153"/>
      <c r="E39" s="154"/>
      <c r="F39" s="155"/>
    </row>
    <row r="40" spans="1:7" ht="30" hidden="1" customHeight="1" x14ac:dyDescent="0.2">
      <c r="A40" s="39"/>
      <c r="B40" s="40"/>
      <c r="C40" s="152"/>
      <c r="D40" s="153"/>
      <c r="E40" s="154"/>
      <c r="F40" s="155"/>
    </row>
    <row r="41" spans="1:7" ht="30" hidden="1" customHeight="1" x14ac:dyDescent="0.2">
      <c r="A41" s="39"/>
      <c r="B41" s="40"/>
      <c r="C41" s="152"/>
      <c r="D41" s="153"/>
      <c r="E41" s="154"/>
      <c r="F41" s="155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J75"/>
  <sheetViews>
    <sheetView showGridLines="0" showZeros="0" tabSelected="1" showOutlineSymbols="0" topLeftCell="A3" zoomScale="97" zoomScaleNormal="97" workbookViewId="0">
      <selection activeCell="A3" sqref="A3"/>
    </sheetView>
  </sheetViews>
  <sheetFormatPr defaultRowHeight="12.95" customHeight="1" x14ac:dyDescent="0.2"/>
  <cols>
    <col min="1" max="1" width="3.5703125" customWidth="1"/>
    <col min="2" max="2" width="11" customWidth="1"/>
    <col min="3" max="3" width="3.28515625" customWidth="1"/>
    <col min="4" max="4" width="11" customWidth="1"/>
    <col min="5" max="5" width="9.28515625" customWidth="1"/>
    <col min="6" max="6" width="26.85546875" customWidth="1"/>
    <col min="7" max="7" width="7.140625" bestFit="1" customWidth="1"/>
    <col min="8" max="9" width="3.28515625" customWidth="1"/>
    <col min="10" max="10" width="2.42578125" customWidth="1"/>
    <col min="11" max="12" width="3.28515625" hidden="1" customWidth="1"/>
    <col min="13" max="13" width="5.42578125" customWidth="1"/>
    <col min="14" max="31" width="3.28515625" customWidth="1"/>
    <col min="32" max="32" width="2" customWidth="1"/>
  </cols>
  <sheetData>
    <row r="1" spans="1:36" ht="18" hidden="1" customHeight="1" x14ac:dyDescent="0.25">
      <c r="A1" s="3"/>
      <c r="B1" s="3"/>
      <c r="C1" s="141" t="str">
        <f>IF('Invoerveld CMR'!C5="","",VLOOKUP('Invoerveld CMR'!C5,Afzender!A3:B30,2,FALSE))</f>
        <v>Hessing Greenport Venlo
Maarten de Vriesstraat 3
5975 RW Sevenum
The Netherlands</v>
      </c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6" ht="18" hidden="1" customHeight="1" x14ac:dyDescent="0.25">
      <c r="A2" s="3"/>
      <c r="B2" s="3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6" ht="22.5" customHeight="1" x14ac:dyDescent="0.4"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79"/>
      <c r="P3" s="79"/>
      <c r="Q3" s="79"/>
      <c r="R3" s="79"/>
      <c r="S3" s="3"/>
      <c r="T3" s="3"/>
      <c r="U3" s="3"/>
      <c r="X3" s="100" t="s">
        <v>441</v>
      </c>
      <c r="Y3" s="3"/>
      <c r="Z3" s="3"/>
      <c r="AA3" s="3"/>
      <c r="AB3" s="3"/>
      <c r="AC3" s="3"/>
      <c r="AD3" s="3"/>
      <c r="AE3" s="3"/>
      <c r="AF3" s="3"/>
    </row>
    <row r="4" spans="1:36" ht="12.75" customHeight="1" x14ac:dyDescent="0.4">
      <c r="A4" s="3"/>
      <c r="B4" s="3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100" t="s">
        <v>221</v>
      </c>
      <c r="AD4" s="3"/>
      <c r="AE4" s="3"/>
      <c r="AF4" s="3"/>
    </row>
    <row r="5" spans="1:36" ht="12.95" customHeight="1" x14ac:dyDescent="0.4">
      <c r="A5" s="3"/>
      <c r="B5" s="3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100" t="s">
        <v>221</v>
      </c>
      <c r="AD5" s="3"/>
      <c r="AE5" s="3"/>
      <c r="AF5" s="3"/>
    </row>
    <row r="6" spans="1:36" ht="18" customHeight="1" x14ac:dyDescent="0.25">
      <c r="A6" s="3"/>
      <c r="B6" s="3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6" ht="12.95" customHeight="1" x14ac:dyDescent="0.25">
      <c r="A7" s="3"/>
      <c r="B7" s="3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6" ht="12.95" customHeight="1" x14ac:dyDescent="0.25">
      <c r="A8" s="3"/>
      <c r="B8" s="3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6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6" ht="19.5" customHeight="1" x14ac:dyDescent="0.25">
      <c r="A10" s="3"/>
      <c r="B10" s="3"/>
      <c r="C10" s="140" t="s">
        <v>445</v>
      </c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81"/>
      <c r="W10" s="81"/>
      <c r="X10" s="118"/>
      <c r="Y10" s="118"/>
      <c r="Z10" s="118"/>
      <c r="AA10" s="118"/>
      <c r="AB10" s="118"/>
      <c r="AC10" s="118"/>
      <c r="AD10" s="118"/>
      <c r="AE10" s="118"/>
      <c r="AF10" s="118"/>
    </row>
    <row r="11" spans="1:36" ht="18" x14ac:dyDescent="0.25">
      <c r="A11" s="3"/>
      <c r="B11" s="3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81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</row>
    <row r="12" spans="1:36" ht="18.75" x14ac:dyDescent="0.25">
      <c r="A12" s="3"/>
      <c r="B12" s="3"/>
      <c r="C12" s="140" t="s">
        <v>446</v>
      </c>
      <c r="D12" s="140"/>
      <c r="E12" s="140"/>
      <c r="F12" s="14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U12" s="142"/>
      <c r="V12" s="142"/>
      <c r="W12" s="142"/>
      <c r="X12" s="142"/>
      <c r="Y12" s="142"/>
      <c r="Z12" s="142"/>
      <c r="AA12" s="142"/>
      <c r="AB12" s="142"/>
      <c r="AC12" s="142"/>
      <c r="AD12" s="118"/>
      <c r="AE12" s="118"/>
      <c r="AF12" s="118"/>
    </row>
    <row r="13" spans="1:36" ht="18.75" customHeight="1" x14ac:dyDescent="0.25">
      <c r="A13" s="3"/>
      <c r="B13" s="3"/>
      <c r="C13" s="60" t="s">
        <v>447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142"/>
      <c r="V13" s="142"/>
      <c r="W13" s="142"/>
      <c r="X13" s="142"/>
      <c r="Y13" s="142"/>
      <c r="Z13" s="142"/>
      <c r="AA13" s="142"/>
      <c r="AB13" s="142"/>
      <c r="AC13" s="142"/>
      <c r="AD13" s="118"/>
      <c r="AE13" s="118"/>
      <c r="AF13" s="118"/>
    </row>
    <row r="14" spans="1:36" ht="12.95" customHeight="1" x14ac:dyDescent="0.25">
      <c r="A14" s="3"/>
      <c r="B14" s="3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8"/>
      <c r="Y14" s="118"/>
      <c r="Z14" s="118"/>
      <c r="AA14" s="118"/>
      <c r="AB14" s="118"/>
      <c r="AC14" s="118"/>
      <c r="AD14" s="118"/>
      <c r="AE14" s="118"/>
      <c r="AF14" s="118"/>
    </row>
    <row r="15" spans="1:36" ht="7.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6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14" t="str">
        <f>IF('Invoerveld CMR'!C7="","",VLOOKUP('Invoerveld CMR'!C7,Vervoerder!$A$2:$B$102,2,FALSE))</f>
        <v/>
      </c>
      <c r="X16" s="114"/>
      <c r="Y16" s="114"/>
      <c r="Z16" s="114"/>
      <c r="AA16" s="114"/>
      <c r="AB16" s="114"/>
      <c r="AC16" s="114"/>
      <c r="AD16" s="114"/>
      <c r="AE16" s="114"/>
      <c r="AF16" s="114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</row>
    <row r="18" spans="1:32" ht="13.5" customHeight="1" x14ac:dyDescent="0.25">
      <c r="A18" s="3"/>
      <c r="B18" s="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</row>
    <row r="19" spans="1:32" ht="21" customHeight="1" x14ac:dyDescent="0.25">
      <c r="A19" s="3"/>
      <c r="B19" s="3"/>
      <c r="C19" s="118" t="s">
        <v>448</v>
      </c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8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51"/>
      <c r="D23" s="151"/>
      <c r="E23" s="151"/>
      <c r="F23" s="151"/>
      <c r="G23" s="151"/>
      <c r="H23" s="151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8">
        <f>'Invoerveld CMR'!C9</f>
        <v>0</v>
      </c>
    </row>
    <row r="24" spans="1:32" ht="12.95" customHeight="1" x14ac:dyDescent="0.25">
      <c r="A24" s="3"/>
      <c r="B24" s="3"/>
      <c r="C24" s="151"/>
      <c r="D24" s="151"/>
      <c r="E24" s="151"/>
      <c r="F24" s="151"/>
      <c r="G24" s="151"/>
      <c r="H24" s="151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5.75" customHeight="1" x14ac:dyDescent="0.25">
      <c r="A25" s="3"/>
      <c r="B25" s="3"/>
      <c r="D25" s="9" t="s">
        <v>444</v>
      </c>
      <c r="F25" s="112" t="s">
        <v>221</v>
      </c>
      <c r="G25" s="112"/>
      <c r="H25" s="112"/>
      <c r="I25" s="112"/>
      <c r="J25" s="60"/>
      <c r="K25" s="60"/>
      <c r="L25" s="87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6.5" customHeight="1" x14ac:dyDescent="0.25">
      <c r="A26" s="3"/>
      <c r="B26" s="3"/>
      <c r="C26" s="149">
        <f ca="1">TODAY()</f>
        <v>46130</v>
      </c>
      <c r="D26" s="149"/>
      <c r="E26" s="149"/>
      <c r="F26" s="112"/>
      <c r="G26" s="112"/>
      <c r="H26" s="112"/>
      <c r="I26" s="112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45">
        <f>'Invoerveld CMR'!C10</f>
        <v>0</v>
      </c>
      <c r="AB26" s="145"/>
      <c r="AC26" s="145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7.2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45">
        <f>'Invoerveld CMR'!C11</f>
        <v>0</v>
      </c>
      <c r="AB28" s="145"/>
      <c r="AC28" s="145"/>
      <c r="AD28" s="86"/>
      <c r="AE28" s="86"/>
      <c r="AF28" s="86"/>
    </row>
    <row r="29" spans="1:32" ht="1.5" customHeight="1" x14ac:dyDescent="0.25">
      <c r="A29" s="3"/>
      <c r="B29" s="3"/>
      <c r="C29" s="139" t="s">
        <v>452</v>
      </c>
      <c r="D29" s="139"/>
      <c r="E29" s="139"/>
      <c r="F29" s="139"/>
      <c r="G29" s="139"/>
      <c r="H29" s="139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8.75" customHeight="1" x14ac:dyDescent="0.25">
      <c r="A30" s="3"/>
      <c r="B30" s="3"/>
      <c r="C30" s="139"/>
      <c r="D30" s="139"/>
      <c r="E30" s="139"/>
      <c r="F30" s="139"/>
      <c r="G30" s="139"/>
      <c r="H30" s="139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2.95" customHeight="1" x14ac:dyDescent="0.25">
      <c r="A31" s="3"/>
      <c r="B31" s="3"/>
      <c r="C31" s="139"/>
      <c r="D31" s="139"/>
      <c r="E31" s="139"/>
      <c r="F31" s="139"/>
      <c r="G31" s="139"/>
      <c r="H31" s="139"/>
    </row>
    <row r="32" spans="1:32" ht="12.95" customHeight="1" x14ac:dyDescent="0.25">
      <c r="A32" s="3"/>
      <c r="B32" s="3"/>
      <c r="C32" s="139"/>
      <c r="D32" s="139"/>
      <c r="E32" s="139"/>
      <c r="F32" s="139"/>
      <c r="G32" s="139"/>
      <c r="H32" s="139"/>
    </row>
    <row r="33" spans="1:32" ht="12.95" customHeight="1" x14ac:dyDescent="0.25">
      <c r="A33" s="3"/>
      <c r="B33" s="3"/>
      <c r="C33" s="147">
        <f>'Invoerveld CMR'!D25</f>
        <v>0</v>
      </c>
      <c r="D33" s="147"/>
      <c r="E33" s="147"/>
      <c r="F33" s="82"/>
    </row>
    <row r="34" spans="1:32" ht="13.5" customHeight="1" x14ac:dyDescent="0.25">
      <c r="A34" s="3"/>
      <c r="B34" s="3"/>
      <c r="C34" s="147">
        <f>'Invoerveld CMR'!E25</f>
        <v>0</v>
      </c>
      <c r="D34" s="147"/>
      <c r="E34" s="147"/>
      <c r="F34" s="82"/>
    </row>
    <row r="35" spans="1:32" ht="20.25" x14ac:dyDescent="0.3">
      <c r="A35" s="3"/>
      <c r="B35" s="3"/>
      <c r="C35" s="91"/>
      <c r="D35" s="91"/>
      <c r="E35" s="99"/>
      <c r="F35" s="82"/>
      <c r="G35" s="85"/>
      <c r="H35" s="85"/>
      <c r="I35" s="85"/>
      <c r="W35" s="106"/>
    </row>
    <row r="36" spans="1:32" ht="18" x14ac:dyDescent="0.25">
      <c r="A36" s="3"/>
      <c r="B36" s="3"/>
      <c r="C36" s="91"/>
      <c r="D36" s="91"/>
      <c r="E36" s="99"/>
      <c r="F36" s="99"/>
      <c r="G36" s="148"/>
      <c r="H36" s="148"/>
      <c r="I36" s="148"/>
    </row>
    <row r="37" spans="1:32" ht="16.5" x14ac:dyDescent="0.25">
      <c r="A37" s="3"/>
      <c r="B37" s="3"/>
      <c r="C37" s="91">
        <f>'Invoerveld CMR'!F25</f>
        <v>0</v>
      </c>
      <c r="D37" s="91"/>
      <c r="E37" s="84"/>
      <c r="F37" s="3"/>
      <c r="G37" s="3"/>
      <c r="H37" s="3"/>
      <c r="I37" s="3"/>
      <c r="J37" s="3"/>
      <c r="K37" s="86"/>
      <c r="L37" s="86"/>
      <c r="M37" s="86"/>
      <c r="N37" s="86"/>
      <c r="O37" s="86"/>
      <c r="T37" s="84" t="s">
        <v>181</v>
      </c>
      <c r="U37" s="3"/>
      <c r="V37" s="3"/>
      <c r="W37" s="3"/>
      <c r="X37" s="3"/>
      <c r="Y37" s="3"/>
      <c r="Z37" s="3"/>
      <c r="AA37" s="3"/>
      <c r="AB37" s="86"/>
      <c r="AC37" s="86"/>
      <c r="AD37" s="86"/>
      <c r="AE37" s="86"/>
      <c r="AF37" s="86"/>
    </row>
    <row r="38" spans="1:32" ht="20.25" x14ac:dyDescent="0.3">
      <c r="A38" s="3"/>
      <c r="B38" s="3"/>
      <c r="C38" s="91">
        <f>'Invoerveld CMR'!G25</f>
        <v>0</v>
      </c>
      <c r="D38" s="133">
        <v>1</v>
      </c>
      <c r="E38" s="92"/>
      <c r="F38" s="93" t="s">
        <v>449</v>
      </c>
      <c r="G38" s="94"/>
      <c r="H38" s="94"/>
      <c r="I38" s="94"/>
      <c r="J38" s="94"/>
      <c r="K38" s="94"/>
      <c r="L38" s="94"/>
      <c r="M38" s="94"/>
      <c r="N38" s="94"/>
      <c r="O38" s="107"/>
      <c r="R38" s="92"/>
      <c r="S38" s="108"/>
      <c r="T38" s="108"/>
      <c r="U38" s="108"/>
      <c r="V38" s="109"/>
      <c r="W38" s="93">
        <f>Others!Z3</f>
        <v>0</v>
      </c>
      <c r="X38" s="94"/>
      <c r="Y38" s="94"/>
      <c r="Z38" s="94"/>
      <c r="AA38" s="94"/>
      <c r="AB38" s="94"/>
      <c r="AC38" s="94"/>
      <c r="AD38" s="94"/>
      <c r="AE38" s="94"/>
      <c r="AF38" s="107"/>
    </row>
    <row r="39" spans="1:32" ht="20.25" x14ac:dyDescent="0.3">
      <c r="A39" s="3"/>
      <c r="B39" s="3"/>
      <c r="C39" s="95"/>
      <c r="D39" s="133">
        <v>2</v>
      </c>
      <c r="E39" s="92"/>
      <c r="F39" s="93" t="s">
        <v>450</v>
      </c>
      <c r="G39" s="94"/>
      <c r="H39" s="94"/>
      <c r="I39" s="94"/>
      <c r="J39" s="94"/>
      <c r="K39" s="94"/>
      <c r="L39" s="94"/>
      <c r="M39" s="94"/>
      <c r="N39" s="94"/>
      <c r="O39" s="107"/>
      <c r="R39" s="92"/>
      <c r="S39" s="108"/>
      <c r="T39" s="108"/>
      <c r="U39" s="108"/>
      <c r="V39" s="109"/>
      <c r="W39" s="93">
        <f>Others!Z4</f>
        <v>0</v>
      </c>
      <c r="X39" s="94"/>
      <c r="Y39" s="94"/>
      <c r="Z39" s="94"/>
      <c r="AA39" s="94"/>
      <c r="AB39" s="94"/>
      <c r="AC39" s="94"/>
      <c r="AD39" s="94"/>
      <c r="AE39" s="94"/>
      <c r="AF39" s="107"/>
    </row>
    <row r="40" spans="1:32" ht="20.25" x14ac:dyDescent="0.3">
      <c r="A40" s="3"/>
      <c r="B40" s="3"/>
      <c r="C40" s="96">
        <f>'Invoerveld CMR'!C35</f>
        <v>0</v>
      </c>
      <c r="D40" s="133">
        <v>3</v>
      </c>
      <c r="E40" s="92"/>
      <c r="F40" s="93"/>
      <c r="G40" s="94"/>
      <c r="H40" s="94"/>
      <c r="I40" s="94"/>
      <c r="J40" s="94"/>
      <c r="K40" s="94"/>
      <c r="L40" s="94"/>
      <c r="M40" s="94"/>
      <c r="N40" s="94"/>
      <c r="O40" s="107"/>
      <c r="R40" s="92"/>
      <c r="S40" s="108"/>
      <c r="T40" s="108"/>
      <c r="U40" s="108"/>
      <c r="V40" s="109"/>
      <c r="W40" s="93">
        <f>Others!Z5</f>
        <v>0</v>
      </c>
      <c r="X40" s="94"/>
      <c r="Y40" s="94"/>
      <c r="Z40" s="94"/>
      <c r="AA40" s="94"/>
      <c r="AB40" s="94"/>
      <c r="AC40" s="94"/>
      <c r="AD40" s="94"/>
      <c r="AE40" s="94"/>
      <c r="AF40" s="107"/>
    </row>
    <row r="41" spans="1:32" ht="24" customHeight="1" x14ac:dyDescent="0.3">
      <c r="A41" s="3"/>
      <c r="B41" s="3"/>
      <c r="C41" s="96"/>
      <c r="D41" s="133">
        <v>4</v>
      </c>
      <c r="E41" s="92"/>
      <c r="F41" s="93"/>
      <c r="G41" s="94"/>
      <c r="H41" s="94"/>
      <c r="I41" s="94"/>
      <c r="J41" s="94"/>
      <c r="K41" s="94"/>
      <c r="L41" s="94"/>
      <c r="M41" s="94"/>
      <c r="N41" s="94"/>
      <c r="O41" s="107"/>
      <c r="R41" s="92"/>
      <c r="S41" s="108"/>
      <c r="T41" s="108"/>
      <c r="U41" s="108"/>
      <c r="V41" s="109"/>
      <c r="W41" s="93"/>
      <c r="X41" s="94"/>
      <c r="Y41" s="94"/>
      <c r="Z41" s="94"/>
      <c r="AA41" s="94"/>
      <c r="AB41" s="94"/>
      <c r="AC41" s="94"/>
      <c r="AD41" s="94"/>
      <c r="AE41" s="94"/>
      <c r="AF41" s="107"/>
    </row>
    <row r="42" spans="1:32" ht="20.25" x14ac:dyDescent="0.3">
      <c r="A42" s="3"/>
      <c r="B42" s="3"/>
      <c r="C42" s="96">
        <f>'Invoerveld CMR'!C37</f>
        <v>0</v>
      </c>
      <c r="D42" s="133">
        <v>5</v>
      </c>
      <c r="E42" s="92"/>
      <c r="F42" s="93"/>
      <c r="G42" s="94"/>
      <c r="H42" s="94"/>
      <c r="I42" s="94"/>
      <c r="J42" s="94"/>
      <c r="K42" s="94"/>
      <c r="L42" s="94"/>
      <c r="M42" s="94"/>
      <c r="N42" s="94"/>
      <c r="O42" s="107"/>
      <c r="R42" s="92"/>
      <c r="S42" s="108"/>
      <c r="T42" s="108"/>
      <c r="U42" s="108"/>
      <c r="V42" s="109"/>
      <c r="W42" s="93"/>
      <c r="X42" s="94"/>
      <c r="Y42" s="94"/>
      <c r="Z42" s="94"/>
      <c r="AA42" s="94"/>
      <c r="AB42" s="94"/>
      <c r="AC42" s="94"/>
      <c r="AD42" s="94"/>
      <c r="AE42" s="94"/>
      <c r="AF42" s="107"/>
    </row>
    <row r="43" spans="1:32" ht="20.25" x14ac:dyDescent="0.3">
      <c r="A43" s="3"/>
      <c r="B43" s="3"/>
      <c r="C43" s="96">
        <f>'Invoerveld CMR'!C38</f>
        <v>0</v>
      </c>
      <c r="D43" s="133">
        <v>6</v>
      </c>
      <c r="E43" s="92" t="str">
        <f>IFERROR(VLOOKUP(CONCATENATE('Invoerveld CMR'!$D$2," - ",CMR!D43),'GEGEVENS FOOD'!$B:$L,11,0),"")</f>
        <v/>
      </c>
      <c r="F43" s="93" t="str">
        <f>IFERROR(VLOOKUP(CONCATENATE('Invoerveld CMR'!$D$2," - ",CMR!D43),'GEGEVENS FOOD'!$B:$L,10,0),"")</f>
        <v/>
      </c>
      <c r="G43" s="94"/>
      <c r="H43" s="94"/>
      <c r="I43" s="94"/>
      <c r="J43" s="94"/>
      <c r="K43" s="94"/>
      <c r="L43" s="94"/>
      <c r="M43" s="94"/>
      <c r="N43" s="94"/>
      <c r="O43" s="107"/>
      <c r="R43" s="92"/>
      <c r="S43" s="108"/>
      <c r="T43" s="108"/>
      <c r="U43" s="108"/>
      <c r="V43" s="109"/>
      <c r="W43" s="93">
        <f>Others!Z6</f>
        <v>0</v>
      </c>
      <c r="X43" s="94"/>
      <c r="Y43" s="94"/>
      <c r="Z43" s="94"/>
      <c r="AA43" s="94"/>
      <c r="AB43" s="94"/>
      <c r="AC43" s="94"/>
      <c r="AD43" s="94"/>
      <c r="AE43" s="94"/>
      <c r="AF43" s="107"/>
    </row>
    <row r="44" spans="1:32" ht="20.25" x14ac:dyDescent="0.3">
      <c r="A44" s="3"/>
      <c r="B44" s="3"/>
      <c r="C44" s="96">
        <f>'Invoerveld CMR'!C40</f>
        <v>0</v>
      </c>
      <c r="D44" s="133"/>
      <c r="E44" s="10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R44" s="105"/>
      <c r="S44" s="105"/>
      <c r="T44" s="105"/>
      <c r="U44" s="105"/>
      <c r="V44" s="10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</row>
    <row r="45" spans="1:32" ht="20.25" x14ac:dyDescent="0.3">
      <c r="A45" s="3"/>
      <c r="B45" s="3"/>
      <c r="C45" s="97"/>
      <c r="D45" s="133"/>
      <c r="E45" s="134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R45" s="105"/>
      <c r="S45" s="105"/>
      <c r="T45" s="105"/>
      <c r="U45" s="105"/>
      <c r="V45" s="10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</row>
    <row r="46" spans="1:32" ht="20.25" x14ac:dyDescent="0.3">
      <c r="A46" s="3"/>
      <c r="B46" s="144" t="s">
        <v>442</v>
      </c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05"/>
      <c r="S46" s="105"/>
      <c r="T46" s="105"/>
      <c r="U46" s="105"/>
      <c r="V46" s="10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</row>
    <row r="47" spans="1:32" ht="20.25" x14ac:dyDescent="0.3">
      <c r="A47" s="3"/>
      <c r="B47" s="3"/>
      <c r="C47" s="86"/>
      <c r="D47" s="133"/>
      <c r="E47" s="134"/>
      <c r="F47" s="134" t="s">
        <v>451</v>
      </c>
      <c r="G47" s="134"/>
      <c r="H47" s="134"/>
      <c r="I47" s="135"/>
      <c r="J47" s="135"/>
      <c r="K47" s="135"/>
      <c r="L47" s="135"/>
      <c r="M47" s="135"/>
      <c r="N47" s="135"/>
      <c r="O47" s="136"/>
      <c r="R47" s="105"/>
      <c r="S47" s="105"/>
      <c r="T47" s="105"/>
      <c r="U47" s="105"/>
      <c r="V47" s="10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</row>
    <row r="48" spans="1:32" ht="20.25" x14ac:dyDescent="0.3">
      <c r="A48" s="3"/>
      <c r="B48" s="3"/>
      <c r="C48" s="98"/>
      <c r="D48" s="133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R48" s="105"/>
      <c r="S48" s="105"/>
      <c r="T48" s="105"/>
      <c r="U48" s="105"/>
      <c r="V48" s="10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</row>
    <row r="49" spans="1:32" ht="12.95" customHeight="1" x14ac:dyDescent="0.25">
      <c r="A49" s="3"/>
      <c r="B49" s="3"/>
      <c r="C49" s="98"/>
      <c r="D49" s="3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T49" s="3"/>
      <c r="U49" s="3"/>
      <c r="W49" s="86"/>
    </row>
    <row r="50" spans="1:32" ht="20.25" x14ac:dyDescent="0.3">
      <c r="A50" s="3"/>
      <c r="B50" s="3"/>
      <c r="C50" s="98"/>
      <c r="D50" s="3"/>
      <c r="E50" s="3"/>
      <c r="G50" s="105"/>
      <c r="H50" s="105"/>
      <c r="I50" s="105"/>
      <c r="J50" s="115">
        <f>Others!I10</f>
        <v>0</v>
      </c>
      <c r="K50" s="115"/>
      <c r="L50" s="115"/>
      <c r="M50" s="115"/>
      <c r="N50" s="115"/>
      <c r="O50" s="115"/>
      <c r="P50" s="115"/>
      <c r="Q50" s="115"/>
      <c r="R50" s="115"/>
      <c r="S50" s="115"/>
      <c r="T50" s="3"/>
      <c r="U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ht="12.95" customHeight="1" x14ac:dyDescent="0.3">
      <c r="A51" s="3"/>
      <c r="B51" s="3"/>
      <c r="C51" s="99"/>
      <c r="D51" s="3"/>
      <c r="E51" s="3"/>
      <c r="F51" s="3"/>
      <c r="G51" s="105"/>
      <c r="H51" s="105"/>
      <c r="I51" s="10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3"/>
      <c r="U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2.95" customHeight="1" x14ac:dyDescent="0.25">
      <c r="A52" s="3"/>
      <c r="B52" s="3"/>
      <c r="C52" s="9"/>
      <c r="D52" s="9"/>
      <c r="E52" s="9"/>
      <c r="F52" s="9"/>
      <c r="G52" s="9"/>
      <c r="H52" s="111"/>
      <c r="I52" s="111"/>
      <c r="J52" s="111"/>
      <c r="K52" s="111"/>
      <c r="L52" s="111"/>
      <c r="M52" s="116"/>
      <c r="N52" s="116"/>
      <c r="O52" s="116"/>
      <c r="P52" s="116"/>
      <c r="Q52" s="116"/>
      <c r="R52" s="3"/>
      <c r="S52" s="3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</row>
    <row r="53" spans="1:32" ht="12.95" customHeight="1" x14ac:dyDescent="0.25">
      <c r="A53" s="3"/>
      <c r="B53" s="3"/>
      <c r="C53" s="9"/>
      <c r="D53" s="9"/>
      <c r="E53" s="9"/>
      <c r="F53" s="9"/>
      <c r="G53" s="9"/>
      <c r="H53" s="9"/>
      <c r="I53" s="9"/>
      <c r="J53" s="9"/>
      <c r="K53" s="9"/>
      <c r="L53" s="9"/>
      <c r="M53" s="116"/>
      <c r="N53" s="116"/>
      <c r="O53" s="116"/>
      <c r="P53" s="116"/>
      <c r="Q53" s="116"/>
      <c r="R53" s="3"/>
      <c r="S53" s="3"/>
    </row>
    <row r="54" spans="1:32" ht="12.95" customHeight="1" x14ac:dyDescent="0.25">
      <c r="A54" s="3"/>
      <c r="B54" s="3"/>
      <c r="C54" s="9"/>
      <c r="D54" s="9"/>
      <c r="E54" s="9"/>
      <c r="F54" s="9"/>
      <c r="G54" s="9"/>
      <c r="H54" s="111"/>
      <c r="I54" s="111"/>
      <c r="J54" s="111"/>
      <c r="K54" s="111"/>
      <c r="L54" s="111"/>
      <c r="M54" s="116"/>
      <c r="N54" s="116"/>
      <c r="O54" s="116"/>
      <c r="P54" s="116"/>
      <c r="Q54" s="116"/>
      <c r="R54" s="3"/>
      <c r="S54" s="3"/>
      <c r="T54" s="3"/>
      <c r="U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ht="12" customHeight="1" x14ac:dyDescent="0.25">
      <c r="A55" s="3"/>
      <c r="B55" s="3"/>
      <c r="C55" s="9"/>
      <c r="D55" s="9"/>
      <c r="E55" s="9"/>
      <c r="F55" s="9"/>
      <c r="G55" s="9"/>
      <c r="H55" s="9"/>
      <c r="I55" s="9"/>
      <c r="J55" s="9"/>
      <c r="K55" s="9"/>
      <c r="L55" s="9"/>
      <c r="M55" s="113"/>
      <c r="N55" s="113"/>
      <c r="O55" s="113"/>
      <c r="P55" s="113"/>
      <c r="Q55" s="113"/>
      <c r="R55" s="3"/>
      <c r="S55" s="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8" hidden="1" customHeight="1" x14ac:dyDescent="0.25">
      <c r="A56" s="3"/>
      <c r="B56" s="3"/>
      <c r="C56" s="9"/>
      <c r="D56" s="9"/>
      <c r="E56" s="9"/>
      <c r="F56" s="9"/>
      <c r="G56" s="9"/>
      <c r="H56" s="111"/>
      <c r="I56" s="111"/>
      <c r="J56" s="111"/>
      <c r="K56" s="111"/>
      <c r="L56" s="111"/>
      <c r="M56" s="113"/>
      <c r="N56" s="113"/>
      <c r="O56" s="113"/>
      <c r="P56" s="113"/>
      <c r="Q56" s="113"/>
      <c r="R56" s="3"/>
      <c r="S56" s="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5.75" customHeight="1" x14ac:dyDescent="0.4">
      <c r="A57" s="3"/>
      <c r="B57" s="3"/>
      <c r="C57" s="9"/>
      <c r="D57" s="9"/>
      <c r="G57" s="9"/>
      <c r="H57" s="9"/>
      <c r="I57" s="9"/>
      <c r="J57" s="9"/>
      <c r="K57" s="9"/>
      <c r="L57" s="9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3"/>
      <c r="AB57" s="3"/>
      <c r="AC57" s="3"/>
      <c r="AD57" s="3"/>
      <c r="AE57" s="3"/>
      <c r="AF57" s="3"/>
    </row>
    <row r="58" spans="1:32" ht="75.75" customHeight="1" x14ac:dyDescent="0.4">
      <c r="A58" s="3"/>
      <c r="B58" s="3"/>
      <c r="C58" s="9"/>
      <c r="D58" s="9"/>
      <c r="E58" s="9"/>
      <c r="F58" s="138" t="s">
        <v>453</v>
      </c>
      <c r="G58" s="9"/>
      <c r="H58" s="111"/>
      <c r="I58" s="111"/>
      <c r="J58" s="111"/>
      <c r="K58" s="111"/>
      <c r="L58" s="111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3"/>
      <c r="AB58" s="3"/>
      <c r="AC58" s="3"/>
      <c r="AD58" s="3"/>
      <c r="AE58" s="3"/>
      <c r="AF58" s="3"/>
    </row>
    <row r="59" spans="1:32" ht="3.6" customHeight="1" x14ac:dyDescent="0.25">
      <c r="A59" s="3"/>
      <c r="B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2.75" customHeight="1" x14ac:dyDescent="0.25">
      <c r="A60" s="3"/>
      <c r="B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2.95" customHeight="1" x14ac:dyDescent="0.25">
      <c r="A61" s="3"/>
      <c r="B61" s="3"/>
      <c r="C61" s="101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2.95" customHeight="1" x14ac:dyDescent="0.25">
      <c r="A62" s="3"/>
      <c r="B62" s="3"/>
      <c r="U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55"/>
      <c r="C63" s="3"/>
      <c r="D63" s="3"/>
      <c r="E63" s="3"/>
      <c r="F63" s="3"/>
      <c r="G63" s="3"/>
      <c r="H63" s="3"/>
      <c r="I63" s="3"/>
      <c r="J63" s="3"/>
      <c r="K63" s="90">
        <f>'Invoerveld CMR'!C22</f>
        <v>0</v>
      </c>
      <c r="L63" s="3"/>
      <c r="M63" s="3"/>
      <c r="N63" s="3"/>
      <c r="O63" s="3"/>
      <c r="P63" s="3"/>
      <c r="Q63" s="3"/>
      <c r="R63" s="3"/>
      <c r="S63" s="3"/>
      <c r="T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2.95" customHeight="1" x14ac:dyDescent="0.25">
      <c r="A64" s="3"/>
      <c r="B64" s="3"/>
      <c r="C64" s="3"/>
      <c r="D64" s="3"/>
      <c r="F64" s="83"/>
      <c r="G64" s="83"/>
      <c r="H64" s="83"/>
      <c r="I64" s="83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6.5" x14ac:dyDescent="0.25">
      <c r="A65" s="3"/>
      <c r="B65" s="3"/>
      <c r="C65" s="3"/>
      <c r="D65" s="3"/>
      <c r="Q65" s="102"/>
      <c r="R65" s="102"/>
      <c r="S65" s="102"/>
      <c r="T65" s="102"/>
      <c r="U65" s="102"/>
      <c r="X65" s="3"/>
      <c r="Y65" s="3"/>
      <c r="Z65" s="3"/>
      <c r="AA65" s="3"/>
      <c r="AB65" s="3"/>
      <c r="AC65" s="3"/>
      <c r="AD65" s="3"/>
      <c r="AE65" s="3"/>
      <c r="AF65" s="3"/>
    </row>
    <row r="66" spans="1:32" ht="23.2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3"/>
      <c r="Z66" s="3"/>
      <c r="AA66" s="3"/>
      <c r="AB66" s="3"/>
      <c r="AC66" s="3"/>
      <c r="AD66" s="3"/>
      <c r="AE66" s="3"/>
      <c r="AF66" s="3"/>
    </row>
    <row r="67" spans="1:32" ht="12.95" customHeight="1" x14ac:dyDescent="0.25">
      <c r="A67" s="3"/>
      <c r="B67" s="3"/>
      <c r="C67" s="81"/>
      <c r="D67" s="81"/>
      <c r="E67" s="81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Z67" s="3"/>
      <c r="AA67" s="3"/>
      <c r="AB67" s="3"/>
      <c r="AC67" s="3"/>
      <c r="AD67" s="3"/>
      <c r="AE67" s="3"/>
      <c r="AF67" s="3"/>
    </row>
    <row r="68" spans="1:32" ht="66" customHeight="1" x14ac:dyDescent="0.25">
      <c r="A68" s="3"/>
      <c r="B68" s="3"/>
      <c r="C68" s="81"/>
      <c r="D68" s="81"/>
      <c r="E68" s="81"/>
      <c r="F68" s="81"/>
      <c r="G68" s="150">
        <f ca="1">TODAY()</f>
        <v>46130</v>
      </c>
      <c r="H68" s="150"/>
      <c r="I68" s="150"/>
      <c r="J68" s="150"/>
      <c r="K68" s="150"/>
      <c r="L68" s="150"/>
      <c r="M68" s="150"/>
      <c r="N68" s="104"/>
      <c r="O68" s="60"/>
      <c r="P68" s="81"/>
      <c r="Q68" s="81"/>
      <c r="R68" s="81"/>
      <c r="S68" s="81"/>
      <c r="T68" s="81"/>
      <c r="U68" s="81"/>
      <c r="Y68" s="103"/>
      <c r="Z68" s="103"/>
      <c r="AA68" s="103"/>
      <c r="AC68" s="3"/>
      <c r="AD68" s="3"/>
      <c r="AE68" s="3"/>
      <c r="AF68" s="3"/>
    </row>
    <row r="69" spans="1:32" ht="12.95" customHeight="1" x14ac:dyDescent="0.25">
      <c r="A69" s="3"/>
      <c r="B69" s="55"/>
      <c r="C69" s="146" t="str">
        <f>IF('Invoerveld CMR'!C5="","",VLOOKUP('Invoerveld CMR'!C5,Afzender!A3:B30,2,FALSE))</f>
        <v>Hessing Greenport Venlo
Maarten de Vriesstraat 3
5975 RW Sevenum
The Netherlands</v>
      </c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81"/>
      <c r="AB69" s="81"/>
      <c r="AC69" s="3"/>
      <c r="AD69" s="3"/>
      <c r="AE69" s="3"/>
      <c r="AF69" s="3"/>
    </row>
    <row r="70" spans="1:32" ht="12.95" customHeight="1" x14ac:dyDescent="0.25">
      <c r="A70" s="3"/>
      <c r="B70" s="55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3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60"/>
      <c r="O74" s="60"/>
      <c r="P74" s="60"/>
      <c r="Q74" s="60"/>
      <c r="R74" s="81"/>
      <c r="S74" s="81"/>
      <c r="T74" s="81"/>
      <c r="U74" s="81"/>
      <c r="V74" s="81"/>
      <c r="W74" s="81"/>
      <c r="X74" s="81"/>
      <c r="Y74" s="81"/>
      <c r="Z74" s="81"/>
      <c r="AC74" s="3"/>
      <c r="AD74" s="3"/>
      <c r="AE74" s="3"/>
      <c r="AF74" s="3"/>
    </row>
    <row r="75" spans="1:32" ht="12.95" customHeight="1" x14ac:dyDescent="0.25">
      <c r="N75" s="142"/>
      <c r="O75" s="142"/>
      <c r="P75" s="142"/>
      <c r="Q75" s="142"/>
      <c r="R75" s="142"/>
      <c r="S75" s="142"/>
      <c r="T75" s="142"/>
      <c r="U75" s="142"/>
      <c r="V75" s="142"/>
    </row>
  </sheetData>
  <protectedRanges>
    <protectedRange sqref="R38:R41 R43:R48 E38:E48 U43:V48 U38:V41" name="Range1"/>
  </protectedRanges>
  <mergeCells count="20">
    <mergeCell ref="G68:M68"/>
    <mergeCell ref="AA26:AC26"/>
    <mergeCell ref="C23:H24"/>
    <mergeCell ref="C29:H30"/>
    <mergeCell ref="C31:H32"/>
    <mergeCell ref="C10:Q11"/>
    <mergeCell ref="C1:N8"/>
    <mergeCell ref="C12:F12"/>
    <mergeCell ref="N75:V75"/>
    <mergeCell ref="N69:Z73"/>
    <mergeCell ref="B46:Q46"/>
    <mergeCell ref="U11:AJ11"/>
    <mergeCell ref="U12:AC12"/>
    <mergeCell ref="U13:AC13"/>
    <mergeCell ref="AA28:AC28"/>
    <mergeCell ref="C69:M74"/>
    <mergeCell ref="C33:E33"/>
    <mergeCell ref="C34:E34"/>
    <mergeCell ref="G36:I36"/>
    <mergeCell ref="C26:E26"/>
  </mergeCells>
  <phoneticPr fontId="1" type="noConversion"/>
  <printOptions horizontalCentered="1" verticalCentered="1"/>
  <pageMargins left="0" right="0" top="0" bottom="0" header="0" footer="0"/>
  <pageSetup paperSize="9" scale="68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2"/>
  <sheetViews>
    <sheetView topLeftCell="A22"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182</v>
      </c>
      <c r="B4" s="9" t="s">
        <v>197</v>
      </c>
      <c r="C4" t="s">
        <v>183</v>
      </c>
      <c r="D4" t="s">
        <v>184</v>
      </c>
      <c r="E4" t="s">
        <v>185</v>
      </c>
      <c r="F4" t="s">
        <v>186</v>
      </c>
      <c r="G4" t="s">
        <v>187</v>
      </c>
      <c r="H4" t="s">
        <v>188</v>
      </c>
      <c r="I4" t="s">
        <v>189</v>
      </c>
      <c r="J4" t="s">
        <v>190</v>
      </c>
      <c r="K4" t="s">
        <v>196</v>
      </c>
      <c r="L4" t="s">
        <v>191</v>
      </c>
      <c r="M4" t="s">
        <v>192</v>
      </c>
      <c r="N4" t="s">
        <v>193</v>
      </c>
      <c r="O4" t="s">
        <v>194</v>
      </c>
      <c r="P4" s="9" t="s">
        <v>199</v>
      </c>
      <c r="Q4" s="9" t="s">
        <v>198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210</v>
      </c>
      <c r="E5" t="s">
        <v>211</v>
      </c>
      <c r="F5" t="s">
        <v>212</v>
      </c>
      <c r="G5" t="s">
        <v>213</v>
      </c>
      <c r="H5">
        <v>1</v>
      </c>
      <c r="I5" t="s">
        <v>195</v>
      </c>
      <c r="J5">
        <v>196</v>
      </c>
      <c r="K5" t="s">
        <v>252</v>
      </c>
      <c r="L5">
        <v>100</v>
      </c>
      <c r="M5" t="s">
        <v>222</v>
      </c>
      <c r="N5">
        <v>2</v>
      </c>
      <c r="O5" s="117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210</v>
      </c>
      <c r="E6" t="s">
        <v>211</v>
      </c>
      <c r="F6" t="s">
        <v>212</v>
      </c>
      <c r="G6" t="s">
        <v>213</v>
      </c>
      <c r="H6">
        <v>1</v>
      </c>
      <c r="I6" t="s">
        <v>195</v>
      </c>
      <c r="J6">
        <v>38</v>
      </c>
      <c r="K6" t="s">
        <v>253</v>
      </c>
      <c r="L6">
        <v>3</v>
      </c>
      <c r="M6" t="s">
        <v>222</v>
      </c>
      <c r="N6">
        <v>2</v>
      </c>
      <c r="O6" s="117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210</v>
      </c>
      <c r="E7" t="s">
        <v>211</v>
      </c>
      <c r="F7" t="s">
        <v>212</v>
      </c>
      <c r="G7" t="s">
        <v>213</v>
      </c>
      <c r="H7">
        <v>1</v>
      </c>
      <c r="I7" t="s">
        <v>195</v>
      </c>
      <c r="J7">
        <v>76</v>
      </c>
      <c r="K7" t="s">
        <v>254</v>
      </c>
      <c r="L7">
        <v>68</v>
      </c>
      <c r="M7" t="s">
        <v>222</v>
      </c>
      <c r="N7">
        <v>2</v>
      </c>
      <c r="O7" s="117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210</v>
      </c>
      <c r="E8" t="s">
        <v>211</v>
      </c>
      <c r="F8" t="s">
        <v>212</v>
      </c>
      <c r="G8" t="s">
        <v>213</v>
      </c>
      <c r="H8">
        <v>1</v>
      </c>
      <c r="I8" t="s">
        <v>195</v>
      </c>
      <c r="J8">
        <v>3</v>
      </c>
      <c r="K8" t="s">
        <v>255</v>
      </c>
      <c r="L8">
        <v>40</v>
      </c>
      <c r="M8" t="s">
        <v>222</v>
      </c>
      <c r="N8">
        <v>2</v>
      </c>
      <c r="O8" s="117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210</v>
      </c>
      <c r="E9" t="s">
        <v>211</v>
      </c>
      <c r="F9" t="s">
        <v>212</v>
      </c>
      <c r="G9" t="s">
        <v>213</v>
      </c>
      <c r="H9">
        <v>1</v>
      </c>
      <c r="I9" t="s">
        <v>195</v>
      </c>
      <c r="J9">
        <v>38</v>
      </c>
      <c r="K9" t="s">
        <v>253</v>
      </c>
      <c r="L9">
        <v>1</v>
      </c>
      <c r="M9" t="s">
        <v>222</v>
      </c>
      <c r="N9">
        <v>2</v>
      </c>
      <c r="O9" s="117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237</v>
      </c>
      <c r="E10" t="s">
        <v>238</v>
      </c>
      <c r="F10" t="s">
        <v>239</v>
      </c>
      <c r="G10" t="s">
        <v>240</v>
      </c>
      <c r="H10">
        <v>5</v>
      </c>
      <c r="I10" t="s">
        <v>227</v>
      </c>
      <c r="J10">
        <v>5</v>
      </c>
      <c r="K10" t="s">
        <v>241</v>
      </c>
      <c r="L10">
        <v>0</v>
      </c>
      <c r="M10" t="s">
        <v>222</v>
      </c>
      <c r="N10">
        <v>1</v>
      </c>
      <c r="O10" s="117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237</v>
      </c>
      <c r="E11" t="s">
        <v>238</v>
      </c>
      <c r="F11" t="s">
        <v>239</v>
      </c>
      <c r="G11" t="s">
        <v>240</v>
      </c>
      <c r="H11">
        <v>5</v>
      </c>
      <c r="I11" t="s">
        <v>227</v>
      </c>
      <c r="J11">
        <v>5</v>
      </c>
      <c r="K11" t="s">
        <v>241</v>
      </c>
      <c r="L11">
        <v>136</v>
      </c>
      <c r="M11" t="s">
        <v>256</v>
      </c>
      <c r="N11">
        <v>1</v>
      </c>
      <c r="O11" s="117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237</v>
      </c>
      <c r="E12" t="s">
        <v>238</v>
      </c>
      <c r="F12" t="s">
        <v>239</v>
      </c>
      <c r="G12" t="s">
        <v>240</v>
      </c>
      <c r="H12">
        <v>5</v>
      </c>
      <c r="I12" t="s">
        <v>227</v>
      </c>
      <c r="J12">
        <v>12</v>
      </c>
      <c r="K12" t="s">
        <v>229</v>
      </c>
      <c r="L12">
        <v>5</v>
      </c>
      <c r="M12" t="s">
        <v>222</v>
      </c>
      <c r="N12">
        <v>1</v>
      </c>
      <c r="O12" s="117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237</v>
      </c>
      <c r="E13" t="s">
        <v>238</v>
      </c>
      <c r="F13" t="s">
        <v>239</v>
      </c>
      <c r="G13" t="s">
        <v>240</v>
      </c>
      <c r="H13">
        <v>5</v>
      </c>
      <c r="I13" t="s">
        <v>227</v>
      </c>
      <c r="J13">
        <v>71</v>
      </c>
      <c r="K13" t="s">
        <v>257</v>
      </c>
      <c r="L13">
        <v>96</v>
      </c>
      <c r="M13" t="s">
        <v>222</v>
      </c>
      <c r="N13">
        <v>1</v>
      </c>
      <c r="O13" s="117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223</v>
      </c>
      <c r="E14" t="s">
        <v>224</v>
      </c>
      <c r="F14" t="s">
        <v>225</v>
      </c>
      <c r="G14" t="s">
        <v>226</v>
      </c>
      <c r="H14">
        <v>5</v>
      </c>
      <c r="I14" t="s">
        <v>227</v>
      </c>
      <c r="J14">
        <v>10</v>
      </c>
      <c r="K14" t="s">
        <v>258</v>
      </c>
      <c r="L14">
        <v>3</v>
      </c>
      <c r="M14" t="s">
        <v>222</v>
      </c>
      <c r="N14">
        <v>2</v>
      </c>
      <c r="O14" s="117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223</v>
      </c>
      <c r="E15" t="s">
        <v>224</v>
      </c>
      <c r="F15" t="s">
        <v>225</v>
      </c>
      <c r="G15" t="s">
        <v>226</v>
      </c>
      <c r="H15">
        <v>5</v>
      </c>
      <c r="I15" t="s">
        <v>227</v>
      </c>
      <c r="J15">
        <v>71</v>
      </c>
      <c r="K15" t="s">
        <v>257</v>
      </c>
      <c r="L15">
        <v>200</v>
      </c>
      <c r="M15" t="s">
        <v>222</v>
      </c>
      <c r="N15">
        <v>2</v>
      </c>
      <c r="O15" s="117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259</v>
      </c>
      <c r="E16" t="s">
        <v>260</v>
      </c>
      <c r="F16" t="s">
        <v>261</v>
      </c>
      <c r="G16" t="s">
        <v>262</v>
      </c>
      <c r="H16">
        <v>5</v>
      </c>
      <c r="I16" t="s">
        <v>227</v>
      </c>
      <c r="J16">
        <v>12</v>
      </c>
      <c r="K16" t="s">
        <v>229</v>
      </c>
      <c r="L16">
        <v>2</v>
      </c>
      <c r="M16" t="s">
        <v>222</v>
      </c>
      <c r="N16">
        <v>2</v>
      </c>
      <c r="O16" s="117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259</v>
      </c>
      <c r="E17" t="s">
        <v>260</v>
      </c>
      <c r="F17" t="s">
        <v>261</v>
      </c>
      <c r="G17" t="s">
        <v>262</v>
      </c>
      <c r="H17">
        <v>5</v>
      </c>
      <c r="I17" t="s">
        <v>227</v>
      </c>
      <c r="J17">
        <v>71</v>
      </c>
      <c r="K17" t="s">
        <v>257</v>
      </c>
      <c r="L17">
        <v>8</v>
      </c>
      <c r="M17" t="s">
        <v>222</v>
      </c>
      <c r="N17">
        <v>2</v>
      </c>
      <c r="O17" s="117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223</v>
      </c>
      <c r="E18" t="s">
        <v>224</v>
      </c>
      <c r="F18" t="s">
        <v>225</v>
      </c>
      <c r="G18" t="s">
        <v>226</v>
      </c>
      <c r="H18">
        <v>5</v>
      </c>
      <c r="I18" t="s">
        <v>227</v>
      </c>
      <c r="J18">
        <v>74</v>
      </c>
      <c r="K18" t="s">
        <v>263</v>
      </c>
      <c r="L18">
        <v>122</v>
      </c>
      <c r="M18" t="s">
        <v>222</v>
      </c>
      <c r="N18">
        <v>2</v>
      </c>
      <c r="O18" s="117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223</v>
      </c>
      <c r="E19" t="s">
        <v>224</v>
      </c>
      <c r="F19" t="s">
        <v>225</v>
      </c>
      <c r="G19" t="s">
        <v>226</v>
      </c>
      <c r="H19">
        <v>5</v>
      </c>
      <c r="I19" t="s">
        <v>227</v>
      </c>
      <c r="J19">
        <v>78</v>
      </c>
      <c r="K19" t="s">
        <v>264</v>
      </c>
      <c r="L19">
        <v>2</v>
      </c>
      <c r="M19" t="s">
        <v>222</v>
      </c>
      <c r="N19">
        <v>2</v>
      </c>
      <c r="O19" s="117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210</v>
      </c>
      <c r="E20" t="s">
        <v>211</v>
      </c>
      <c r="F20" t="s">
        <v>212</v>
      </c>
      <c r="G20" t="s">
        <v>213</v>
      </c>
      <c r="H20">
        <v>1</v>
      </c>
      <c r="I20" t="s">
        <v>195</v>
      </c>
      <c r="J20">
        <v>10</v>
      </c>
      <c r="K20" t="s">
        <v>258</v>
      </c>
      <c r="L20">
        <v>3</v>
      </c>
      <c r="M20" t="s">
        <v>222</v>
      </c>
      <c r="N20">
        <v>2</v>
      </c>
      <c r="O20" s="117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210</v>
      </c>
      <c r="E21" t="s">
        <v>211</v>
      </c>
      <c r="F21" t="s">
        <v>212</v>
      </c>
      <c r="G21" t="s">
        <v>213</v>
      </c>
      <c r="H21">
        <v>1</v>
      </c>
      <c r="I21" t="s">
        <v>195</v>
      </c>
      <c r="J21">
        <v>38</v>
      </c>
      <c r="K21" t="s">
        <v>253</v>
      </c>
      <c r="L21">
        <v>21</v>
      </c>
      <c r="M21" t="s">
        <v>222</v>
      </c>
      <c r="N21">
        <v>2</v>
      </c>
      <c r="O21" s="117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210</v>
      </c>
      <c r="E22" t="s">
        <v>211</v>
      </c>
      <c r="F22" t="s">
        <v>212</v>
      </c>
      <c r="G22" t="s">
        <v>213</v>
      </c>
      <c r="H22">
        <v>1</v>
      </c>
      <c r="I22" t="s">
        <v>195</v>
      </c>
      <c r="J22">
        <v>140</v>
      </c>
      <c r="K22" t="s">
        <v>265</v>
      </c>
      <c r="L22">
        <v>450</v>
      </c>
      <c r="M22" t="s">
        <v>222</v>
      </c>
      <c r="N22">
        <v>2</v>
      </c>
      <c r="O22" s="117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210</v>
      </c>
      <c r="E23" t="s">
        <v>211</v>
      </c>
      <c r="F23" t="s">
        <v>212</v>
      </c>
      <c r="G23" t="s">
        <v>213</v>
      </c>
      <c r="H23">
        <v>1</v>
      </c>
      <c r="I23" t="s">
        <v>195</v>
      </c>
      <c r="J23">
        <v>141</v>
      </c>
      <c r="K23" t="s">
        <v>266</v>
      </c>
      <c r="L23">
        <v>70</v>
      </c>
      <c r="M23" t="s">
        <v>222</v>
      </c>
      <c r="N23">
        <v>2</v>
      </c>
      <c r="O23" s="117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210</v>
      </c>
      <c r="E24" t="s">
        <v>211</v>
      </c>
      <c r="F24" t="s">
        <v>212</v>
      </c>
      <c r="G24" t="s">
        <v>213</v>
      </c>
      <c r="H24">
        <v>1</v>
      </c>
      <c r="I24" t="s">
        <v>195</v>
      </c>
      <c r="J24">
        <v>291</v>
      </c>
      <c r="K24" t="s">
        <v>267</v>
      </c>
      <c r="L24">
        <v>699</v>
      </c>
      <c r="M24" t="s">
        <v>222</v>
      </c>
      <c r="N24">
        <v>2</v>
      </c>
      <c r="O24" s="117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210</v>
      </c>
      <c r="E25" t="s">
        <v>211</v>
      </c>
      <c r="F25" t="s">
        <v>212</v>
      </c>
      <c r="G25" t="s">
        <v>213</v>
      </c>
      <c r="H25">
        <v>1</v>
      </c>
      <c r="I25" t="s">
        <v>195</v>
      </c>
      <c r="J25">
        <v>23</v>
      </c>
      <c r="K25" t="s">
        <v>268</v>
      </c>
      <c r="L25">
        <v>15</v>
      </c>
      <c r="M25" t="s">
        <v>222</v>
      </c>
      <c r="N25">
        <v>2</v>
      </c>
      <c r="O25" s="117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210</v>
      </c>
      <c r="E26" t="s">
        <v>211</v>
      </c>
      <c r="F26" t="s">
        <v>212</v>
      </c>
      <c r="G26" t="s">
        <v>213</v>
      </c>
      <c r="H26">
        <v>1</v>
      </c>
      <c r="I26" t="s">
        <v>195</v>
      </c>
      <c r="J26">
        <v>29</v>
      </c>
      <c r="K26" t="s">
        <v>269</v>
      </c>
      <c r="L26">
        <v>250</v>
      </c>
      <c r="M26" t="s">
        <v>222</v>
      </c>
      <c r="N26">
        <v>2</v>
      </c>
      <c r="O26" s="117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210</v>
      </c>
      <c r="E27" t="s">
        <v>211</v>
      </c>
      <c r="F27" t="s">
        <v>212</v>
      </c>
      <c r="G27" t="s">
        <v>213</v>
      </c>
      <c r="H27">
        <v>1</v>
      </c>
      <c r="I27" t="s">
        <v>195</v>
      </c>
      <c r="J27">
        <v>38</v>
      </c>
      <c r="K27" t="s">
        <v>253</v>
      </c>
      <c r="L27">
        <v>17</v>
      </c>
      <c r="M27" t="s">
        <v>222</v>
      </c>
      <c r="N27">
        <v>2</v>
      </c>
      <c r="O27" s="117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210</v>
      </c>
      <c r="E28" t="s">
        <v>211</v>
      </c>
      <c r="F28" t="s">
        <v>212</v>
      </c>
      <c r="G28" t="s">
        <v>213</v>
      </c>
      <c r="H28">
        <v>1</v>
      </c>
      <c r="I28" t="s">
        <v>195</v>
      </c>
      <c r="J28">
        <v>96</v>
      </c>
      <c r="K28" t="s">
        <v>243</v>
      </c>
      <c r="L28">
        <v>2</v>
      </c>
      <c r="M28" t="s">
        <v>222</v>
      </c>
      <c r="N28">
        <v>2</v>
      </c>
      <c r="O28" s="117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210</v>
      </c>
      <c r="E29" t="s">
        <v>211</v>
      </c>
      <c r="F29" t="s">
        <v>212</v>
      </c>
      <c r="G29" t="s">
        <v>213</v>
      </c>
      <c r="H29">
        <v>1</v>
      </c>
      <c r="I29" t="s">
        <v>195</v>
      </c>
      <c r="J29">
        <v>127</v>
      </c>
      <c r="K29" t="s">
        <v>270</v>
      </c>
      <c r="L29">
        <v>650</v>
      </c>
      <c r="M29" t="s">
        <v>222</v>
      </c>
      <c r="N29">
        <v>2</v>
      </c>
      <c r="O29" s="117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210</v>
      </c>
      <c r="E30" t="s">
        <v>211</v>
      </c>
      <c r="F30" t="s">
        <v>212</v>
      </c>
      <c r="G30" t="s">
        <v>213</v>
      </c>
      <c r="H30">
        <v>1</v>
      </c>
      <c r="I30" t="s">
        <v>195</v>
      </c>
      <c r="J30">
        <v>196</v>
      </c>
      <c r="K30" t="s">
        <v>252</v>
      </c>
      <c r="L30">
        <v>6</v>
      </c>
      <c r="M30" t="s">
        <v>222</v>
      </c>
      <c r="N30">
        <v>2</v>
      </c>
      <c r="O30" s="117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204</v>
      </c>
      <c r="E31" t="s">
        <v>205</v>
      </c>
      <c r="F31" t="s">
        <v>206</v>
      </c>
      <c r="G31" t="s">
        <v>207</v>
      </c>
      <c r="H31">
        <v>13</v>
      </c>
      <c r="I31" t="s">
        <v>208</v>
      </c>
      <c r="J31">
        <v>20</v>
      </c>
      <c r="K31" t="s">
        <v>209</v>
      </c>
      <c r="L31">
        <v>3</v>
      </c>
      <c r="M31" t="s">
        <v>271</v>
      </c>
      <c r="N31">
        <v>1</v>
      </c>
      <c r="O31" s="117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204</v>
      </c>
      <c r="E32" t="s">
        <v>205</v>
      </c>
      <c r="F32" t="s">
        <v>206</v>
      </c>
      <c r="G32" t="s">
        <v>207</v>
      </c>
      <c r="H32">
        <v>13</v>
      </c>
      <c r="I32" t="s">
        <v>208</v>
      </c>
      <c r="J32">
        <v>20</v>
      </c>
      <c r="K32" t="s">
        <v>209</v>
      </c>
      <c r="L32">
        <v>4</v>
      </c>
      <c r="M32" t="s">
        <v>272</v>
      </c>
      <c r="N32">
        <v>1</v>
      </c>
      <c r="O32" s="117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204</v>
      </c>
      <c r="E33" t="s">
        <v>205</v>
      </c>
      <c r="F33" t="s">
        <v>206</v>
      </c>
      <c r="G33" t="s">
        <v>207</v>
      </c>
      <c r="H33">
        <v>13</v>
      </c>
      <c r="I33" t="s">
        <v>208</v>
      </c>
      <c r="J33">
        <v>20</v>
      </c>
      <c r="K33" t="s">
        <v>209</v>
      </c>
      <c r="L33">
        <v>2</v>
      </c>
      <c r="M33" t="s">
        <v>273</v>
      </c>
      <c r="N33">
        <v>1</v>
      </c>
      <c r="O33" s="117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204</v>
      </c>
      <c r="E34" t="s">
        <v>205</v>
      </c>
      <c r="F34" t="s">
        <v>206</v>
      </c>
      <c r="G34" t="s">
        <v>207</v>
      </c>
      <c r="H34">
        <v>13</v>
      </c>
      <c r="I34" t="s">
        <v>208</v>
      </c>
      <c r="J34">
        <v>20</v>
      </c>
      <c r="K34" t="s">
        <v>209</v>
      </c>
      <c r="L34">
        <v>3</v>
      </c>
      <c r="M34" t="s">
        <v>274</v>
      </c>
      <c r="N34">
        <v>1</v>
      </c>
      <c r="O34" s="117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204</v>
      </c>
      <c r="E35" t="s">
        <v>205</v>
      </c>
      <c r="F35" t="s">
        <v>206</v>
      </c>
      <c r="G35" t="s">
        <v>207</v>
      </c>
      <c r="H35">
        <v>13</v>
      </c>
      <c r="I35" t="s">
        <v>208</v>
      </c>
      <c r="J35">
        <v>20</v>
      </c>
      <c r="K35" t="s">
        <v>209</v>
      </c>
      <c r="L35">
        <v>4</v>
      </c>
      <c r="M35" t="s">
        <v>275</v>
      </c>
      <c r="N35">
        <v>1</v>
      </c>
      <c r="O35" s="117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204</v>
      </c>
      <c r="E36" t="s">
        <v>205</v>
      </c>
      <c r="F36" t="s">
        <v>206</v>
      </c>
      <c r="G36" t="s">
        <v>207</v>
      </c>
      <c r="H36">
        <v>13</v>
      </c>
      <c r="I36" t="s">
        <v>208</v>
      </c>
      <c r="J36">
        <v>70</v>
      </c>
      <c r="K36" t="s">
        <v>201</v>
      </c>
      <c r="L36">
        <v>0</v>
      </c>
      <c r="M36" t="s">
        <v>275</v>
      </c>
      <c r="N36">
        <v>1</v>
      </c>
      <c r="O36" s="117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204</v>
      </c>
      <c r="E37" t="s">
        <v>205</v>
      </c>
      <c r="F37" t="s">
        <v>206</v>
      </c>
      <c r="G37" t="s">
        <v>207</v>
      </c>
      <c r="H37">
        <v>13</v>
      </c>
      <c r="I37" t="s">
        <v>208</v>
      </c>
      <c r="J37">
        <v>20</v>
      </c>
      <c r="K37" t="s">
        <v>209</v>
      </c>
      <c r="L37">
        <v>4</v>
      </c>
      <c r="M37" t="s">
        <v>276</v>
      </c>
      <c r="N37">
        <v>1</v>
      </c>
      <c r="O37" s="117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204</v>
      </c>
      <c r="E38" t="s">
        <v>205</v>
      </c>
      <c r="F38" t="s">
        <v>206</v>
      </c>
      <c r="G38" t="s">
        <v>207</v>
      </c>
      <c r="H38">
        <v>13</v>
      </c>
      <c r="I38" t="s">
        <v>208</v>
      </c>
      <c r="J38">
        <v>20</v>
      </c>
      <c r="K38" t="s">
        <v>209</v>
      </c>
      <c r="L38">
        <v>3</v>
      </c>
      <c r="M38" t="s">
        <v>277</v>
      </c>
      <c r="N38">
        <v>1</v>
      </c>
      <c r="O38" s="117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204</v>
      </c>
      <c r="E39" t="s">
        <v>205</v>
      </c>
      <c r="F39" t="s">
        <v>206</v>
      </c>
      <c r="G39" t="s">
        <v>207</v>
      </c>
      <c r="H39">
        <v>13</v>
      </c>
      <c r="I39" t="s">
        <v>208</v>
      </c>
      <c r="J39">
        <v>70</v>
      </c>
      <c r="K39" t="s">
        <v>201</v>
      </c>
      <c r="L39">
        <v>0</v>
      </c>
      <c r="M39" t="s">
        <v>277</v>
      </c>
      <c r="N39">
        <v>1</v>
      </c>
      <c r="O39" s="117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210</v>
      </c>
      <c r="E40" t="s">
        <v>211</v>
      </c>
      <c r="F40" t="s">
        <v>212</v>
      </c>
      <c r="G40" t="s">
        <v>213</v>
      </c>
      <c r="H40">
        <v>1</v>
      </c>
      <c r="I40" t="s">
        <v>195</v>
      </c>
      <c r="J40">
        <v>12</v>
      </c>
      <c r="K40" t="s">
        <v>229</v>
      </c>
      <c r="L40">
        <v>1</v>
      </c>
      <c r="M40" t="s">
        <v>278</v>
      </c>
      <c r="N40">
        <v>1</v>
      </c>
      <c r="O40" s="117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210</v>
      </c>
      <c r="E41" t="s">
        <v>211</v>
      </c>
      <c r="F41" t="s">
        <v>212</v>
      </c>
      <c r="G41" t="s">
        <v>213</v>
      </c>
      <c r="H41">
        <v>1</v>
      </c>
      <c r="I41" t="s">
        <v>195</v>
      </c>
      <c r="J41">
        <v>71</v>
      </c>
      <c r="K41" t="s">
        <v>257</v>
      </c>
      <c r="L41">
        <v>2</v>
      </c>
      <c r="M41" t="s">
        <v>278</v>
      </c>
      <c r="N41">
        <v>1</v>
      </c>
      <c r="O41" s="117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210</v>
      </c>
      <c r="E42" t="s">
        <v>211</v>
      </c>
      <c r="F42" t="s">
        <v>212</v>
      </c>
      <c r="G42" t="s">
        <v>213</v>
      </c>
      <c r="H42">
        <v>1</v>
      </c>
      <c r="I42" t="s">
        <v>195</v>
      </c>
      <c r="J42">
        <v>210</v>
      </c>
      <c r="K42" t="s">
        <v>279</v>
      </c>
      <c r="L42">
        <v>1</v>
      </c>
      <c r="M42" t="s">
        <v>278</v>
      </c>
      <c r="N42">
        <v>1</v>
      </c>
      <c r="O42" s="117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210</v>
      </c>
      <c r="E43" t="s">
        <v>211</v>
      </c>
      <c r="F43" t="s">
        <v>212</v>
      </c>
      <c r="G43" t="s">
        <v>213</v>
      </c>
      <c r="H43">
        <v>1</v>
      </c>
      <c r="I43" t="s">
        <v>195</v>
      </c>
      <c r="J43">
        <v>81</v>
      </c>
      <c r="K43" t="s">
        <v>280</v>
      </c>
      <c r="L43">
        <v>1</v>
      </c>
      <c r="M43" t="s">
        <v>281</v>
      </c>
      <c r="N43">
        <v>1</v>
      </c>
      <c r="O43" s="117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210</v>
      </c>
      <c r="E44" t="s">
        <v>211</v>
      </c>
      <c r="F44" t="s">
        <v>212</v>
      </c>
      <c r="G44" t="s">
        <v>213</v>
      </c>
      <c r="H44">
        <v>1</v>
      </c>
      <c r="I44" t="s">
        <v>195</v>
      </c>
      <c r="J44">
        <v>95</v>
      </c>
      <c r="K44" t="s">
        <v>282</v>
      </c>
      <c r="L44">
        <v>10</v>
      </c>
      <c r="M44" t="s">
        <v>281</v>
      </c>
      <c r="N44">
        <v>1</v>
      </c>
      <c r="O44" s="117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283</v>
      </c>
      <c r="E45" t="s">
        <v>284</v>
      </c>
      <c r="F45" t="s">
        <v>285</v>
      </c>
      <c r="G45" t="s">
        <v>286</v>
      </c>
      <c r="H45">
        <v>20</v>
      </c>
      <c r="I45" t="s">
        <v>287</v>
      </c>
      <c r="J45">
        <v>5</v>
      </c>
      <c r="K45" t="s">
        <v>241</v>
      </c>
      <c r="L45">
        <v>2</v>
      </c>
      <c r="M45" t="s">
        <v>288</v>
      </c>
      <c r="N45">
        <v>1</v>
      </c>
      <c r="O45" s="117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283</v>
      </c>
      <c r="E46" t="s">
        <v>284</v>
      </c>
      <c r="F46" t="s">
        <v>285</v>
      </c>
      <c r="G46" t="s">
        <v>286</v>
      </c>
      <c r="H46">
        <v>20</v>
      </c>
      <c r="I46" t="s">
        <v>287</v>
      </c>
      <c r="J46">
        <v>71</v>
      </c>
      <c r="K46" t="s">
        <v>257</v>
      </c>
      <c r="L46">
        <v>12</v>
      </c>
      <c r="M46" t="s">
        <v>288</v>
      </c>
      <c r="N46">
        <v>1</v>
      </c>
      <c r="O46" s="117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283</v>
      </c>
      <c r="E47" t="s">
        <v>284</v>
      </c>
      <c r="F47" t="s">
        <v>285</v>
      </c>
      <c r="G47" t="s">
        <v>286</v>
      </c>
      <c r="H47">
        <v>20</v>
      </c>
      <c r="I47" t="s">
        <v>287</v>
      </c>
      <c r="J47">
        <v>81</v>
      </c>
      <c r="K47" t="s">
        <v>280</v>
      </c>
      <c r="L47">
        <v>1</v>
      </c>
      <c r="M47" t="s">
        <v>288</v>
      </c>
      <c r="N47">
        <v>1</v>
      </c>
      <c r="O47" s="117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14</v>
      </c>
      <c r="E48" t="s">
        <v>289</v>
      </c>
      <c r="F48" t="s">
        <v>290</v>
      </c>
      <c r="G48" t="s">
        <v>291</v>
      </c>
      <c r="H48">
        <v>1</v>
      </c>
      <c r="I48" t="s">
        <v>195</v>
      </c>
      <c r="J48">
        <v>71</v>
      </c>
      <c r="K48" t="s">
        <v>257</v>
      </c>
      <c r="L48">
        <v>40</v>
      </c>
      <c r="M48" t="s">
        <v>292</v>
      </c>
      <c r="N48">
        <v>1</v>
      </c>
      <c r="O48" s="117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293</v>
      </c>
      <c r="E49" t="s">
        <v>294</v>
      </c>
      <c r="F49" t="s">
        <v>295</v>
      </c>
      <c r="G49" t="s">
        <v>296</v>
      </c>
      <c r="H49">
        <v>1</v>
      </c>
      <c r="I49" t="s">
        <v>195</v>
      </c>
      <c r="J49">
        <v>71</v>
      </c>
      <c r="K49" t="s">
        <v>257</v>
      </c>
      <c r="L49">
        <v>2</v>
      </c>
      <c r="M49" t="s">
        <v>297</v>
      </c>
      <c r="N49">
        <v>1</v>
      </c>
      <c r="O49" s="117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293</v>
      </c>
      <c r="E50" t="s">
        <v>294</v>
      </c>
      <c r="F50" t="s">
        <v>295</v>
      </c>
      <c r="G50" t="s">
        <v>296</v>
      </c>
      <c r="H50">
        <v>1</v>
      </c>
      <c r="I50" t="s">
        <v>195</v>
      </c>
      <c r="J50">
        <v>12</v>
      </c>
      <c r="K50" t="s">
        <v>229</v>
      </c>
      <c r="L50">
        <v>2</v>
      </c>
      <c r="M50" t="s">
        <v>298</v>
      </c>
      <c r="N50">
        <v>1</v>
      </c>
      <c r="O50" s="117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293</v>
      </c>
      <c r="E51" t="s">
        <v>294</v>
      </c>
      <c r="F51" t="s">
        <v>295</v>
      </c>
      <c r="G51" t="s">
        <v>296</v>
      </c>
      <c r="H51">
        <v>1</v>
      </c>
      <c r="I51" t="s">
        <v>195</v>
      </c>
      <c r="J51">
        <v>71</v>
      </c>
      <c r="K51" t="s">
        <v>257</v>
      </c>
      <c r="L51">
        <v>1</v>
      </c>
      <c r="M51" t="s">
        <v>298</v>
      </c>
      <c r="N51">
        <v>1</v>
      </c>
      <c r="O51" s="117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293</v>
      </c>
      <c r="E52" t="s">
        <v>294</v>
      </c>
      <c r="F52" t="s">
        <v>295</v>
      </c>
      <c r="G52" t="s">
        <v>296</v>
      </c>
      <c r="H52">
        <v>1</v>
      </c>
      <c r="I52" t="s">
        <v>195</v>
      </c>
      <c r="J52">
        <v>71</v>
      </c>
      <c r="K52" t="s">
        <v>257</v>
      </c>
      <c r="L52">
        <v>5</v>
      </c>
      <c r="M52" t="s">
        <v>299</v>
      </c>
      <c r="N52">
        <v>1</v>
      </c>
      <c r="O52" s="117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293</v>
      </c>
      <c r="E53" t="s">
        <v>294</v>
      </c>
      <c r="F53" t="s">
        <v>295</v>
      </c>
      <c r="G53" t="s">
        <v>296</v>
      </c>
      <c r="H53">
        <v>1</v>
      </c>
      <c r="I53" t="s">
        <v>195</v>
      </c>
      <c r="J53">
        <v>71</v>
      </c>
      <c r="K53" t="s">
        <v>257</v>
      </c>
      <c r="L53">
        <v>1</v>
      </c>
      <c r="M53" t="s">
        <v>300</v>
      </c>
      <c r="N53">
        <v>1</v>
      </c>
      <c r="O53" s="117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293</v>
      </c>
      <c r="E54" t="s">
        <v>294</v>
      </c>
      <c r="F54" t="s">
        <v>295</v>
      </c>
      <c r="G54" t="s">
        <v>296</v>
      </c>
      <c r="H54">
        <v>1</v>
      </c>
      <c r="I54" t="s">
        <v>195</v>
      </c>
      <c r="J54">
        <v>71</v>
      </c>
      <c r="K54" t="s">
        <v>257</v>
      </c>
      <c r="L54">
        <v>3</v>
      </c>
      <c r="M54" t="s">
        <v>301</v>
      </c>
      <c r="N54">
        <v>1</v>
      </c>
      <c r="O54" s="117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293</v>
      </c>
      <c r="E55" t="s">
        <v>294</v>
      </c>
      <c r="F55" t="s">
        <v>295</v>
      </c>
      <c r="G55" t="s">
        <v>296</v>
      </c>
      <c r="H55">
        <v>1</v>
      </c>
      <c r="I55" t="s">
        <v>195</v>
      </c>
      <c r="J55">
        <v>71</v>
      </c>
      <c r="K55" t="s">
        <v>257</v>
      </c>
      <c r="L55">
        <v>2</v>
      </c>
      <c r="M55" t="s">
        <v>302</v>
      </c>
      <c r="N55">
        <v>1</v>
      </c>
      <c r="O55" s="117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293</v>
      </c>
      <c r="E56" t="s">
        <v>294</v>
      </c>
      <c r="F56" t="s">
        <v>295</v>
      </c>
      <c r="G56" t="s">
        <v>296</v>
      </c>
      <c r="H56">
        <v>1</v>
      </c>
      <c r="I56" t="s">
        <v>195</v>
      </c>
      <c r="J56">
        <v>71</v>
      </c>
      <c r="K56" t="s">
        <v>257</v>
      </c>
      <c r="L56">
        <v>1</v>
      </c>
      <c r="M56" t="s">
        <v>303</v>
      </c>
      <c r="N56">
        <v>1</v>
      </c>
      <c r="O56" s="117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293</v>
      </c>
      <c r="E57" t="s">
        <v>294</v>
      </c>
      <c r="F57" t="s">
        <v>295</v>
      </c>
      <c r="G57" t="s">
        <v>296</v>
      </c>
      <c r="H57">
        <v>1</v>
      </c>
      <c r="I57" t="s">
        <v>195</v>
      </c>
      <c r="J57">
        <v>71</v>
      </c>
      <c r="K57" t="s">
        <v>257</v>
      </c>
      <c r="L57">
        <v>1</v>
      </c>
      <c r="M57" t="s">
        <v>304</v>
      </c>
      <c r="N57">
        <v>1</v>
      </c>
      <c r="O57" s="117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293</v>
      </c>
      <c r="E58" t="s">
        <v>294</v>
      </c>
      <c r="F58" t="s">
        <v>295</v>
      </c>
      <c r="G58" t="s">
        <v>296</v>
      </c>
      <c r="H58">
        <v>1</v>
      </c>
      <c r="I58" t="s">
        <v>195</v>
      </c>
      <c r="J58">
        <v>71</v>
      </c>
      <c r="K58" t="s">
        <v>257</v>
      </c>
      <c r="L58">
        <v>4</v>
      </c>
      <c r="M58" t="s">
        <v>305</v>
      </c>
      <c r="N58">
        <v>1</v>
      </c>
      <c r="O58" s="117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293</v>
      </c>
      <c r="E59" t="s">
        <v>294</v>
      </c>
      <c r="F59" t="s">
        <v>295</v>
      </c>
      <c r="G59" t="s">
        <v>296</v>
      </c>
      <c r="H59">
        <v>1</v>
      </c>
      <c r="I59" t="s">
        <v>195</v>
      </c>
      <c r="J59">
        <v>71</v>
      </c>
      <c r="K59" t="s">
        <v>257</v>
      </c>
      <c r="L59">
        <v>1</v>
      </c>
      <c r="M59" t="s">
        <v>306</v>
      </c>
      <c r="N59">
        <v>1</v>
      </c>
      <c r="O59" s="117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293</v>
      </c>
      <c r="E60" t="s">
        <v>294</v>
      </c>
      <c r="F60" t="s">
        <v>295</v>
      </c>
      <c r="G60" t="s">
        <v>296</v>
      </c>
      <c r="H60">
        <v>1</v>
      </c>
      <c r="I60" t="s">
        <v>195</v>
      </c>
      <c r="J60">
        <v>71</v>
      </c>
      <c r="K60" t="s">
        <v>257</v>
      </c>
      <c r="L60">
        <v>15</v>
      </c>
      <c r="M60" t="s">
        <v>307</v>
      </c>
      <c r="N60">
        <v>1</v>
      </c>
      <c r="O60" s="117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293</v>
      </c>
      <c r="E61" t="s">
        <v>294</v>
      </c>
      <c r="F61" t="s">
        <v>295</v>
      </c>
      <c r="G61" t="s">
        <v>296</v>
      </c>
      <c r="H61">
        <v>1</v>
      </c>
      <c r="I61" t="s">
        <v>195</v>
      </c>
      <c r="J61">
        <v>71</v>
      </c>
      <c r="K61" t="s">
        <v>257</v>
      </c>
      <c r="L61">
        <v>1</v>
      </c>
      <c r="M61" t="s">
        <v>308</v>
      </c>
      <c r="N61">
        <v>1</v>
      </c>
      <c r="O61" s="117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293</v>
      </c>
      <c r="E62" t="s">
        <v>294</v>
      </c>
      <c r="F62" t="s">
        <v>295</v>
      </c>
      <c r="G62" t="s">
        <v>296</v>
      </c>
      <c r="H62">
        <v>1</v>
      </c>
      <c r="I62" t="s">
        <v>195</v>
      </c>
      <c r="J62">
        <v>71</v>
      </c>
      <c r="K62" t="s">
        <v>257</v>
      </c>
      <c r="L62">
        <v>2</v>
      </c>
      <c r="M62" t="s">
        <v>309</v>
      </c>
      <c r="N62">
        <v>1</v>
      </c>
      <c r="O62" s="117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293</v>
      </c>
      <c r="E63" t="s">
        <v>294</v>
      </c>
      <c r="F63" t="s">
        <v>295</v>
      </c>
      <c r="G63" t="s">
        <v>296</v>
      </c>
      <c r="H63">
        <v>1</v>
      </c>
      <c r="I63" t="s">
        <v>195</v>
      </c>
      <c r="J63">
        <v>71</v>
      </c>
      <c r="K63" t="s">
        <v>257</v>
      </c>
      <c r="L63">
        <v>7</v>
      </c>
      <c r="M63" t="s">
        <v>310</v>
      </c>
      <c r="N63">
        <v>1</v>
      </c>
      <c r="O63" s="117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293</v>
      </c>
      <c r="E64" t="s">
        <v>294</v>
      </c>
      <c r="F64" t="s">
        <v>295</v>
      </c>
      <c r="G64" t="s">
        <v>296</v>
      </c>
      <c r="H64">
        <v>1</v>
      </c>
      <c r="I64" t="s">
        <v>195</v>
      </c>
      <c r="J64">
        <v>71</v>
      </c>
      <c r="K64" t="s">
        <v>257</v>
      </c>
      <c r="L64">
        <v>4</v>
      </c>
      <c r="M64" t="s">
        <v>311</v>
      </c>
      <c r="N64">
        <v>1</v>
      </c>
      <c r="O64" s="117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293</v>
      </c>
      <c r="E65" t="s">
        <v>294</v>
      </c>
      <c r="F65" t="s">
        <v>295</v>
      </c>
      <c r="G65" t="s">
        <v>296</v>
      </c>
      <c r="H65">
        <v>1</v>
      </c>
      <c r="I65" t="s">
        <v>195</v>
      </c>
      <c r="J65">
        <v>71</v>
      </c>
      <c r="K65" t="s">
        <v>257</v>
      </c>
      <c r="L65">
        <v>1</v>
      </c>
      <c r="M65" t="s">
        <v>312</v>
      </c>
      <c r="N65">
        <v>1</v>
      </c>
      <c r="O65" s="117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293</v>
      </c>
      <c r="E66" t="s">
        <v>294</v>
      </c>
      <c r="F66" t="s">
        <v>295</v>
      </c>
      <c r="G66" t="s">
        <v>296</v>
      </c>
      <c r="H66">
        <v>1</v>
      </c>
      <c r="I66" t="s">
        <v>195</v>
      </c>
      <c r="J66">
        <v>71</v>
      </c>
      <c r="K66" t="s">
        <v>257</v>
      </c>
      <c r="L66">
        <v>4</v>
      </c>
      <c r="M66" t="s">
        <v>313</v>
      </c>
      <c r="N66">
        <v>1</v>
      </c>
      <c r="O66" s="117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293</v>
      </c>
      <c r="E67" t="s">
        <v>294</v>
      </c>
      <c r="F67" t="s">
        <v>295</v>
      </c>
      <c r="G67" t="s">
        <v>296</v>
      </c>
      <c r="H67">
        <v>1</v>
      </c>
      <c r="I67" t="s">
        <v>195</v>
      </c>
      <c r="J67">
        <v>71</v>
      </c>
      <c r="K67" t="s">
        <v>257</v>
      </c>
      <c r="L67">
        <v>5</v>
      </c>
      <c r="M67" t="s">
        <v>314</v>
      </c>
      <c r="N67">
        <v>1</v>
      </c>
      <c r="O67" s="117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293</v>
      </c>
      <c r="E68" t="s">
        <v>294</v>
      </c>
      <c r="F68" t="s">
        <v>295</v>
      </c>
      <c r="G68" t="s">
        <v>296</v>
      </c>
      <c r="H68">
        <v>1</v>
      </c>
      <c r="I68" t="s">
        <v>195</v>
      </c>
      <c r="J68">
        <v>71</v>
      </c>
      <c r="K68" t="s">
        <v>257</v>
      </c>
      <c r="L68">
        <v>2</v>
      </c>
      <c r="M68" t="s">
        <v>315</v>
      </c>
      <c r="N68">
        <v>1</v>
      </c>
      <c r="O68" s="117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14</v>
      </c>
      <c r="E69" t="s">
        <v>289</v>
      </c>
      <c r="F69" t="s">
        <v>290</v>
      </c>
      <c r="G69" t="s">
        <v>291</v>
      </c>
      <c r="H69">
        <v>1</v>
      </c>
      <c r="I69" t="s">
        <v>195</v>
      </c>
      <c r="J69">
        <v>5</v>
      </c>
      <c r="K69" t="s">
        <v>241</v>
      </c>
      <c r="L69">
        <v>11</v>
      </c>
      <c r="M69" t="s">
        <v>316</v>
      </c>
      <c r="N69">
        <v>1</v>
      </c>
      <c r="O69" s="117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14</v>
      </c>
      <c r="E70" t="s">
        <v>289</v>
      </c>
      <c r="F70" t="s">
        <v>290</v>
      </c>
      <c r="G70" t="s">
        <v>291</v>
      </c>
      <c r="H70">
        <v>1</v>
      </c>
      <c r="I70" t="s">
        <v>195</v>
      </c>
      <c r="J70">
        <v>71</v>
      </c>
      <c r="K70" t="s">
        <v>257</v>
      </c>
      <c r="L70">
        <v>2</v>
      </c>
      <c r="M70" t="s">
        <v>316</v>
      </c>
      <c r="N70">
        <v>1</v>
      </c>
      <c r="O70" s="117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14</v>
      </c>
      <c r="E71" t="s">
        <v>289</v>
      </c>
      <c r="F71" t="s">
        <v>290</v>
      </c>
      <c r="G71" t="s">
        <v>291</v>
      </c>
      <c r="H71">
        <v>1</v>
      </c>
      <c r="I71" t="s">
        <v>195</v>
      </c>
      <c r="J71">
        <v>215</v>
      </c>
      <c r="K71" t="s">
        <v>317</v>
      </c>
      <c r="L71">
        <v>2</v>
      </c>
      <c r="M71" t="s">
        <v>316</v>
      </c>
      <c r="N71">
        <v>1</v>
      </c>
      <c r="O71" s="117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204</v>
      </c>
      <c r="E72" t="s">
        <v>205</v>
      </c>
      <c r="F72" t="s">
        <v>206</v>
      </c>
      <c r="G72" t="s">
        <v>207</v>
      </c>
      <c r="H72">
        <v>13</v>
      </c>
      <c r="I72" t="s">
        <v>208</v>
      </c>
      <c r="J72">
        <v>20</v>
      </c>
      <c r="K72" t="s">
        <v>209</v>
      </c>
      <c r="L72">
        <v>2</v>
      </c>
      <c r="M72" t="s">
        <v>318</v>
      </c>
      <c r="N72">
        <v>1</v>
      </c>
      <c r="O72" s="117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204</v>
      </c>
      <c r="E73" t="s">
        <v>205</v>
      </c>
      <c r="F73" t="s">
        <v>206</v>
      </c>
      <c r="G73" t="s">
        <v>207</v>
      </c>
      <c r="H73">
        <v>13</v>
      </c>
      <c r="I73" t="s">
        <v>208</v>
      </c>
      <c r="J73">
        <v>68</v>
      </c>
      <c r="K73" t="s">
        <v>319</v>
      </c>
      <c r="L73">
        <v>651</v>
      </c>
      <c r="M73" t="s">
        <v>318</v>
      </c>
      <c r="N73">
        <v>1</v>
      </c>
      <c r="O73" s="117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204</v>
      </c>
      <c r="E74" t="s">
        <v>205</v>
      </c>
      <c r="F74" t="s">
        <v>206</v>
      </c>
      <c r="G74" t="s">
        <v>207</v>
      </c>
      <c r="H74">
        <v>13</v>
      </c>
      <c r="I74" t="s">
        <v>208</v>
      </c>
      <c r="J74">
        <v>20</v>
      </c>
      <c r="K74" t="s">
        <v>209</v>
      </c>
      <c r="L74">
        <v>4</v>
      </c>
      <c r="M74" t="s">
        <v>320</v>
      </c>
      <c r="N74">
        <v>1</v>
      </c>
      <c r="O74" s="117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204</v>
      </c>
      <c r="E75" t="s">
        <v>205</v>
      </c>
      <c r="F75" t="s">
        <v>206</v>
      </c>
      <c r="G75" t="s">
        <v>207</v>
      </c>
      <c r="H75">
        <v>13</v>
      </c>
      <c r="I75" t="s">
        <v>208</v>
      </c>
      <c r="J75">
        <v>68</v>
      </c>
      <c r="K75" t="s">
        <v>319</v>
      </c>
      <c r="L75">
        <v>1176</v>
      </c>
      <c r="M75" t="s">
        <v>320</v>
      </c>
      <c r="N75">
        <v>1</v>
      </c>
      <c r="O75" s="117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204</v>
      </c>
      <c r="E76" t="s">
        <v>205</v>
      </c>
      <c r="F76" t="s">
        <v>206</v>
      </c>
      <c r="G76" t="s">
        <v>207</v>
      </c>
      <c r="H76">
        <v>13</v>
      </c>
      <c r="I76" t="s">
        <v>208</v>
      </c>
      <c r="J76">
        <v>20</v>
      </c>
      <c r="K76" t="s">
        <v>209</v>
      </c>
      <c r="L76">
        <v>3</v>
      </c>
      <c r="M76" t="s">
        <v>321</v>
      </c>
      <c r="N76">
        <v>1</v>
      </c>
      <c r="O76" s="117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204</v>
      </c>
      <c r="E77" t="s">
        <v>205</v>
      </c>
      <c r="F77" t="s">
        <v>206</v>
      </c>
      <c r="G77" t="s">
        <v>207</v>
      </c>
      <c r="H77">
        <v>13</v>
      </c>
      <c r="I77" t="s">
        <v>208</v>
      </c>
      <c r="J77">
        <v>68</v>
      </c>
      <c r="K77" t="s">
        <v>319</v>
      </c>
      <c r="L77">
        <v>903</v>
      </c>
      <c r="M77" t="s">
        <v>321</v>
      </c>
      <c r="N77">
        <v>1</v>
      </c>
      <c r="O77" s="117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210</v>
      </c>
      <c r="E78" t="s">
        <v>211</v>
      </c>
      <c r="F78" t="s">
        <v>212</v>
      </c>
      <c r="G78" t="s">
        <v>213</v>
      </c>
      <c r="H78">
        <v>1</v>
      </c>
      <c r="I78" t="s">
        <v>195</v>
      </c>
      <c r="J78">
        <v>70</v>
      </c>
      <c r="K78" t="s">
        <v>201</v>
      </c>
      <c r="L78">
        <v>2</v>
      </c>
      <c r="M78" t="s">
        <v>322</v>
      </c>
      <c r="N78">
        <v>1</v>
      </c>
      <c r="O78" s="117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210</v>
      </c>
      <c r="E79" t="s">
        <v>211</v>
      </c>
      <c r="F79" t="s">
        <v>212</v>
      </c>
      <c r="G79" t="s">
        <v>213</v>
      </c>
      <c r="H79">
        <v>1</v>
      </c>
      <c r="I79" t="s">
        <v>195</v>
      </c>
      <c r="J79">
        <v>289</v>
      </c>
      <c r="K79" t="s">
        <v>230</v>
      </c>
      <c r="L79">
        <v>19</v>
      </c>
      <c r="M79" t="s">
        <v>322</v>
      </c>
      <c r="N79">
        <v>1</v>
      </c>
      <c r="O79" s="117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210</v>
      </c>
      <c r="E80" t="s">
        <v>211</v>
      </c>
      <c r="F80" t="s">
        <v>212</v>
      </c>
      <c r="G80" t="s">
        <v>213</v>
      </c>
      <c r="H80">
        <v>1</v>
      </c>
      <c r="I80" t="s">
        <v>195</v>
      </c>
      <c r="J80">
        <v>302</v>
      </c>
      <c r="K80" t="s">
        <v>323</v>
      </c>
      <c r="L80">
        <v>2</v>
      </c>
      <c r="M80" t="s">
        <v>322</v>
      </c>
      <c r="N80">
        <v>1</v>
      </c>
      <c r="O80" s="117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214</v>
      </c>
      <c r="E81" t="s">
        <v>215</v>
      </c>
      <c r="F81" t="s">
        <v>216</v>
      </c>
      <c r="G81" t="s">
        <v>217</v>
      </c>
      <c r="H81">
        <v>1</v>
      </c>
      <c r="I81" t="s">
        <v>195</v>
      </c>
      <c r="J81">
        <v>70</v>
      </c>
      <c r="K81" t="s">
        <v>201</v>
      </c>
      <c r="L81">
        <v>8</v>
      </c>
      <c r="M81" t="s">
        <v>324</v>
      </c>
      <c r="N81">
        <v>1</v>
      </c>
      <c r="O81" s="117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214</v>
      </c>
      <c r="E82" t="s">
        <v>215</v>
      </c>
      <c r="F82" t="s">
        <v>216</v>
      </c>
      <c r="G82" t="s">
        <v>217</v>
      </c>
      <c r="H82">
        <v>1</v>
      </c>
      <c r="I82" t="s">
        <v>195</v>
      </c>
      <c r="J82">
        <v>304</v>
      </c>
      <c r="K82" t="s">
        <v>247</v>
      </c>
      <c r="L82">
        <v>195</v>
      </c>
      <c r="M82" t="s">
        <v>324</v>
      </c>
      <c r="N82">
        <v>1</v>
      </c>
      <c r="O82" s="117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214</v>
      </c>
      <c r="E83" t="s">
        <v>215</v>
      </c>
      <c r="F83" t="s">
        <v>216</v>
      </c>
      <c r="G83" t="s">
        <v>217</v>
      </c>
      <c r="H83">
        <v>1</v>
      </c>
      <c r="I83" t="s">
        <v>195</v>
      </c>
      <c r="J83">
        <v>307</v>
      </c>
      <c r="K83" t="s">
        <v>248</v>
      </c>
      <c r="L83">
        <v>35</v>
      </c>
      <c r="M83" t="s">
        <v>324</v>
      </c>
      <c r="N83">
        <v>1</v>
      </c>
      <c r="O83" s="117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214</v>
      </c>
      <c r="E84" t="s">
        <v>215</v>
      </c>
      <c r="F84" t="s">
        <v>216</v>
      </c>
      <c r="G84" t="s">
        <v>217</v>
      </c>
      <c r="H84">
        <v>1</v>
      </c>
      <c r="I84" t="s">
        <v>195</v>
      </c>
      <c r="J84">
        <v>316</v>
      </c>
      <c r="K84" t="s">
        <v>249</v>
      </c>
      <c r="L84">
        <v>130</v>
      </c>
      <c r="M84" t="s">
        <v>324</v>
      </c>
      <c r="N84">
        <v>1</v>
      </c>
      <c r="O84" s="117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214</v>
      </c>
      <c r="E85" t="s">
        <v>215</v>
      </c>
      <c r="F85" t="s">
        <v>216</v>
      </c>
      <c r="G85" t="s">
        <v>217</v>
      </c>
      <c r="H85">
        <v>1</v>
      </c>
      <c r="I85" t="s">
        <v>195</v>
      </c>
      <c r="J85">
        <v>70</v>
      </c>
      <c r="K85" t="s">
        <v>201</v>
      </c>
      <c r="L85">
        <v>1</v>
      </c>
      <c r="M85" t="s">
        <v>325</v>
      </c>
      <c r="N85">
        <v>1</v>
      </c>
      <c r="O85" s="117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214</v>
      </c>
      <c r="E86" t="s">
        <v>215</v>
      </c>
      <c r="F86" t="s">
        <v>216</v>
      </c>
      <c r="G86" t="s">
        <v>217</v>
      </c>
      <c r="H86">
        <v>1</v>
      </c>
      <c r="I86" t="s">
        <v>195</v>
      </c>
      <c r="J86">
        <v>305</v>
      </c>
      <c r="K86" t="s">
        <v>246</v>
      </c>
      <c r="L86">
        <v>100</v>
      </c>
      <c r="M86" t="s">
        <v>325</v>
      </c>
      <c r="N86">
        <v>1</v>
      </c>
      <c r="O86" s="117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326</v>
      </c>
      <c r="E87" t="s">
        <v>327</v>
      </c>
      <c r="F87" t="s">
        <v>328</v>
      </c>
      <c r="G87" t="s">
        <v>329</v>
      </c>
      <c r="H87">
        <v>22</v>
      </c>
      <c r="I87" t="s">
        <v>330</v>
      </c>
      <c r="J87">
        <v>61</v>
      </c>
      <c r="K87" t="s">
        <v>331</v>
      </c>
      <c r="L87">
        <v>43</v>
      </c>
      <c r="M87" t="s">
        <v>332</v>
      </c>
      <c r="N87">
        <v>1</v>
      </c>
      <c r="O87" s="117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326</v>
      </c>
      <c r="E88" t="s">
        <v>327</v>
      </c>
      <c r="F88" t="s">
        <v>328</v>
      </c>
      <c r="G88" t="s">
        <v>329</v>
      </c>
      <c r="H88">
        <v>22</v>
      </c>
      <c r="I88" t="s">
        <v>330</v>
      </c>
      <c r="J88">
        <v>78</v>
      </c>
      <c r="K88" t="s">
        <v>264</v>
      </c>
      <c r="L88">
        <v>4</v>
      </c>
      <c r="M88" t="s">
        <v>332</v>
      </c>
      <c r="N88">
        <v>1</v>
      </c>
      <c r="O88" s="117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223</v>
      </c>
      <c r="E89" t="s">
        <v>224</v>
      </c>
      <c r="F89" t="s">
        <v>225</v>
      </c>
      <c r="G89" t="s">
        <v>226</v>
      </c>
      <c r="H89">
        <v>5</v>
      </c>
      <c r="I89" t="s">
        <v>227</v>
      </c>
      <c r="J89">
        <v>70</v>
      </c>
      <c r="K89" t="s">
        <v>201</v>
      </c>
      <c r="L89">
        <v>3</v>
      </c>
      <c r="M89" t="s">
        <v>222</v>
      </c>
      <c r="N89">
        <v>1</v>
      </c>
      <c r="O89" s="117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223</v>
      </c>
      <c r="E90" t="s">
        <v>224</v>
      </c>
      <c r="F90" t="s">
        <v>225</v>
      </c>
      <c r="G90" t="s">
        <v>226</v>
      </c>
      <c r="H90">
        <v>5</v>
      </c>
      <c r="I90" t="s">
        <v>227</v>
      </c>
      <c r="J90">
        <v>289</v>
      </c>
      <c r="K90" t="s">
        <v>230</v>
      </c>
      <c r="L90">
        <v>396</v>
      </c>
      <c r="M90" t="s">
        <v>222</v>
      </c>
      <c r="N90">
        <v>1</v>
      </c>
      <c r="O90" s="117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250</v>
      </c>
      <c r="E91" t="s">
        <v>222</v>
      </c>
      <c r="F91" t="s">
        <v>222</v>
      </c>
      <c r="G91" t="s">
        <v>251</v>
      </c>
      <c r="H91">
        <v>1</v>
      </c>
      <c r="I91" t="s">
        <v>195</v>
      </c>
      <c r="J91">
        <v>70</v>
      </c>
      <c r="K91" t="s">
        <v>201</v>
      </c>
      <c r="L91">
        <v>5</v>
      </c>
      <c r="M91" t="s">
        <v>333</v>
      </c>
      <c r="N91">
        <v>1</v>
      </c>
      <c r="O91" s="117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250</v>
      </c>
      <c r="E92" t="s">
        <v>222</v>
      </c>
      <c r="F92" t="s">
        <v>222</v>
      </c>
      <c r="G92" t="s">
        <v>251</v>
      </c>
      <c r="H92">
        <v>1</v>
      </c>
      <c r="I92" t="s">
        <v>195</v>
      </c>
      <c r="J92">
        <v>304</v>
      </c>
      <c r="K92" t="s">
        <v>247</v>
      </c>
      <c r="L92">
        <v>180</v>
      </c>
      <c r="M92" t="s">
        <v>333</v>
      </c>
      <c r="N92">
        <v>1</v>
      </c>
      <c r="O92" s="117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250</v>
      </c>
      <c r="E93" t="s">
        <v>222</v>
      </c>
      <c r="F93" t="s">
        <v>222</v>
      </c>
      <c r="G93" t="s">
        <v>251</v>
      </c>
      <c r="H93">
        <v>1</v>
      </c>
      <c r="I93" t="s">
        <v>195</v>
      </c>
      <c r="J93">
        <v>316</v>
      </c>
      <c r="K93" t="s">
        <v>249</v>
      </c>
      <c r="L93">
        <v>216</v>
      </c>
      <c r="M93" t="s">
        <v>333</v>
      </c>
      <c r="N93">
        <v>1</v>
      </c>
      <c r="O93" s="117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250</v>
      </c>
      <c r="E94" t="s">
        <v>222</v>
      </c>
      <c r="F94" t="s">
        <v>222</v>
      </c>
      <c r="G94" t="s">
        <v>251</v>
      </c>
      <c r="H94">
        <v>1</v>
      </c>
      <c r="I94" t="s">
        <v>195</v>
      </c>
      <c r="J94">
        <v>70</v>
      </c>
      <c r="K94" t="s">
        <v>201</v>
      </c>
      <c r="L94">
        <v>2</v>
      </c>
      <c r="M94" t="s">
        <v>334</v>
      </c>
      <c r="N94">
        <v>1</v>
      </c>
      <c r="O94" s="117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250</v>
      </c>
      <c r="E95" t="s">
        <v>222</v>
      </c>
      <c r="F95" t="s">
        <v>222</v>
      </c>
      <c r="G95" t="s">
        <v>251</v>
      </c>
      <c r="H95">
        <v>1</v>
      </c>
      <c r="I95" t="s">
        <v>195</v>
      </c>
      <c r="J95">
        <v>305</v>
      </c>
      <c r="K95" t="s">
        <v>246</v>
      </c>
      <c r="L95">
        <v>504</v>
      </c>
      <c r="M95" t="s">
        <v>334</v>
      </c>
      <c r="N95">
        <v>1</v>
      </c>
      <c r="O95" s="117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210</v>
      </c>
      <c r="E96" t="s">
        <v>211</v>
      </c>
      <c r="F96" t="s">
        <v>212</v>
      </c>
      <c r="G96" t="s">
        <v>213</v>
      </c>
      <c r="H96">
        <v>1</v>
      </c>
      <c r="I96" t="s">
        <v>195</v>
      </c>
      <c r="J96">
        <v>26</v>
      </c>
      <c r="K96" t="s">
        <v>219</v>
      </c>
      <c r="L96">
        <v>5</v>
      </c>
      <c r="M96" t="s">
        <v>335</v>
      </c>
      <c r="N96">
        <v>1</v>
      </c>
      <c r="O96" s="117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210</v>
      </c>
      <c r="E97" t="s">
        <v>211</v>
      </c>
      <c r="F97" t="s">
        <v>212</v>
      </c>
      <c r="G97" t="s">
        <v>213</v>
      </c>
      <c r="H97">
        <v>1</v>
      </c>
      <c r="I97" t="s">
        <v>195</v>
      </c>
      <c r="J97">
        <v>240</v>
      </c>
      <c r="K97" t="s">
        <v>220</v>
      </c>
      <c r="L97">
        <v>34</v>
      </c>
      <c r="M97" t="s">
        <v>335</v>
      </c>
      <c r="N97">
        <v>1</v>
      </c>
      <c r="O97" s="117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210</v>
      </c>
      <c r="E98" t="s">
        <v>211</v>
      </c>
      <c r="F98" t="s">
        <v>212</v>
      </c>
      <c r="G98" t="s">
        <v>213</v>
      </c>
      <c r="H98">
        <v>1</v>
      </c>
      <c r="I98" t="s">
        <v>195</v>
      </c>
      <c r="J98">
        <v>242</v>
      </c>
      <c r="K98" t="s">
        <v>218</v>
      </c>
      <c r="L98">
        <v>112</v>
      </c>
      <c r="M98" t="s">
        <v>335</v>
      </c>
      <c r="N98">
        <v>1</v>
      </c>
      <c r="O98" s="117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210</v>
      </c>
      <c r="E99" t="s">
        <v>211</v>
      </c>
      <c r="F99" t="s">
        <v>212</v>
      </c>
      <c r="G99" t="s">
        <v>213</v>
      </c>
      <c r="H99">
        <v>1</v>
      </c>
      <c r="I99" t="s">
        <v>195</v>
      </c>
      <c r="J99">
        <v>243</v>
      </c>
      <c r="K99" t="s">
        <v>242</v>
      </c>
      <c r="L99">
        <v>163</v>
      </c>
      <c r="M99" t="s">
        <v>335</v>
      </c>
      <c r="N99">
        <v>1</v>
      </c>
      <c r="O99" s="117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210</v>
      </c>
      <c r="E100" t="s">
        <v>211</v>
      </c>
      <c r="F100" t="s">
        <v>212</v>
      </c>
      <c r="G100" t="s">
        <v>213</v>
      </c>
      <c r="H100">
        <v>1</v>
      </c>
      <c r="I100" t="s">
        <v>195</v>
      </c>
      <c r="J100">
        <v>70</v>
      </c>
      <c r="K100" t="s">
        <v>201</v>
      </c>
      <c r="L100">
        <v>38</v>
      </c>
      <c r="M100" t="s">
        <v>336</v>
      </c>
      <c r="N100">
        <v>1</v>
      </c>
      <c r="O100" s="117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210</v>
      </c>
      <c r="E101" t="s">
        <v>211</v>
      </c>
      <c r="F101" t="s">
        <v>212</v>
      </c>
      <c r="G101" t="s">
        <v>213</v>
      </c>
      <c r="H101">
        <v>1</v>
      </c>
      <c r="I101" t="s">
        <v>195</v>
      </c>
      <c r="J101">
        <v>301</v>
      </c>
      <c r="K101" t="s">
        <v>337</v>
      </c>
      <c r="L101">
        <v>825</v>
      </c>
      <c r="M101" t="s">
        <v>336</v>
      </c>
      <c r="N101">
        <v>1</v>
      </c>
      <c r="O101" s="117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210</v>
      </c>
      <c r="E102" t="s">
        <v>211</v>
      </c>
      <c r="F102" t="s">
        <v>212</v>
      </c>
      <c r="G102" t="s">
        <v>213</v>
      </c>
      <c r="H102">
        <v>1</v>
      </c>
      <c r="I102" t="s">
        <v>195</v>
      </c>
      <c r="J102">
        <v>302</v>
      </c>
      <c r="K102" t="s">
        <v>323</v>
      </c>
      <c r="L102">
        <v>890</v>
      </c>
      <c r="M102" t="s">
        <v>336</v>
      </c>
      <c r="N102">
        <v>1</v>
      </c>
      <c r="O102" s="117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210</v>
      </c>
      <c r="E103" t="s">
        <v>211</v>
      </c>
      <c r="F103" t="s">
        <v>212</v>
      </c>
      <c r="G103" t="s">
        <v>213</v>
      </c>
      <c r="H103">
        <v>1</v>
      </c>
      <c r="I103" t="s">
        <v>195</v>
      </c>
      <c r="J103">
        <v>1</v>
      </c>
      <c r="K103" t="s">
        <v>228</v>
      </c>
      <c r="L103">
        <v>191</v>
      </c>
      <c r="M103" t="s">
        <v>338</v>
      </c>
      <c r="N103">
        <v>1</v>
      </c>
      <c r="O103" s="117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210</v>
      </c>
      <c r="E104" t="s">
        <v>211</v>
      </c>
      <c r="F104" t="s">
        <v>212</v>
      </c>
      <c r="G104" t="s">
        <v>213</v>
      </c>
      <c r="H104">
        <v>1</v>
      </c>
      <c r="I104" t="s">
        <v>195</v>
      </c>
      <c r="J104">
        <v>17</v>
      </c>
      <c r="K104" t="s">
        <v>231</v>
      </c>
      <c r="L104">
        <v>406</v>
      </c>
      <c r="M104" t="s">
        <v>338</v>
      </c>
      <c r="N104">
        <v>1</v>
      </c>
      <c r="O104" s="117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210</v>
      </c>
      <c r="E105" t="s">
        <v>211</v>
      </c>
      <c r="F105" t="s">
        <v>212</v>
      </c>
      <c r="G105" t="s">
        <v>213</v>
      </c>
      <c r="H105">
        <v>1</v>
      </c>
      <c r="I105" t="s">
        <v>195</v>
      </c>
      <c r="J105">
        <v>18</v>
      </c>
      <c r="K105" t="s">
        <v>232</v>
      </c>
      <c r="L105">
        <v>14</v>
      </c>
      <c r="M105" t="s">
        <v>338</v>
      </c>
      <c r="N105">
        <v>1</v>
      </c>
      <c r="O105" s="117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210</v>
      </c>
      <c r="E106" t="s">
        <v>211</v>
      </c>
      <c r="F106" t="s">
        <v>212</v>
      </c>
      <c r="G106" t="s">
        <v>213</v>
      </c>
      <c r="H106">
        <v>1</v>
      </c>
      <c r="I106" t="s">
        <v>195</v>
      </c>
      <c r="J106">
        <v>26</v>
      </c>
      <c r="K106" t="s">
        <v>219</v>
      </c>
      <c r="L106">
        <v>13</v>
      </c>
      <c r="M106" t="s">
        <v>338</v>
      </c>
      <c r="N106">
        <v>1</v>
      </c>
      <c r="O106" s="117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210</v>
      </c>
      <c r="E107" t="s">
        <v>211</v>
      </c>
      <c r="F107" t="s">
        <v>212</v>
      </c>
      <c r="G107" t="s">
        <v>213</v>
      </c>
      <c r="H107">
        <v>1</v>
      </c>
      <c r="I107" t="s">
        <v>195</v>
      </c>
      <c r="J107">
        <v>240</v>
      </c>
      <c r="K107" t="s">
        <v>220</v>
      </c>
      <c r="L107">
        <v>53</v>
      </c>
      <c r="M107" t="s">
        <v>338</v>
      </c>
      <c r="N107">
        <v>1</v>
      </c>
      <c r="O107" s="117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210</v>
      </c>
      <c r="E108" t="s">
        <v>211</v>
      </c>
      <c r="F108" t="s">
        <v>212</v>
      </c>
      <c r="G108" t="s">
        <v>213</v>
      </c>
      <c r="H108">
        <v>1</v>
      </c>
      <c r="I108" t="s">
        <v>195</v>
      </c>
      <c r="J108">
        <v>242</v>
      </c>
      <c r="K108" t="s">
        <v>218</v>
      </c>
      <c r="L108">
        <v>168</v>
      </c>
      <c r="M108" t="s">
        <v>338</v>
      </c>
      <c r="N108">
        <v>1</v>
      </c>
      <c r="O108" s="117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223</v>
      </c>
      <c r="E109" t="s">
        <v>224</v>
      </c>
      <c r="F109" t="s">
        <v>225</v>
      </c>
      <c r="G109" t="s">
        <v>226</v>
      </c>
      <c r="H109">
        <v>5</v>
      </c>
      <c r="I109" t="s">
        <v>227</v>
      </c>
      <c r="J109">
        <v>12</v>
      </c>
      <c r="K109" t="s">
        <v>229</v>
      </c>
      <c r="L109">
        <v>9</v>
      </c>
      <c r="M109" t="s">
        <v>222</v>
      </c>
      <c r="N109">
        <v>1</v>
      </c>
      <c r="O109" s="117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223</v>
      </c>
      <c r="E110" t="s">
        <v>224</v>
      </c>
      <c r="F110" t="s">
        <v>225</v>
      </c>
      <c r="G110" t="s">
        <v>226</v>
      </c>
      <c r="H110">
        <v>5</v>
      </c>
      <c r="I110" t="s">
        <v>227</v>
      </c>
      <c r="J110">
        <v>12</v>
      </c>
      <c r="K110" t="s">
        <v>229</v>
      </c>
      <c r="L110">
        <v>0</v>
      </c>
      <c r="M110" t="s">
        <v>222</v>
      </c>
      <c r="N110">
        <v>1</v>
      </c>
      <c r="O110" s="117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223</v>
      </c>
      <c r="E111" t="s">
        <v>224</v>
      </c>
      <c r="F111" t="s">
        <v>225</v>
      </c>
      <c r="G111" t="s">
        <v>226</v>
      </c>
      <c r="H111">
        <v>5</v>
      </c>
      <c r="I111" t="s">
        <v>227</v>
      </c>
      <c r="J111">
        <v>289</v>
      </c>
      <c r="K111" t="s">
        <v>230</v>
      </c>
      <c r="L111">
        <v>140</v>
      </c>
      <c r="M111" t="s">
        <v>222</v>
      </c>
      <c r="N111">
        <v>1</v>
      </c>
      <c r="O111" s="117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223</v>
      </c>
      <c r="E112" t="s">
        <v>224</v>
      </c>
      <c r="F112" t="s">
        <v>225</v>
      </c>
      <c r="G112" t="s">
        <v>226</v>
      </c>
      <c r="H112">
        <v>5</v>
      </c>
      <c r="I112" t="s">
        <v>227</v>
      </c>
      <c r="J112">
        <v>289</v>
      </c>
      <c r="K112" t="s">
        <v>230</v>
      </c>
      <c r="L112">
        <v>0</v>
      </c>
      <c r="M112" t="s">
        <v>222</v>
      </c>
      <c r="N112">
        <v>1</v>
      </c>
      <c r="O112" s="117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223</v>
      </c>
      <c r="E113" t="s">
        <v>224</v>
      </c>
      <c r="F113" t="s">
        <v>225</v>
      </c>
      <c r="G113" t="s">
        <v>226</v>
      </c>
      <c r="H113">
        <v>5</v>
      </c>
      <c r="I113" t="s">
        <v>227</v>
      </c>
      <c r="J113">
        <v>317</v>
      </c>
      <c r="K113" t="s">
        <v>244</v>
      </c>
      <c r="L113">
        <v>1000</v>
      </c>
      <c r="M113" t="s">
        <v>222</v>
      </c>
      <c r="N113">
        <v>1</v>
      </c>
      <c r="O113" s="117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223</v>
      </c>
      <c r="E114" t="s">
        <v>224</v>
      </c>
      <c r="F114" t="s">
        <v>225</v>
      </c>
      <c r="G114" t="s">
        <v>226</v>
      </c>
      <c r="H114">
        <v>5</v>
      </c>
      <c r="I114" t="s">
        <v>227</v>
      </c>
      <c r="J114">
        <v>317</v>
      </c>
      <c r="K114" t="s">
        <v>244</v>
      </c>
      <c r="L114">
        <v>0</v>
      </c>
      <c r="M114" t="s">
        <v>222</v>
      </c>
      <c r="N114">
        <v>1</v>
      </c>
      <c r="O114" s="117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210</v>
      </c>
      <c r="E115" t="s">
        <v>211</v>
      </c>
      <c r="F115" t="s">
        <v>212</v>
      </c>
      <c r="G115" t="s">
        <v>213</v>
      </c>
      <c r="H115">
        <v>1</v>
      </c>
      <c r="I115" t="s">
        <v>195</v>
      </c>
      <c r="J115">
        <v>1</v>
      </c>
      <c r="K115" t="s">
        <v>228</v>
      </c>
      <c r="L115">
        <v>180</v>
      </c>
      <c r="M115" t="s">
        <v>339</v>
      </c>
      <c r="N115">
        <v>1</v>
      </c>
      <c r="O115" s="117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210</v>
      </c>
      <c r="E116" t="s">
        <v>211</v>
      </c>
      <c r="F116" t="s">
        <v>212</v>
      </c>
      <c r="G116" t="s">
        <v>213</v>
      </c>
      <c r="H116">
        <v>1</v>
      </c>
      <c r="I116" t="s">
        <v>195</v>
      </c>
      <c r="J116">
        <v>17</v>
      </c>
      <c r="K116" t="s">
        <v>231</v>
      </c>
      <c r="L116">
        <v>1064</v>
      </c>
      <c r="M116" t="s">
        <v>339</v>
      </c>
      <c r="N116">
        <v>1</v>
      </c>
      <c r="O116" s="117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210</v>
      </c>
      <c r="E117" t="s">
        <v>211</v>
      </c>
      <c r="F117" t="s">
        <v>212</v>
      </c>
      <c r="G117" t="s">
        <v>213</v>
      </c>
      <c r="H117">
        <v>1</v>
      </c>
      <c r="I117" t="s">
        <v>195</v>
      </c>
      <c r="J117">
        <v>18</v>
      </c>
      <c r="K117" t="s">
        <v>232</v>
      </c>
      <c r="L117">
        <v>120</v>
      </c>
      <c r="M117" t="s">
        <v>339</v>
      </c>
      <c r="N117">
        <v>1</v>
      </c>
      <c r="O117" s="117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210</v>
      </c>
      <c r="E118" t="s">
        <v>211</v>
      </c>
      <c r="F118" t="s">
        <v>212</v>
      </c>
      <c r="G118" t="s">
        <v>213</v>
      </c>
      <c r="H118">
        <v>1</v>
      </c>
      <c r="I118" t="s">
        <v>195</v>
      </c>
      <c r="J118">
        <v>26</v>
      </c>
      <c r="K118" t="s">
        <v>219</v>
      </c>
      <c r="L118">
        <v>18</v>
      </c>
      <c r="M118" t="s">
        <v>339</v>
      </c>
      <c r="N118">
        <v>1</v>
      </c>
      <c r="O118" s="117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210</v>
      </c>
      <c r="E119" t="s">
        <v>211</v>
      </c>
      <c r="F119" t="s">
        <v>212</v>
      </c>
      <c r="G119" t="s">
        <v>213</v>
      </c>
      <c r="H119">
        <v>1</v>
      </c>
      <c r="I119" t="s">
        <v>195</v>
      </c>
      <c r="J119">
        <v>242</v>
      </c>
      <c r="K119" t="s">
        <v>218</v>
      </c>
      <c r="L119">
        <v>371</v>
      </c>
      <c r="M119" t="s">
        <v>339</v>
      </c>
      <c r="N119">
        <v>1</v>
      </c>
      <c r="O119" s="117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210</v>
      </c>
      <c r="E120" t="s">
        <v>211</v>
      </c>
      <c r="F120" t="s">
        <v>212</v>
      </c>
      <c r="G120" t="s">
        <v>213</v>
      </c>
      <c r="H120">
        <v>1</v>
      </c>
      <c r="I120" t="s">
        <v>195</v>
      </c>
      <c r="J120">
        <v>1</v>
      </c>
      <c r="K120" t="s">
        <v>228</v>
      </c>
      <c r="L120">
        <v>952</v>
      </c>
      <c r="M120" t="s">
        <v>340</v>
      </c>
      <c r="N120">
        <v>1</v>
      </c>
      <c r="O120" s="117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210</v>
      </c>
      <c r="E121" t="s">
        <v>211</v>
      </c>
      <c r="F121" t="s">
        <v>212</v>
      </c>
      <c r="G121" t="s">
        <v>213</v>
      </c>
      <c r="H121">
        <v>1</v>
      </c>
      <c r="I121" t="s">
        <v>195</v>
      </c>
      <c r="J121">
        <v>26</v>
      </c>
      <c r="K121" t="s">
        <v>219</v>
      </c>
      <c r="L121">
        <v>12</v>
      </c>
      <c r="M121" t="s">
        <v>340</v>
      </c>
      <c r="N121">
        <v>1</v>
      </c>
      <c r="O121" s="117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233</v>
      </c>
      <c r="E122" t="s">
        <v>234</v>
      </c>
      <c r="F122" t="s">
        <v>235</v>
      </c>
      <c r="G122" t="s">
        <v>236</v>
      </c>
      <c r="H122">
        <v>1</v>
      </c>
      <c r="I122" t="s">
        <v>195</v>
      </c>
      <c r="J122">
        <v>1</v>
      </c>
      <c r="K122" t="s">
        <v>228</v>
      </c>
      <c r="L122">
        <v>146</v>
      </c>
      <c r="M122" t="s">
        <v>341</v>
      </c>
      <c r="N122">
        <v>1</v>
      </c>
      <c r="O122" s="117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233</v>
      </c>
      <c r="E123" t="s">
        <v>234</v>
      </c>
      <c r="F123" t="s">
        <v>235</v>
      </c>
      <c r="G123" t="s">
        <v>236</v>
      </c>
      <c r="H123">
        <v>1</v>
      </c>
      <c r="I123" t="s">
        <v>195</v>
      </c>
      <c r="J123">
        <v>26</v>
      </c>
      <c r="K123" t="s">
        <v>219</v>
      </c>
      <c r="L123">
        <v>3</v>
      </c>
      <c r="M123" t="s">
        <v>341</v>
      </c>
      <c r="N123">
        <v>1</v>
      </c>
      <c r="O123" s="117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233</v>
      </c>
      <c r="E124" t="s">
        <v>234</v>
      </c>
      <c r="F124" t="s">
        <v>235</v>
      </c>
      <c r="G124" t="s">
        <v>236</v>
      </c>
      <c r="H124">
        <v>1</v>
      </c>
      <c r="I124" t="s">
        <v>195</v>
      </c>
      <c r="J124">
        <v>212</v>
      </c>
      <c r="K124" t="s">
        <v>342</v>
      </c>
      <c r="L124">
        <v>51</v>
      </c>
      <c r="M124" t="s">
        <v>341</v>
      </c>
      <c r="N124">
        <v>1</v>
      </c>
      <c r="O124" s="117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233</v>
      </c>
      <c r="E125" t="s">
        <v>234</v>
      </c>
      <c r="F125" t="s">
        <v>235</v>
      </c>
      <c r="G125" t="s">
        <v>236</v>
      </c>
      <c r="H125">
        <v>1</v>
      </c>
      <c r="I125" t="s">
        <v>195</v>
      </c>
      <c r="J125">
        <v>213</v>
      </c>
      <c r="K125" t="s">
        <v>343</v>
      </c>
      <c r="L125">
        <v>9</v>
      </c>
      <c r="M125" t="s">
        <v>341</v>
      </c>
      <c r="N125">
        <v>1</v>
      </c>
      <c r="O125" s="117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210</v>
      </c>
      <c r="E126" t="s">
        <v>211</v>
      </c>
      <c r="F126" t="s">
        <v>212</v>
      </c>
      <c r="G126" t="s">
        <v>213</v>
      </c>
      <c r="H126">
        <v>1</v>
      </c>
      <c r="I126" t="s">
        <v>195</v>
      </c>
      <c r="J126">
        <v>1</v>
      </c>
      <c r="K126" t="s">
        <v>228</v>
      </c>
      <c r="L126">
        <v>25</v>
      </c>
      <c r="M126" t="s">
        <v>344</v>
      </c>
      <c r="N126">
        <v>1</v>
      </c>
      <c r="O126" s="117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210</v>
      </c>
      <c r="E127" t="s">
        <v>211</v>
      </c>
      <c r="F127" t="s">
        <v>212</v>
      </c>
      <c r="G127" t="s">
        <v>213</v>
      </c>
      <c r="H127">
        <v>1</v>
      </c>
      <c r="I127" t="s">
        <v>195</v>
      </c>
      <c r="J127">
        <v>26</v>
      </c>
      <c r="K127" t="s">
        <v>219</v>
      </c>
      <c r="L127">
        <v>3</v>
      </c>
      <c r="M127" t="s">
        <v>344</v>
      </c>
      <c r="N127">
        <v>1</v>
      </c>
      <c r="O127" s="117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210</v>
      </c>
      <c r="E128" t="s">
        <v>211</v>
      </c>
      <c r="F128" t="s">
        <v>212</v>
      </c>
      <c r="G128" t="s">
        <v>213</v>
      </c>
      <c r="H128">
        <v>1</v>
      </c>
      <c r="I128" t="s">
        <v>195</v>
      </c>
      <c r="J128">
        <v>241</v>
      </c>
      <c r="K128" t="s">
        <v>345</v>
      </c>
      <c r="L128">
        <v>76</v>
      </c>
      <c r="M128" t="s">
        <v>344</v>
      </c>
      <c r="N128">
        <v>1</v>
      </c>
      <c r="O128" s="117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210</v>
      </c>
      <c r="E129" t="s">
        <v>211</v>
      </c>
      <c r="F129" t="s">
        <v>212</v>
      </c>
      <c r="G129" t="s">
        <v>213</v>
      </c>
      <c r="H129">
        <v>1</v>
      </c>
      <c r="I129" t="s">
        <v>195</v>
      </c>
      <c r="J129">
        <v>1</v>
      </c>
      <c r="K129" t="s">
        <v>228</v>
      </c>
      <c r="L129">
        <v>403</v>
      </c>
      <c r="M129" t="s">
        <v>346</v>
      </c>
      <c r="N129">
        <v>1</v>
      </c>
      <c r="O129" s="117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210</v>
      </c>
      <c r="E130" t="s">
        <v>211</v>
      </c>
      <c r="F130" t="s">
        <v>212</v>
      </c>
      <c r="G130" t="s">
        <v>213</v>
      </c>
      <c r="H130">
        <v>1</v>
      </c>
      <c r="I130" t="s">
        <v>195</v>
      </c>
      <c r="J130">
        <v>17</v>
      </c>
      <c r="K130" t="s">
        <v>231</v>
      </c>
      <c r="L130">
        <v>1027</v>
      </c>
      <c r="M130" t="s">
        <v>346</v>
      </c>
      <c r="N130">
        <v>1</v>
      </c>
      <c r="O130" s="117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210</v>
      </c>
      <c r="E131" t="s">
        <v>211</v>
      </c>
      <c r="F131" t="s">
        <v>212</v>
      </c>
      <c r="G131" t="s">
        <v>213</v>
      </c>
      <c r="H131">
        <v>1</v>
      </c>
      <c r="I131" t="s">
        <v>195</v>
      </c>
      <c r="J131">
        <v>18</v>
      </c>
      <c r="K131" t="s">
        <v>232</v>
      </c>
      <c r="L131">
        <v>50</v>
      </c>
      <c r="M131" t="s">
        <v>346</v>
      </c>
      <c r="N131">
        <v>1</v>
      </c>
      <c r="O131" s="117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210</v>
      </c>
      <c r="E132" t="s">
        <v>211</v>
      </c>
      <c r="F132" t="s">
        <v>212</v>
      </c>
      <c r="G132" t="s">
        <v>213</v>
      </c>
      <c r="H132">
        <v>1</v>
      </c>
      <c r="I132" t="s">
        <v>195</v>
      </c>
      <c r="J132">
        <v>26</v>
      </c>
      <c r="K132" t="s">
        <v>219</v>
      </c>
      <c r="L132">
        <v>17</v>
      </c>
      <c r="M132" t="s">
        <v>346</v>
      </c>
      <c r="N132">
        <v>1</v>
      </c>
      <c r="O132" s="117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210</v>
      </c>
      <c r="E133" t="s">
        <v>211</v>
      </c>
      <c r="F133" t="s">
        <v>212</v>
      </c>
      <c r="G133" t="s">
        <v>213</v>
      </c>
      <c r="H133">
        <v>1</v>
      </c>
      <c r="I133" t="s">
        <v>195</v>
      </c>
      <c r="J133">
        <v>240</v>
      </c>
      <c r="K133" t="s">
        <v>220</v>
      </c>
      <c r="L133">
        <v>17</v>
      </c>
      <c r="M133" t="s">
        <v>346</v>
      </c>
      <c r="N133">
        <v>1</v>
      </c>
      <c r="O133" s="117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210</v>
      </c>
      <c r="E134" t="s">
        <v>211</v>
      </c>
      <c r="F134" t="s">
        <v>212</v>
      </c>
      <c r="G134" t="s">
        <v>213</v>
      </c>
      <c r="H134">
        <v>1</v>
      </c>
      <c r="I134" t="s">
        <v>195</v>
      </c>
      <c r="J134">
        <v>1</v>
      </c>
      <c r="K134" t="s">
        <v>228</v>
      </c>
      <c r="L134">
        <v>360</v>
      </c>
      <c r="M134" t="s">
        <v>347</v>
      </c>
      <c r="N134">
        <v>1</v>
      </c>
      <c r="O134" s="117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210</v>
      </c>
      <c r="E135" t="s">
        <v>211</v>
      </c>
      <c r="F135" t="s">
        <v>212</v>
      </c>
      <c r="G135" t="s">
        <v>213</v>
      </c>
      <c r="H135">
        <v>1</v>
      </c>
      <c r="I135" t="s">
        <v>195</v>
      </c>
      <c r="J135">
        <v>17</v>
      </c>
      <c r="K135" t="s">
        <v>231</v>
      </c>
      <c r="L135">
        <v>250</v>
      </c>
      <c r="M135" t="s">
        <v>347</v>
      </c>
      <c r="N135">
        <v>1</v>
      </c>
      <c r="O135" s="117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210</v>
      </c>
      <c r="E136" t="s">
        <v>211</v>
      </c>
      <c r="F136" t="s">
        <v>212</v>
      </c>
      <c r="G136" t="s">
        <v>213</v>
      </c>
      <c r="H136">
        <v>1</v>
      </c>
      <c r="I136" t="s">
        <v>195</v>
      </c>
      <c r="J136">
        <v>26</v>
      </c>
      <c r="K136" t="s">
        <v>219</v>
      </c>
      <c r="L136">
        <v>42</v>
      </c>
      <c r="M136" t="s">
        <v>347</v>
      </c>
      <c r="N136">
        <v>1</v>
      </c>
      <c r="O136" s="117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210</v>
      </c>
      <c r="E137" t="s">
        <v>211</v>
      </c>
      <c r="F137" t="s">
        <v>212</v>
      </c>
      <c r="G137" t="s">
        <v>213</v>
      </c>
      <c r="H137">
        <v>1</v>
      </c>
      <c r="I137" t="s">
        <v>195</v>
      </c>
      <c r="J137">
        <v>240</v>
      </c>
      <c r="K137" t="s">
        <v>220</v>
      </c>
      <c r="L137">
        <v>667</v>
      </c>
      <c r="M137" t="s">
        <v>347</v>
      </c>
      <c r="N137">
        <v>1</v>
      </c>
      <c r="O137" s="117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210</v>
      </c>
      <c r="E138" t="s">
        <v>211</v>
      </c>
      <c r="F138" t="s">
        <v>212</v>
      </c>
      <c r="G138" t="s">
        <v>213</v>
      </c>
      <c r="H138">
        <v>1</v>
      </c>
      <c r="I138" t="s">
        <v>195</v>
      </c>
      <c r="J138">
        <v>242</v>
      </c>
      <c r="K138" t="s">
        <v>218</v>
      </c>
      <c r="L138">
        <v>1586</v>
      </c>
      <c r="M138" t="s">
        <v>347</v>
      </c>
      <c r="N138">
        <v>1</v>
      </c>
      <c r="O138" s="117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210</v>
      </c>
      <c r="E139" t="s">
        <v>211</v>
      </c>
      <c r="F139" t="s">
        <v>212</v>
      </c>
      <c r="G139" t="s">
        <v>213</v>
      </c>
      <c r="H139">
        <v>1</v>
      </c>
      <c r="I139" t="s">
        <v>195</v>
      </c>
      <c r="J139">
        <v>244</v>
      </c>
      <c r="K139" t="s">
        <v>245</v>
      </c>
      <c r="L139">
        <v>950</v>
      </c>
      <c r="M139" t="s">
        <v>347</v>
      </c>
      <c r="N139">
        <v>1</v>
      </c>
      <c r="O139" s="117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210</v>
      </c>
      <c r="E140" t="s">
        <v>211</v>
      </c>
      <c r="F140" t="s">
        <v>212</v>
      </c>
      <c r="G140" t="s">
        <v>213</v>
      </c>
      <c r="H140">
        <v>1</v>
      </c>
      <c r="I140" t="s">
        <v>195</v>
      </c>
      <c r="J140">
        <v>26</v>
      </c>
      <c r="K140" t="s">
        <v>219</v>
      </c>
      <c r="L140">
        <v>5</v>
      </c>
      <c r="M140" t="s">
        <v>348</v>
      </c>
      <c r="N140">
        <v>1</v>
      </c>
      <c r="O140" s="117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210</v>
      </c>
      <c r="E141" t="s">
        <v>211</v>
      </c>
      <c r="F141" t="s">
        <v>212</v>
      </c>
      <c r="G141" t="s">
        <v>213</v>
      </c>
      <c r="H141">
        <v>1</v>
      </c>
      <c r="I141" t="s">
        <v>195</v>
      </c>
      <c r="J141">
        <v>240</v>
      </c>
      <c r="K141" t="s">
        <v>220</v>
      </c>
      <c r="L141">
        <v>39</v>
      </c>
      <c r="M141" t="s">
        <v>348</v>
      </c>
      <c r="N141">
        <v>1</v>
      </c>
      <c r="O141" s="117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210</v>
      </c>
      <c r="E142" t="s">
        <v>211</v>
      </c>
      <c r="F142" t="s">
        <v>212</v>
      </c>
      <c r="G142" t="s">
        <v>213</v>
      </c>
      <c r="H142">
        <v>1</v>
      </c>
      <c r="I142" t="s">
        <v>195</v>
      </c>
      <c r="J142">
        <v>1</v>
      </c>
      <c r="K142" t="s">
        <v>228</v>
      </c>
      <c r="L142">
        <v>7</v>
      </c>
      <c r="M142" t="s">
        <v>349</v>
      </c>
      <c r="N142">
        <v>1</v>
      </c>
      <c r="O142" s="117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210</v>
      </c>
      <c r="E143" t="s">
        <v>211</v>
      </c>
      <c r="F143" t="s">
        <v>212</v>
      </c>
      <c r="G143" t="s">
        <v>213</v>
      </c>
      <c r="H143">
        <v>1</v>
      </c>
      <c r="I143" t="s">
        <v>195</v>
      </c>
      <c r="J143">
        <v>26</v>
      </c>
      <c r="K143" t="s">
        <v>219</v>
      </c>
      <c r="L143">
        <v>2</v>
      </c>
      <c r="M143" t="s">
        <v>350</v>
      </c>
      <c r="N143">
        <v>1</v>
      </c>
      <c r="O143" s="117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210</v>
      </c>
      <c r="E144" t="s">
        <v>211</v>
      </c>
      <c r="F144" t="s">
        <v>212</v>
      </c>
      <c r="G144" t="s">
        <v>213</v>
      </c>
      <c r="H144">
        <v>1</v>
      </c>
      <c r="I144" t="s">
        <v>195</v>
      </c>
      <c r="J144">
        <v>240</v>
      </c>
      <c r="K144" t="s">
        <v>220</v>
      </c>
      <c r="L144">
        <v>4</v>
      </c>
      <c r="M144" t="s">
        <v>350</v>
      </c>
      <c r="N144">
        <v>1</v>
      </c>
      <c r="O144" s="117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210</v>
      </c>
      <c r="E145" t="s">
        <v>211</v>
      </c>
      <c r="F145" t="s">
        <v>212</v>
      </c>
      <c r="G145" t="s">
        <v>213</v>
      </c>
      <c r="H145">
        <v>1</v>
      </c>
      <c r="I145" t="s">
        <v>195</v>
      </c>
      <c r="J145">
        <v>1</v>
      </c>
      <c r="K145" t="s">
        <v>228</v>
      </c>
      <c r="L145">
        <v>110</v>
      </c>
      <c r="M145" t="s">
        <v>339</v>
      </c>
      <c r="N145">
        <v>1</v>
      </c>
      <c r="O145" s="117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210</v>
      </c>
      <c r="E146" t="s">
        <v>211</v>
      </c>
      <c r="F146" t="s">
        <v>212</v>
      </c>
      <c r="G146" t="s">
        <v>213</v>
      </c>
      <c r="H146">
        <v>1</v>
      </c>
      <c r="I146" t="s">
        <v>195</v>
      </c>
      <c r="J146">
        <v>17</v>
      </c>
      <c r="K146" t="s">
        <v>231</v>
      </c>
      <c r="L146">
        <v>90</v>
      </c>
      <c r="M146" t="s">
        <v>339</v>
      </c>
      <c r="N146">
        <v>1</v>
      </c>
      <c r="O146" s="117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210</v>
      </c>
      <c r="E147" t="s">
        <v>211</v>
      </c>
      <c r="F147" t="s">
        <v>212</v>
      </c>
      <c r="G147" t="s">
        <v>213</v>
      </c>
      <c r="H147">
        <v>1</v>
      </c>
      <c r="I147" t="s">
        <v>195</v>
      </c>
      <c r="J147">
        <v>18</v>
      </c>
      <c r="K147" t="s">
        <v>232</v>
      </c>
      <c r="L147">
        <v>97</v>
      </c>
      <c r="M147" t="s">
        <v>339</v>
      </c>
      <c r="N147">
        <v>1</v>
      </c>
      <c r="O147" s="117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210</v>
      </c>
      <c r="E148" t="s">
        <v>211</v>
      </c>
      <c r="F148" t="s">
        <v>212</v>
      </c>
      <c r="G148" t="s">
        <v>213</v>
      </c>
      <c r="H148">
        <v>1</v>
      </c>
      <c r="I148" t="s">
        <v>195</v>
      </c>
      <c r="J148">
        <v>26</v>
      </c>
      <c r="K148" t="s">
        <v>219</v>
      </c>
      <c r="L148">
        <v>12</v>
      </c>
      <c r="M148" t="s">
        <v>339</v>
      </c>
      <c r="N148">
        <v>1</v>
      </c>
      <c r="O148" s="117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210</v>
      </c>
      <c r="E149" t="s">
        <v>211</v>
      </c>
      <c r="F149" t="s">
        <v>212</v>
      </c>
      <c r="G149" t="s">
        <v>213</v>
      </c>
      <c r="H149">
        <v>1</v>
      </c>
      <c r="I149" t="s">
        <v>195</v>
      </c>
      <c r="J149">
        <v>240</v>
      </c>
      <c r="K149" t="s">
        <v>220</v>
      </c>
      <c r="L149">
        <v>573</v>
      </c>
      <c r="M149" t="s">
        <v>339</v>
      </c>
      <c r="N149">
        <v>1</v>
      </c>
      <c r="O149" s="117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210</v>
      </c>
      <c r="E150" t="s">
        <v>211</v>
      </c>
      <c r="F150" t="s">
        <v>212</v>
      </c>
      <c r="G150" t="s">
        <v>213</v>
      </c>
      <c r="H150">
        <v>1</v>
      </c>
      <c r="I150" t="s">
        <v>195</v>
      </c>
      <c r="J150">
        <v>242</v>
      </c>
      <c r="K150" t="s">
        <v>218</v>
      </c>
      <c r="L150">
        <v>160</v>
      </c>
      <c r="M150" t="s">
        <v>339</v>
      </c>
      <c r="N150">
        <v>1</v>
      </c>
      <c r="O150" s="117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210</v>
      </c>
      <c r="E151" t="s">
        <v>211</v>
      </c>
      <c r="F151" t="s">
        <v>212</v>
      </c>
      <c r="G151" t="s">
        <v>213</v>
      </c>
      <c r="H151">
        <v>1</v>
      </c>
      <c r="I151" t="s">
        <v>195</v>
      </c>
      <c r="J151">
        <v>26</v>
      </c>
      <c r="K151" t="s">
        <v>219</v>
      </c>
      <c r="L151">
        <v>6</v>
      </c>
      <c r="M151" t="s">
        <v>340</v>
      </c>
      <c r="N151">
        <v>1</v>
      </c>
      <c r="O151" s="117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210</v>
      </c>
      <c r="E152" t="s">
        <v>211</v>
      </c>
      <c r="F152" t="s">
        <v>212</v>
      </c>
      <c r="G152" t="s">
        <v>213</v>
      </c>
      <c r="H152">
        <v>1</v>
      </c>
      <c r="I152" t="s">
        <v>195</v>
      </c>
      <c r="J152">
        <v>242</v>
      </c>
      <c r="K152" t="s">
        <v>218</v>
      </c>
      <c r="L152">
        <v>474</v>
      </c>
      <c r="M152" t="s">
        <v>340</v>
      </c>
      <c r="N152">
        <v>1</v>
      </c>
      <c r="O152" s="117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210</v>
      </c>
      <c r="E153" t="s">
        <v>211</v>
      </c>
      <c r="F153" t="s">
        <v>212</v>
      </c>
      <c r="G153" t="s">
        <v>213</v>
      </c>
      <c r="H153">
        <v>1</v>
      </c>
      <c r="I153" t="s">
        <v>195</v>
      </c>
      <c r="J153">
        <v>1</v>
      </c>
      <c r="K153" t="s">
        <v>228</v>
      </c>
      <c r="L153">
        <v>133</v>
      </c>
      <c r="M153" t="s">
        <v>347</v>
      </c>
      <c r="N153">
        <v>1</v>
      </c>
      <c r="O153" s="117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210</v>
      </c>
      <c r="E154" t="s">
        <v>211</v>
      </c>
      <c r="F154" t="s">
        <v>212</v>
      </c>
      <c r="G154" t="s">
        <v>213</v>
      </c>
      <c r="H154">
        <v>1</v>
      </c>
      <c r="I154" t="s">
        <v>195</v>
      </c>
      <c r="J154">
        <v>17</v>
      </c>
      <c r="K154" t="s">
        <v>231</v>
      </c>
      <c r="L154">
        <v>83</v>
      </c>
      <c r="M154" t="s">
        <v>347</v>
      </c>
      <c r="N154">
        <v>1</v>
      </c>
      <c r="O154" s="117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210</v>
      </c>
      <c r="E155" t="s">
        <v>211</v>
      </c>
      <c r="F155" t="s">
        <v>212</v>
      </c>
      <c r="G155" t="s">
        <v>213</v>
      </c>
      <c r="H155">
        <v>1</v>
      </c>
      <c r="I155" t="s">
        <v>195</v>
      </c>
      <c r="J155">
        <v>18</v>
      </c>
      <c r="K155" t="s">
        <v>232</v>
      </c>
      <c r="L155">
        <v>168</v>
      </c>
      <c r="M155" t="s">
        <v>347</v>
      </c>
      <c r="N155">
        <v>1</v>
      </c>
      <c r="O155" s="117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210</v>
      </c>
      <c r="E156" t="s">
        <v>211</v>
      </c>
      <c r="F156" t="s">
        <v>212</v>
      </c>
      <c r="G156" t="s">
        <v>213</v>
      </c>
      <c r="H156">
        <v>1</v>
      </c>
      <c r="I156" t="s">
        <v>195</v>
      </c>
      <c r="J156">
        <v>26</v>
      </c>
      <c r="K156" t="s">
        <v>219</v>
      </c>
      <c r="L156">
        <v>29</v>
      </c>
      <c r="M156" t="s">
        <v>347</v>
      </c>
      <c r="N156">
        <v>1</v>
      </c>
      <c r="O156" s="117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210</v>
      </c>
      <c r="E157" t="s">
        <v>211</v>
      </c>
      <c r="F157" t="s">
        <v>212</v>
      </c>
      <c r="G157" t="s">
        <v>213</v>
      </c>
      <c r="H157">
        <v>1</v>
      </c>
      <c r="I157" t="s">
        <v>195</v>
      </c>
      <c r="J157">
        <v>240</v>
      </c>
      <c r="K157" t="s">
        <v>220</v>
      </c>
      <c r="L157">
        <v>1421</v>
      </c>
      <c r="M157" t="s">
        <v>347</v>
      </c>
      <c r="N157">
        <v>1</v>
      </c>
      <c r="O157" s="117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210</v>
      </c>
      <c r="E158" t="s">
        <v>211</v>
      </c>
      <c r="F158" t="s">
        <v>212</v>
      </c>
      <c r="G158" t="s">
        <v>213</v>
      </c>
      <c r="H158">
        <v>1</v>
      </c>
      <c r="I158" t="s">
        <v>195</v>
      </c>
      <c r="J158">
        <v>242</v>
      </c>
      <c r="K158" t="s">
        <v>218</v>
      </c>
      <c r="L158">
        <v>1197</v>
      </c>
      <c r="M158" t="s">
        <v>347</v>
      </c>
      <c r="N158">
        <v>1</v>
      </c>
      <c r="O158" s="117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210</v>
      </c>
      <c r="E159" t="s">
        <v>211</v>
      </c>
      <c r="F159" t="s">
        <v>212</v>
      </c>
      <c r="G159" t="s">
        <v>213</v>
      </c>
      <c r="H159">
        <v>1</v>
      </c>
      <c r="I159" t="s">
        <v>195</v>
      </c>
      <c r="J159">
        <v>244</v>
      </c>
      <c r="K159" t="s">
        <v>245</v>
      </c>
      <c r="L159">
        <v>180</v>
      </c>
      <c r="M159" t="s">
        <v>347</v>
      </c>
      <c r="N159">
        <v>1</v>
      </c>
      <c r="O159" s="117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210</v>
      </c>
      <c r="E160" t="s">
        <v>211</v>
      </c>
      <c r="F160" t="s">
        <v>212</v>
      </c>
      <c r="G160" t="s">
        <v>213</v>
      </c>
      <c r="H160">
        <v>1</v>
      </c>
      <c r="I160" t="s">
        <v>195</v>
      </c>
      <c r="J160">
        <v>17</v>
      </c>
      <c r="K160" t="s">
        <v>231</v>
      </c>
      <c r="L160">
        <v>34</v>
      </c>
      <c r="M160" t="s">
        <v>346</v>
      </c>
      <c r="N160">
        <v>1</v>
      </c>
      <c r="O160" s="117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210</v>
      </c>
      <c r="E161" t="s">
        <v>211</v>
      </c>
      <c r="F161" t="s">
        <v>212</v>
      </c>
      <c r="G161" t="s">
        <v>213</v>
      </c>
      <c r="H161">
        <v>1</v>
      </c>
      <c r="I161" t="s">
        <v>195</v>
      </c>
      <c r="J161">
        <v>18</v>
      </c>
      <c r="K161" t="s">
        <v>232</v>
      </c>
      <c r="L161">
        <v>132</v>
      </c>
      <c r="M161" t="s">
        <v>346</v>
      </c>
      <c r="N161">
        <v>1</v>
      </c>
      <c r="O161" s="117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210</v>
      </c>
      <c r="E162" t="s">
        <v>211</v>
      </c>
      <c r="F162" t="s">
        <v>212</v>
      </c>
      <c r="G162" t="s">
        <v>213</v>
      </c>
      <c r="H162">
        <v>1</v>
      </c>
      <c r="I162" t="s">
        <v>195</v>
      </c>
      <c r="J162">
        <v>26</v>
      </c>
      <c r="K162" t="s">
        <v>219</v>
      </c>
      <c r="L162">
        <v>13</v>
      </c>
      <c r="M162" t="s">
        <v>346</v>
      </c>
      <c r="N162">
        <v>1</v>
      </c>
      <c r="O162" s="117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210</v>
      </c>
      <c r="E163" t="s">
        <v>211</v>
      </c>
      <c r="F163" t="s">
        <v>212</v>
      </c>
      <c r="G163" t="s">
        <v>213</v>
      </c>
      <c r="H163">
        <v>1</v>
      </c>
      <c r="I163" t="s">
        <v>195</v>
      </c>
      <c r="J163">
        <v>240</v>
      </c>
      <c r="K163" t="s">
        <v>220</v>
      </c>
      <c r="L163">
        <v>471</v>
      </c>
      <c r="M163" t="s">
        <v>346</v>
      </c>
      <c r="N163">
        <v>1</v>
      </c>
      <c r="O163" s="117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210</v>
      </c>
      <c r="E164" t="s">
        <v>211</v>
      </c>
      <c r="F164" t="s">
        <v>212</v>
      </c>
      <c r="G164" t="s">
        <v>213</v>
      </c>
      <c r="H164">
        <v>1</v>
      </c>
      <c r="I164" t="s">
        <v>195</v>
      </c>
      <c r="J164">
        <v>242</v>
      </c>
      <c r="K164" t="s">
        <v>218</v>
      </c>
      <c r="L164">
        <v>446</v>
      </c>
      <c r="M164" t="s">
        <v>346</v>
      </c>
      <c r="N164">
        <v>1</v>
      </c>
      <c r="O164" s="117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210</v>
      </c>
      <c r="E165" t="s">
        <v>211</v>
      </c>
      <c r="F165" t="s">
        <v>212</v>
      </c>
      <c r="G165" t="s">
        <v>213</v>
      </c>
      <c r="H165">
        <v>1</v>
      </c>
      <c r="I165" t="s">
        <v>195</v>
      </c>
      <c r="J165">
        <v>26</v>
      </c>
      <c r="K165" t="s">
        <v>219</v>
      </c>
      <c r="L165">
        <v>3</v>
      </c>
      <c r="M165" t="s">
        <v>335</v>
      </c>
      <c r="N165">
        <v>1</v>
      </c>
      <c r="O165" s="117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210</v>
      </c>
      <c r="E166" t="s">
        <v>211</v>
      </c>
      <c r="F166" t="s">
        <v>212</v>
      </c>
      <c r="G166" t="s">
        <v>213</v>
      </c>
      <c r="H166">
        <v>1</v>
      </c>
      <c r="I166" t="s">
        <v>195</v>
      </c>
      <c r="J166">
        <v>242</v>
      </c>
      <c r="K166" t="s">
        <v>218</v>
      </c>
      <c r="L166">
        <v>167</v>
      </c>
      <c r="M166" t="s">
        <v>335</v>
      </c>
      <c r="N166">
        <v>1</v>
      </c>
      <c r="O166" s="117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210</v>
      </c>
      <c r="E167" t="s">
        <v>211</v>
      </c>
      <c r="F167" t="s">
        <v>212</v>
      </c>
      <c r="G167" t="s">
        <v>213</v>
      </c>
      <c r="H167">
        <v>1</v>
      </c>
      <c r="I167" t="s">
        <v>195</v>
      </c>
      <c r="J167">
        <v>1</v>
      </c>
      <c r="K167" t="s">
        <v>228</v>
      </c>
      <c r="L167">
        <v>59</v>
      </c>
      <c r="M167" t="s">
        <v>338</v>
      </c>
      <c r="N167">
        <v>1</v>
      </c>
      <c r="O167" s="117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210</v>
      </c>
      <c r="E168" t="s">
        <v>211</v>
      </c>
      <c r="F168" t="s">
        <v>212</v>
      </c>
      <c r="G168" t="s">
        <v>213</v>
      </c>
      <c r="H168">
        <v>1</v>
      </c>
      <c r="I168" t="s">
        <v>195</v>
      </c>
      <c r="J168">
        <v>18</v>
      </c>
      <c r="K168" t="s">
        <v>232</v>
      </c>
      <c r="L168">
        <v>32</v>
      </c>
      <c r="M168" t="s">
        <v>338</v>
      </c>
      <c r="N168">
        <v>1</v>
      </c>
      <c r="O168" s="117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210</v>
      </c>
      <c r="E169" t="s">
        <v>211</v>
      </c>
      <c r="F169" t="s">
        <v>212</v>
      </c>
      <c r="G169" t="s">
        <v>213</v>
      </c>
      <c r="H169">
        <v>1</v>
      </c>
      <c r="I169" t="s">
        <v>195</v>
      </c>
      <c r="J169">
        <v>26</v>
      </c>
      <c r="K169" t="s">
        <v>219</v>
      </c>
      <c r="L169">
        <v>9</v>
      </c>
      <c r="M169" t="s">
        <v>338</v>
      </c>
      <c r="N169">
        <v>1</v>
      </c>
      <c r="O169" s="117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210</v>
      </c>
      <c r="E170" t="s">
        <v>211</v>
      </c>
      <c r="F170" t="s">
        <v>212</v>
      </c>
      <c r="G170" t="s">
        <v>213</v>
      </c>
      <c r="H170">
        <v>1</v>
      </c>
      <c r="I170" t="s">
        <v>195</v>
      </c>
      <c r="J170">
        <v>240</v>
      </c>
      <c r="K170" t="s">
        <v>220</v>
      </c>
      <c r="L170">
        <v>145</v>
      </c>
      <c r="M170" t="s">
        <v>338</v>
      </c>
      <c r="N170">
        <v>1</v>
      </c>
      <c r="O170" s="117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210</v>
      </c>
      <c r="E171" t="s">
        <v>211</v>
      </c>
      <c r="F171" t="s">
        <v>212</v>
      </c>
      <c r="G171" t="s">
        <v>213</v>
      </c>
      <c r="H171">
        <v>1</v>
      </c>
      <c r="I171" t="s">
        <v>195</v>
      </c>
      <c r="J171">
        <v>242</v>
      </c>
      <c r="K171" t="s">
        <v>218</v>
      </c>
      <c r="L171">
        <v>13</v>
      </c>
      <c r="M171" t="s">
        <v>338</v>
      </c>
      <c r="N171">
        <v>1</v>
      </c>
      <c r="O171" s="117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210</v>
      </c>
      <c r="E172" t="s">
        <v>211</v>
      </c>
      <c r="F172" t="s">
        <v>212</v>
      </c>
      <c r="G172" t="s">
        <v>213</v>
      </c>
      <c r="H172">
        <v>1</v>
      </c>
      <c r="I172" t="s">
        <v>195</v>
      </c>
      <c r="J172">
        <v>17</v>
      </c>
      <c r="K172" t="s">
        <v>231</v>
      </c>
      <c r="L172">
        <v>71</v>
      </c>
      <c r="M172" t="s">
        <v>347</v>
      </c>
      <c r="N172">
        <v>1</v>
      </c>
      <c r="O172" s="117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210</v>
      </c>
      <c r="E173" t="s">
        <v>211</v>
      </c>
      <c r="F173" t="s">
        <v>212</v>
      </c>
      <c r="G173" t="s">
        <v>213</v>
      </c>
      <c r="H173">
        <v>1</v>
      </c>
      <c r="I173" t="s">
        <v>195</v>
      </c>
      <c r="J173">
        <v>26</v>
      </c>
      <c r="K173" t="s">
        <v>219</v>
      </c>
      <c r="L173">
        <v>29</v>
      </c>
      <c r="M173" t="s">
        <v>347</v>
      </c>
      <c r="N173">
        <v>1</v>
      </c>
      <c r="O173" s="117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210</v>
      </c>
      <c r="E174" t="s">
        <v>211</v>
      </c>
      <c r="F174" t="s">
        <v>212</v>
      </c>
      <c r="G174" t="s">
        <v>213</v>
      </c>
      <c r="H174">
        <v>1</v>
      </c>
      <c r="I174" t="s">
        <v>195</v>
      </c>
      <c r="J174">
        <v>240</v>
      </c>
      <c r="K174" t="s">
        <v>220</v>
      </c>
      <c r="L174">
        <v>1315</v>
      </c>
      <c r="M174" t="s">
        <v>347</v>
      </c>
      <c r="N174">
        <v>1</v>
      </c>
      <c r="O174" s="117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210</v>
      </c>
      <c r="E175" t="s">
        <v>211</v>
      </c>
      <c r="F175" t="s">
        <v>212</v>
      </c>
      <c r="G175" t="s">
        <v>213</v>
      </c>
      <c r="H175">
        <v>1</v>
      </c>
      <c r="I175" t="s">
        <v>195</v>
      </c>
      <c r="J175">
        <v>242</v>
      </c>
      <c r="K175" t="s">
        <v>218</v>
      </c>
      <c r="L175">
        <v>1500</v>
      </c>
      <c r="M175" t="s">
        <v>347</v>
      </c>
      <c r="N175">
        <v>1</v>
      </c>
      <c r="O175" s="117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210</v>
      </c>
      <c r="E176" t="s">
        <v>211</v>
      </c>
      <c r="F176" t="s">
        <v>212</v>
      </c>
      <c r="G176" t="s">
        <v>213</v>
      </c>
      <c r="H176">
        <v>1</v>
      </c>
      <c r="I176" t="s">
        <v>195</v>
      </c>
      <c r="J176">
        <v>244</v>
      </c>
      <c r="K176" t="s">
        <v>245</v>
      </c>
      <c r="L176">
        <v>180</v>
      </c>
      <c r="M176" t="s">
        <v>347</v>
      </c>
      <c r="N176">
        <v>1</v>
      </c>
      <c r="O176" s="117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210</v>
      </c>
      <c r="E177" t="s">
        <v>211</v>
      </c>
      <c r="F177" t="s">
        <v>212</v>
      </c>
      <c r="G177" t="s">
        <v>213</v>
      </c>
      <c r="H177">
        <v>1</v>
      </c>
      <c r="I177" t="s">
        <v>195</v>
      </c>
      <c r="J177">
        <v>26</v>
      </c>
      <c r="K177" t="s">
        <v>219</v>
      </c>
      <c r="L177">
        <v>29</v>
      </c>
      <c r="M177" t="s">
        <v>347</v>
      </c>
      <c r="N177">
        <v>1</v>
      </c>
      <c r="O177" s="117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210</v>
      </c>
      <c r="E178" t="s">
        <v>211</v>
      </c>
      <c r="F178" t="s">
        <v>212</v>
      </c>
      <c r="G178" t="s">
        <v>213</v>
      </c>
      <c r="H178">
        <v>1</v>
      </c>
      <c r="I178" t="s">
        <v>195</v>
      </c>
      <c r="J178">
        <v>240</v>
      </c>
      <c r="K178" t="s">
        <v>220</v>
      </c>
      <c r="L178">
        <v>726</v>
      </c>
      <c r="M178" t="s">
        <v>347</v>
      </c>
      <c r="N178">
        <v>1</v>
      </c>
      <c r="O178" s="117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210</v>
      </c>
      <c r="E179" t="s">
        <v>211</v>
      </c>
      <c r="F179" t="s">
        <v>212</v>
      </c>
      <c r="G179" t="s">
        <v>213</v>
      </c>
      <c r="H179">
        <v>1</v>
      </c>
      <c r="I179" t="s">
        <v>195</v>
      </c>
      <c r="J179">
        <v>242</v>
      </c>
      <c r="K179" t="s">
        <v>218</v>
      </c>
      <c r="L179">
        <v>1625</v>
      </c>
      <c r="M179" t="s">
        <v>347</v>
      </c>
      <c r="N179">
        <v>1</v>
      </c>
      <c r="O179" s="117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210</v>
      </c>
      <c r="E180" t="s">
        <v>211</v>
      </c>
      <c r="F180" t="s">
        <v>212</v>
      </c>
      <c r="G180" t="s">
        <v>213</v>
      </c>
      <c r="H180">
        <v>1</v>
      </c>
      <c r="I180" t="s">
        <v>195</v>
      </c>
      <c r="J180">
        <v>244</v>
      </c>
      <c r="K180" t="s">
        <v>245</v>
      </c>
      <c r="L180">
        <v>300</v>
      </c>
      <c r="M180" t="s">
        <v>347</v>
      </c>
      <c r="N180">
        <v>1</v>
      </c>
      <c r="O180" s="117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351</v>
      </c>
      <c r="E181" t="s">
        <v>352</v>
      </c>
      <c r="F181" t="s">
        <v>353</v>
      </c>
      <c r="G181" t="s">
        <v>354</v>
      </c>
      <c r="H181">
        <v>20</v>
      </c>
      <c r="I181" t="s">
        <v>287</v>
      </c>
      <c r="J181">
        <v>5</v>
      </c>
      <c r="K181" t="s">
        <v>241</v>
      </c>
      <c r="L181">
        <v>1</v>
      </c>
      <c r="M181" t="s">
        <v>355</v>
      </c>
      <c r="N181">
        <v>1</v>
      </c>
      <c r="O181" s="117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356</v>
      </c>
      <c r="E182" t="s">
        <v>357</v>
      </c>
      <c r="F182" t="s">
        <v>358</v>
      </c>
      <c r="G182" t="s">
        <v>359</v>
      </c>
      <c r="H182">
        <v>20</v>
      </c>
      <c r="I182" t="s">
        <v>287</v>
      </c>
      <c r="J182">
        <v>5</v>
      </c>
      <c r="K182" t="s">
        <v>241</v>
      </c>
      <c r="L182">
        <v>5</v>
      </c>
      <c r="M182" t="s">
        <v>360</v>
      </c>
      <c r="N182">
        <v>1</v>
      </c>
      <c r="O182" s="117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351</v>
      </c>
      <c r="E183" t="s">
        <v>352</v>
      </c>
      <c r="F183" t="s">
        <v>353</v>
      </c>
      <c r="G183" t="s">
        <v>354</v>
      </c>
      <c r="H183">
        <v>20</v>
      </c>
      <c r="I183" t="s">
        <v>287</v>
      </c>
      <c r="J183">
        <v>5</v>
      </c>
      <c r="K183" t="s">
        <v>241</v>
      </c>
      <c r="L183">
        <v>6</v>
      </c>
      <c r="M183" t="s">
        <v>361</v>
      </c>
      <c r="N183">
        <v>1</v>
      </c>
      <c r="O183" s="117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351</v>
      </c>
      <c r="E184" t="s">
        <v>352</v>
      </c>
      <c r="F184" t="s">
        <v>353</v>
      </c>
      <c r="G184" t="s">
        <v>354</v>
      </c>
      <c r="H184">
        <v>20</v>
      </c>
      <c r="I184" t="s">
        <v>287</v>
      </c>
      <c r="J184">
        <v>71</v>
      </c>
      <c r="K184" t="s">
        <v>257</v>
      </c>
      <c r="L184">
        <v>2</v>
      </c>
      <c r="M184" t="s">
        <v>362</v>
      </c>
      <c r="N184">
        <v>1</v>
      </c>
      <c r="O184" s="117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356</v>
      </c>
      <c r="E185" t="s">
        <v>357</v>
      </c>
      <c r="F185" t="s">
        <v>358</v>
      </c>
      <c r="G185" t="s">
        <v>359</v>
      </c>
      <c r="H185">
        <v>20</v>
      </c>
      <c r="I185" t="s">
        <v>287</v>
      </c>
      <c r="J185">
        <v>5</v>
      </c>
      <c r="K185" t="s">
        <v>241</v>
      </c>
      <c r="L185">
        <v>1</v>
      </c>
      <c r="M185" t="s">
        <v>363</v>
      </c>
      <c r="N185">
        <v>1</v>
      </c>
      <c r="O185" s="117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351</v>
      </c>
      <c r="E186" t="s">
        <v>352</v>
      </c>
      <c r="F186" t="s">
        <v>353</v>
      </c>
      <c r="G186" t="s">
        <v>354</v>
      </c>
      <c r="H186">
        <v>20</v>
      </c>
      <c r="I186" t="s">
        <v>287</v>
      </c>
      <c r="J186">
        <v>5</v>
      </c>
      <c r="K186" t="s">
        <v>241</v>
      </c>
      <c r="L186">
        <v>1</v>
      </c>
      <c r="M186" t="s">
        <v>364</v>
      </c>
      <c r="N186">
        <v>1</v>
      </c>
      <c r="O186" s="117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351</v>
      </c>
      <c r="E187" t="s">
        <v>352</v>
      </c>
      <c r="F187" t="s">
        <v>353</v>
      </c>
      <c r="G187" t="s">
        <v>354</v>
      </c>
      <c r="H187">
        <v>20</v>
      </c>
      <c r="I187" t="s">
        <v>287</v>
      </c>
      <c r="J187">
        <v>5</v>
      </c>
      <c r="K187" t="s">
        <v>241</v>
      </c>
      <c r="L187">
        <v>5</v>
      </c>
      <c r="M187" t="s">
        <v>365</v>
      </c>
      <c r="N187">
        <v>1</v>
      </c>
      <c r="O187" s="117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356</v>
      </c>
      <c r="E188" t="s">
        <v>357</v>
      </c>
      <c r="F188" t="s">
        <v>358</v>
      </c>
      <c r="G188" t="s">
        <v>359</v>
      </c>
      <c r="H188">
        <v>20</v>
      </c>
      <c r="I188" t="s">
        <v>287</v>
      </c>
      <c r="J188">
        <v>5</v>
      </c>
      <c r="K188" t="s">
        <v>241</v>
      </c>
      <c r="L188">
        <v>1</v>
      </c>
      <c r="M188" t="s">
        <v>366</v>
      </c>
      <c r="N188">
        <v>1</v>
      </c>
      <c r="O188" s="117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351</v>
      </c>
      <c r="E189" t="s">
        <v>352</v>
      </c>
      <c r="F189" t="s">
        <v>353</v>
      </c>
      <c r="G189" t="s">
        <v>354</v>
      </c>
      <c r="H189">
        <v>20</v>
      </c>
      <c r="I189" t="s">
        <v>287</v>
      </c>
      <c r="J189">
        <v>5</v>
      </c>
      <c r="K189" t="s">
        <v>241</v>
      </c>
      <c r="L189">
        <v>8</v>
      </c>
      <c r="M189" t="s">
        <v>367</v>
      </c>
      <c r="N189">
        <v>1</v>
      </c>
      <c r="O189" s="117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351</v>
      </c>
      <c r="E190" t="s">
        <v>352</v>
      </c>
      <c r="F190" t="s">
        <v>353</v>
      </c>
      <c r="G190" t="s">
        <v>354</v>
      </c>
      <c r="H190">
        <v>20</v>
      </c>
      <c r="I190" t="s">
        <v>287</v>
      </c>
      <c r="J190">
        <v>72</v>
      </c>
      <c r="K190" t="s">
        <v>368</v>
      </c>
      <c r="L190">
        <v>2</v>
      </c>
      <c r="M190" t="s">
        <v>369</v>
      </c>
      <c r="N190">
        <v>1</v>
      </c>
      <c r="O190" s="117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356</v>
      </c>
      <c r="E191" t="s">
        <v>357</v>
      </c>
      <c r="F191" t="s">
        <v>358</v>
      </c>
      <c r="G191" t="s">
        <v>359</v>
      </c>
      <c r="H191">
        <v>20</v>
      </c>
      <c r="I191" t="s">
        <v>287</v>
      </c>
      <c r="J191">
        <v>5</v>
      </c>
      <c r="K191" t="s">
        <v>241</v>
      </c>
      <c r="L191">
        <v>2</v>
      </c>
      <c r="M191" t="s">
        <v>370</v>
      </c>
      <c r="N191">
        <v>1</v>
      </c>
      <c r="O191" s="117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356</v>
      </c>
      <c r="E192" t="s">
        <v>357</v>
      </c>
      <c r="F192" t="s">
        <v>358</v>
      </c>
      <c r="G192" t="s">
        <v>359</v>
      </c>
      <c r="H192">
        <v>20</v>
      </c>
      <c r="I192" t="s">
        <v>287</v>
      </c>
      <c r="J192">
        <v>5</v>
      </c>
      <c r="K192" t="s">
        <v>241</v>
      </c>
      <c r="L192">
        <v>1</v>
      </c>
      <c r="M192" t="s">
        <v>371</v>
      </c>
      <c r="N192">
        <v>1</v>
      </c>
      <c r="O192" s="117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351</v>
      </c>
      <c r="E193" t="s">
        <v>352</v>
      </c>
      <c r="F193" t="s">
        <v>353</v>
      </c>
      <c r="G193" t="s">
        <v>354</v>
      </c>
      <c r="H193">
        <v>20</v>
      </c>
      <c r="I193" t="s">
        <v>287</v>
      </c>
      <c r="J193">
        <v>5</v>
      </c>
      <c r="K193" t="s">
        <v>241</v>
      </c>
      <c r="L193">
        <v>2</v>
      </c>
      <c r="M193" t="s">
        <v>372</v>
      </c>
      <c r="N193">
        <v>1</v>
      </c>
      <c r="O193" s="117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351</v>
      </c>
      <c r="E194" t="s">
        <v>352</v>
      </c>
      <c r="F194" t="s">
        <v>353</v>
      </c>
      <c r="G194" t="s">
        <v>354</v>
      </c>
      <c r="H194">
        <v>20</v>
      </c>
      <c r="I194" t="s">
        <v>287</v>
      </c>
      <c r="J194">
        <v>5</v>
      </c>
      <c r="K194" t="s">
        <v>241</v>
      </c>
      <c r="L194">
        <v>1</v>
      </c>
      <c r="M194" t="s">
        <v>373</v>
      </c>
      <c r="N194">
        <v>1</v>
      </c>
      <c r="O194" s="117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351</v>
      </c>
      <c r="E195" t="s">
        <v>352</v>
      </c>
      <c r="F195" t="s">
        <v>353</v>
      </c>
      <c r="G195" t="s">
        <v>354</v>
      </c>
      <c r="H195">
        <v>20</v>
      </c>
      <c r="I195" t="s">
        <v>287</v>
      </c>
      <c r="J195">
        <v>5</v>
      </c>
      <c r="K195" t="s">
        <v>241</v>
      </c>
      <c r="L195">
        <v>2</v>
      </c>
      <c r="M195" t="s">
        <v>374</v>
      </c>
      <c r="N195">
        <v>1</v>
      </c>
      <c r="O195" s="117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351</v>
      </c>
      <c r="E196" t="s">
        <v>352</v>
      </c>
      <c r="F196" t="s">
        <v>353</v>
      </c>
      <c r="G196" t="s">
        <v>354</v>
      </c>
      <c r="H196">
        <v>20</v>
      </c>
      <c r="I196" t="s">
        <v>287</v>
      </c>
      <c r="J196">
        <v>72</v>
      </c>
      <c r="K196" t="s">
        <v>368</v>
      </c>
      <c r="L196">
        <v>1</v>
      </c>
      <c r="M196" t="s">
        <v>374</v>
      </c>
      <c r="N196">
        <v>1</v>
      </c>
      <c r="O196" s="117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351</v>
      </c>
      <c r="E197" t="s">
        <v>352</v>
      </c>
      <c r="F197" t="s">
        <v>353</v>
      </c>
      <c r="G197" t="s">
        <v>354</v>
      </c>
      <c r="H197">
        <v>20</v>
      </c>
      <c r="I197" t="s">
        <v>287</v>
      </c>
      <c r="J197">
        <v>72</v>
      </c>
      <c r="K197" t="s">
        <v>368</v>
      </c>
      <c r="L197">
        <v>1</v>
      </c>
      <c r="M197" t="s">
        <v>375</v>
      </c>
      <c r="N197">
        <v>1</v>
      </c>
      <c r="O197" s="117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351</v>
      </c>
      <c r="E198" t="s">
        <v>352</v>
      </c>
      <c r="F198" t="s">
        <v>353</v>
      </c>
      <c r="G198" t="s">
        <v>354</v>
      </c>
      <c r="H198">
        <v>20</v>
      </c>
      <c r="I198" t="s">
        <v>287</v>
      </c>
      <c r="J198">
        <v>72</v>
      </c>
      <c r="K198" t="s">
        <v>368</v>
      </c>
      <c r="L198">
        <v>1</v>
      </c>
      <c r="M198" t="s">
        <v>376</v>
      </c>
      <c r="N198">
        <v>1</v>
      </c>
      <c r="O198" s="117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351</v>
      </c>
      <c r="E199" t="s">
        <v>352</v>
      </c>
      <c r="F199" t="s">
        <v>353</v>
      </c>
      <c r="G199" t="s">
        <v>354</v>
      </c>
      <c r="H199">
        <v>20</v>
      </c>
      <c r="I199" t="s">
        <v>287</v>
      </c>
      <c r="J199">
        <v>72</v>
      </c>
      <c r="K199" t="s">
        <v>368</v>
      </c>
      <c r="L199">
        <v>2</v>
      </c>
      <c r="M199" t="s">
        <v>377</v>
      </c>
      <c r="N199">
        <v>1</v>
      </c>
      <c r="O199" s="117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351</v>
      </c>
      <c r="E200" t="s">
        <v>352</v>
      </c>
      <c r="F200" t="s">
        <v>353</v>
      </c>
      <c r="G200" t="s">
        <v>354</v>
      </c>
      <c r="H200">
        <v>20</v>
      </c>
      <c r="I200" t="s">
        <v>287</v>
      </c>
      <c r="J200">
        <v>5</v>
      </c>
      <c r="K200" t="s">
        <v>241</v>
      </c>
      <c r="L200">
        <v>2</v>
      </c>
      <c r="M200" t="s">
        <v>378</v>
      </c>
      <c r="N200">
        <v>1</v>
      </c>
      <c r="O200" s="117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351</v>
      </c>
      <c r="E201" t="s">
        <v>352</v>
      </c>
      <c r="F201" t="s">
        <v>353</v>
      </c>
      <c r="G201" t="s">
        <v>354</v>
      </c>
      <c r="H201">
        <v>20</v>
      </c>
      <c r="I201" t="s">
        <v>287</v>
      </c>
      <c r="J201">
        <v>5</v>
      </c>
      <c r="K201" t="s">
        <v>241</v>
      </c>
      <c r="L201">
        <v>1</v>
      </c>
      <c r="M201" t="s">
        <v>379</v>
      </c>
      <c r="N201">
        <v>1</v>
      </c>
      <c r="O201" s="117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351</v>
      </c>
      <c r="E202" t="s">
        <v>352</v>
      </c>
      <c r="F202" t="s">
        <v>353</v>
      </c>
      <c r="G202" t="s">
        <v>354</v>
      </c>
      <c r="H202">
        <v>20</v>
      </c>
      <c r="I202" t="s">
        <v>287</v>
      </c>
      <c r="J202">
        <v>72</v>
      </c>
      <c r="K202" t="s">
        <v>368</v>
      </c>
      <c r="L202">
        <v>1</v>
      </c>
      <c r="M202" t="s">
        <v>380</v>
      </c>
      <c r="N202">
        <v>1</v>
      </c>
      <c r="O202" s="117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351</v>
      </c>
      <c r="E203" t="s">
        <v>352</v>
      </c>
      <c r="F203" t="s">
        <v>353</v>
      </c>
      <c r="G203" t="s">
        <v>354</v>
      </c>
      <c r="H203">
        <v>20</v>
      </c>
      <c r="I203" t="s">
        <v>287</v>
      </c>
      <c r="J203">
        <v>5</v>
      </c>
      <c r="K203" t="s">
        <v>241</v>
      </c>
      <c r="L203">
        <v>2</v>
      </c>
      <c r="M203" t="s">
        <v>381</v>
      </c>
      <c r="N203">
        <v>1</v>
      </c>
      <c r="O203" s="117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351</v>
      </c>
      <c r="E204" t="s">
        <v>352</v>
      </c>
      <c r="F204" t="s">
        <v>353</v>
      </c>
      <c r="G204" t="s">
        <v>354</v>
      </c>
      <c r="H204">
        <v>20</v>
      </c>
      <c r="I204" t="s">
        <v>287</v>
      </c>
      <c r="J204">
        <v>12</v>
      </c>
      <c r="K204" t="s">
        <v>229</v>
      </c>
      <c r="L204">
        <v>2</v>
      </c>
      <c r="M204" t="s">
        <v>381</v>
      </c>
      <c r="N204">
        <v>1</v>
      </c>
      <c r="O204" s="117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351</v>
      </c>
      <c r="E205" t="s">
        <v>352</v>
      </c>
      <c r="F205" t="s">
        <v>353</v>
      </c>
      <c r="G205" t="s">
        <v>354</v>
      </c>
      <c r="H205">
        <v>20</v>
      </c>
      <c r="I205" t="s">
        <v>287</v>
      </c>
      <c r="J205">
        <v>5</v>
      </c>
      <c r="K205" t="s">
        <v>241</v>
      </c>
      <c r="L205">
        <v>1</v>
      </c>
      <c r="M205" t="s">
        <v>382</v>
      </c>
      <c r="N205">
        <v>1</v>
      </c>
      <c r="O205" s="117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351</v>
      </c>
      <c r="E206" t="s">
        <v>352</v>
      </c>
      <c r="F206" t="s">
        <v>353</v>
      </c>
      <c r="G206" t="s">
        <v>354</v>
      </c>
      <c r="H206">
        <v>20</v>
      </c>
      <c r="I206" t="s">
        <v>287</v>
      </c>
      <c r="J206">
        <v>72</v>
      </c>
      <c r="K206" t="s">
        <v>368</v>
      </c>
      <c r="L206">
        <v>1</v>
      </c>
      <c r="M206" t="s">
        <v>382</v>
      </c>
      <c r="N206">
        <v>1</v>
      </c>
      <c r="O206" s="117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351</v>
      </c>
      <c r="E207" t="s">
        <v>352</v>
      </c>
      <c r="F207" t="s">
        <v>353</v>
      </c>
      <c r="G207" t="s">
        <v>354</v>
      </c>
      <c r="H207">
        <v>20</v>
      </c>
      <c r="I207" t="s">
        <v>287</v>
      </c>
      <c r="J207">
        <v>5</v>
      </c>
      <c r="K207" t="s">
        <v>241</v>
      </c>
      <c r="L207">
        <v>2</v>
      </c>
      <c r="M207" t="s">
        <v>383</v>
      </c>
      <c r="N207">
        <v>1</v>
      </c>
      <c r="O207" s="117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351</v>
      </c>
      <c r="E208" t="s">
        <v>352</v>
      </c>
      <c r="F208" t="s">
        <v>353</v>
      </c>
      <c r="G208" t="s">
        <v>354</v>
      </c>
      <c r="H208">
        <v>20</v>
      </c>
      <c r="I208" t="s">
        <v>287</v>
      </c>
      <c r="J208">
        <v>5</v>
      </c>
      <c r="K208" t="s">
        <v>241</v>
      </c>
      <c r="L208">
        <v>2</v>
      </c>
      <c r="M208" t="s">
        <v>384</v>
      </c>
      <c r="N208">
        <v>1</v>
      </c>
      <c r="O208" s="117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351</v>
      </c>
      <c r="E209" t="s">
        <v>352</v>
      </c>
      <c r="F209" t="s">
        <v>353</v>
      </c>
      <c r="G209" t="s">
        <v>354</v>
      </c>
      <c r="H209">
        <v>20</v>
      </c>
      <c r="I209" t="s">
        <v>287</v>
      </c>
      <c r="J209">
        <v>72</v>
      </c>
      <c r="K209" t="s">
        <v>368</v>
      </c>
      <c r="L209">
        <v>2</v>
      </c>
      <c r="M209" t="s">
        <v>385</v>
      </c>
      <c r="N209">
        <v>1</v>
      </c>
      <c r="O209" s="117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351</v>
      </c>
      <c r="E210" t="s">
        <v>352</v>
      </c>
      <c r="F210" t="s">
        <v>353</v>
      </c>
      <c r="G210" t="s">
        <v>354</v>
      </c>
      <c r="H210">
        <v>20</v>
      </c>
      <c r="I210" t="s">
        <v>287</v>
      </c>
      <c r="J210">
        <v>5</v>
      </c>
      <c r="K210" t="s">
        <v>241</v>
      </c>
      <c r="L210">
        <v>2</v>
      </c>
      <c r="M210" t="s">
        <v>386</v>
      </c>
      <c r="N210">
        <v>1</v>
      </c>
      <c r="O210" s="117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351</v>
      </c>
      <c r="E211" t="s">
        <v>352</v>
      </c>
      <c r="F211" t="s">
        <v>353</v>
      </c>
      <c r="G211" t="s">
        <v>354</v>
      </c>
      <c r="H211">
        <v>20</v>
      </c>
      <c r="I211" t="s">
        <v>287</v>
      </c>
      <c r="J211">
        <v>72</v>
      </c>
      <c r="K211" t="s">
        <v>368</v>
      </c>
      <c r="L211">
        <v>1</v>
      </c>
      <c r="M211" t="s">
        <v>387</v>
      </c>
      <c r="N211">
        <v>1</v>
      </c>
      <c r="O211" s="117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351</v>
      </c>
      <c r="E212" t="s">
        <v>352</v>
      </c>
      <c r="F212" t="s">
        <v>353</v>
      </c>
      <c r="G212" t="s">
        <v>354</v>
      </c>
      <c r="H212">
        <v>20</v>
      </c>
      <c r="I212" t="s">
        <v>287</v>
      </c>
      <c r="J212">
        <v>72</v>
      </c>
      <c r="K212" t="s">
        <v>368</v>
      </c>
      <c r="L212">
        <v>1</v>
      </c>
      <c r="M212" t="s">
        <v>388</v>
      </c>
      <c r="N212">
        <v>1</v>
      </c>
      <c r="O212" s="117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351</v>
      </c>
      <c r="E213" t="s">
        <v>352</v>
      </c>
      <c r="F213" t="s">
        <v>353</v>
      </c>
      <c r="G213" t="s">
        <v>354</v>
      </c>
      <c r="H213">
        <v>20</v>
      </c>
      <c r="I213" t="s">
        <v>287</v>
      </c>
      <c r="J213">
        <v>5</v>
      </c>
      <c r="K213" t="s">
        <v>241</v>
      </c>
      <c r="L213">
        <v>13</v>
      </c>
      <c r="M213" t="s">
        <v>389</v>
      </c>
      <c r="N213">
        <v>1</v>
      </c>
      <c r="O213" s="117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390</v>
      </c>
      <c r="E214" t="s">
        <v>391</v>
      </c>
      <c r="F214" t="s">
        <v>392</v>
      </c>
      <c r="G214" t="s">
        <v>393</v>
      </c>
      <c r="H214">
        <v>22</v>
      </c>
      <c r="I214" t="s">
        <v>330</v>
      </c>
      <c r="J214">
        <v>61</v>
      </c>
      <c r="K214" t="s">
        <v>331</v>
      </c>
      <c r="L214">
        <v>216</v>
      </c>
      <c r="M214" t="s">
        <v>394</v>
      </c>
      <c r="N214">
        <v>1</v>
      </c>
      <c r="O214" s="117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390</v>
      </c>
      <c r="E215" t="s">
        <v>391</v>
      </c>
      <c r="F215" t="s">
        <v>392</v>
      </c>
      <c r="G215" t="s">
        <v>393</v>
      </c>
      <c r="H215">
        <v>22</v>
      </c>
      <c r="I215" t="s">
        <v>330</v>
      </c>
      <c r="J215">
        <v>70</v>
      </c>
      <c r="K215" t="s">
        <v>201</v>
      </c>
      <c r="L215">
        <v>6</v>
      </c>
      <c r="M215" t="s">
        <v>394</v>
      </c>
      <c r="N215">
        <v>1</v>
      </c>
      <c r="O215" s="117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210</v>
      </c>
      <c r="E216" t="s">
        <v>211</v>
      </c>
      <c r="F216" t="s">
        <v>212</v>
      </c>
      <c r="G216" t="s">
        <v>213</v>
      </c>
      <c r="H216">
        <v>1</v>
      </c>
      <c r="I216" t="s">
        <v>195</v>
      </c>
      <c r="J216">
        <v>26</v>
      </c>
      <c r="K216" t="s">
        <v>219</v>
      </c>
      <c r="L216">
        <v>2</v>
      </c>
      <c r="M216" t="s">
        <v>339</v>
      </c>
      <c r="N216">
        <v>1</v>
      </c>
      <c r="O216" s="117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210</v>
      </c>
      <c r="E217" t="s">
        <v>211</v>
      </c>
      <c r="F217" t="s">
        <v>212</v>
      </c>
      <c r="G217" t="s">
        <v>213</v>
      </c>
      <c r="H217">
        <v>1</v>
      </c>
      <c r="I217" t="s">
        <v>195</v>
      </c>
      <c r="J217">
        <v>240</v>
      </c>
      <c r="K217" t="s">
        <v>220</v>
      </c>
      <c r="L217">
        <v>260</v>
      </c>
      <c r="M217" t="s">
        <v>339</v>
      </c>
      <c r="N217">
        <v>1</v>
      </c>
      <c r="O217" s="117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210</v>
      </c>
      <c r="E218" t="s">
        <v>211</v>
      </c>
      <c r="F218" t="s">
        <v>212</v>
      </c>
      <c r="G218" t="s">
        <v>213</v>
      </c>
      <c r="H218">
        <v>1</v>
      </c>
      <c r="I218" t="s">
        <v>195</v>
      </c>
      <c r="J218">
        <v>1</v>
      </c>
      <c r="K218" t="s">
        <v>228</v>
      </c>
      <c r="L218">
        <v>90</v>
      </c>
      <c r="M218" t="s">
        <v>340</v>
      </c>
      <c r="N218">
        <v>1</v>
      </c>
      <c r="O218" s="117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210</v>
      </c>
      <c r="E219" t="s">
        <v>211</v>
      </c>
      <c r="F219" t="s">
        <v>212</v>
      </c>
      <c r="G219" t="s">
        <v>213</v>
      </c>
      <c r="H219">
        <v>1</v>
      </c>
      <c r="I219" t="s">
        <v>195</v>
      </c>
      <c r="J219">
        <v>26</v>
      </c>
      <c r="K219" t="s">
        <v>219</v>
      </c>
      <c r="L219">
        <v>4</v>
      </c>
      <c r="M219" t="s">
        <v>340</v>
      </c>
      <c r="N219">
        <v>1</v>
      </c>
      <c r="O219" s="117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210</v>
      </c>
      <c r="E220" t="s">
        <v>211</v>
      </c>
      <c r="F220" t="s">
        <v>212</v>
      </c>
      <c r="G220" t="s">
        <v>213</v>
      </c>
      <c r="H220">
        <v>1</v>
      </c>
      <c r="I220" t="s">
        <v>195</v>
      </c>
      <c r="J220">
        <v>240</v>
      </c>
      <c r="K220" t="s">
        <v>220</v>
      </c>
      <c r="L220">
        <v>517</v>
      </c>
      <c r="M220" t="s">
        <v>340</v>
      </c>
      <c r="N220">
        <v>1</v>
      </c>
      <c r="O220" s="117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210</v>
      </c>
      <c r="E221" t="s">
        <v>211</v>
      </c>
      <c r="F221" t="s">
        <v>212</v>
      </c>
      <c r="G221" t="s">
        <v>213</v>
      </c>
      <c r="H221">
        <v>1</v>
      </c>
      <c r="I221" t="s">
        <v>195</v>
      </c>
      <c r="J221">
        <v>18</v>
      </c>
      <c r="K221" t="s">
        <v>232</v>
      </c>
      <c r="L221">
        <v>61</v>
      </c>
      <c r="M221" t="s">
        <v>346</v>
      </c>
      <c r="N221">
        <v>1</v>
      </c>
      <c r="O221" s="117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210</v>
      </c>
      <c r="E222" t="s">
        <v>211</v>
      </c>
      <c r="F222" t="s">
        <v>212</v>
      </c>
      <c r="G222" t="s">
        <v>213</v>
      </c>
      <c r="H222">
        <v>1</v>
      </c>
      <c r="I222" t="s">
        <v>195</v>
      </c>
      <c r="J222">
        <v>26</v>
      </c>
      <c r="K222" t="s">
        <v>219</v>
      </c>
      <c r="L222">
        <v>17</v>
      </c>
      <c r="M222" t="s">
        <v>346</v>
      </c>
      <c r="N222">
        <v>1</v>
      </c>
      <c r="O222" s="117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210</v>
      </c>
      <c r="E223" t="s">
        <v>211</v>
      </c>
      <c r="F223" t="s">
        <v>212</v>
      </c>
      <c r="G223" t="s">
        <v>213</v>
      </c>
      <c r="H223">
        <v>1</v>
      </c>
      <c r="I223" t="s">
        <v>195</v>
      </c>
      <c r="J223">
        <v>240</v>
      </c>
      <c r="K223" t="s">
        <v>220</v>
      </c>
      <c r="L223">
        <v>1325</v>
      </c>
      <c r="M223" t="s">
        <v>346</v>
      </c>
      <c r="N223">
        <v>1</v>
      </c>
      <c r="O223" s="117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210</v>
      </c>
      <c r="E224" t="s">
        <v>211</v>
      </c>
      <c r="F224" t="s">
        <v>212</v>
      </c>
      <c r="G224" t="s">
        <v>213</v>
      </c>
      <c r="H224">
        <v>1</v>
      </c>
      <c r="I224" t="s">
        <v>195</v>
      </c>
      <c r="J224">
        <v>242</v>
      </c>
      <c r="K224" t="s">
        <v>218</v>
      </c>
      <c r="L224">
        <v>200</v>
      </c>
      <c r="M224" t="s">
        <v>346</v>
      </c>
      <c r="N224">
        <v>1</v>
      </c>
      <c r="O224" s="117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210</v>
      </c>
      <c r="E225" t="s">
        <v>211</v>
      </c>
      <c r="F225" t="s">
        <v>212</v>
      </c>
      <c r="G225" t="s">
        <v>213</v>
      </c>
      <c r="H225">
        <v>1</v>
      </c>
      <c r="I225" t="s">
        <v>195</v>
      </c>
      <c r="J225">
        <v>26</v>
      </c>
      <c r="K225" t="s">
        <v>219</v>
      </c>
      <c r="L225">
        <v>6</v>
      </c>
      <c r="M225" t="s">
        <v>335</v>
      </c>
      <c r="N225">
        <v>1</v>
      </c>
      <c r="O225" s="117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210</v>
      </c>
      <c r="E226" t="s">
        <v>211</v>
      </c>
      <c r="F226" t="s">
        <v>212</v>
      </c>
      <c r="G226" t="s">
        <v>213</v>
      </c>
      <c r="H226">
        <v>1</v>
      </c>
      <c r="I226" t="s">
        <v>195</v>
      </c>
      <c r="J226">
        <v>240</v>
      </c>
      <c r="K226" t="s">
        <v>220</v>
      </c>
      <c r="L226">
        <v>152</v>
      </c>
      <c r="M226" t="s">
        <v>335</v>
      </c>
      <c r="N226">
        <v>1</v>
      </c>
      <c r="O226" s="117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210</v>
      </c>
      <c r="E227" t="s">
        <v>211</v>
      </c>
      <c r="F227" t="s">
        <v>212</v>
      </c>
      <c r="G227" t="s">
        <v>213</v>
      </c>
      <c r="H227">
        <v>1</v>
      </c>
      <c r="I227" t="s">
        <v>195</v>
      </c>
      <c r="J227">
        <v>242</v>
      </c>
      <c r="K227" t="s">
        <v>218</v>
      </c>
      <c r="L227">
        <v>177</v>
      </c>
      <c r="M227" t="s">
        <v>335</v>
      </c>
      <c r="N227">
        <v>1</v>
      </c>
      <c r="O227" s="117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210</v>
      </c>
      <c r="E228" t="s">
        <v>211</v>
      </c>
      <c r="F228" t="s">
        <v>212</v>
      </c>
      <c r="G228" t="s">
        <v>213</v>
      </c>
      <c r="H228">
        <v>1</v>
      </c>
      <c r="I228" t="s">
        <v>195</v>
      </c>
      <c r="J228">
        <v>26</v>
      </c>
      <c r="K228" t="s">
        <v>219</v>
      </c>
      <c r="L228">
        <v>5</v>
      </c>
      <c r="M228" t="s">
        <v>338</v>
      </c>
      <c r="N228">
        <v>1</v>
      </c>
      <c r="O228" s="117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210</v>
      </c>
      <c r="E229" t="s">
        <v>211</v>
      </c>
      <c r="F229" t="s">
        <v>212</v>
      </c>
      <c r="G229" t="s">
        <v>213</v>
      </c>
      <c r="H229">
        <v>1</v>
      </c>
      <c r="I229" t="s">
        <v>195</v>
      </c>
      <c r="J229">
        <v>240</v>
      </c>
      <c r="K229" t="s">
        <v>220</v>
      </c>
      <c r="L229">
        <v>372</v>
      </c>
      <c r="M229" t="s">
        <v>338</v>
      </c>
      <c r="N229">
        <v>1</v>
      </c>
      <c r="O229" s="117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395</v>
      </c>
      <c r="E230" t="s">
        <v>396</v>
      </c>
      <c r="F230" t="s">
        <v>397</v>
      </c>
      <c r="G230" t="s">
        <v>398</v>
      </c>
      <c r="H230">
        <v>23</v>
      </c>
      <c r="I230" t="s">
        <v>399</v>
      </c>
      <c r="J230">
        <v>5</v>
      </c>
      <c r="K230" t="s">
        <v>241</v>
      </c>
      <c r="L230">
        <v>2</v>
      </c>
      <c r="M230" t="s">
        <v>400</v>
      </c>
      <c r="N230">
        <v>1</v>
      </c>
      <c r="O230" s="117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395</v>
      </c>
      <c r="E231" t="s">
        <v>396</v>
      </c>
      <c r="F231" t="s">
        <v>397</v>
      </c>
      <c r="G231" t="s">
        <v>398</v>
      </c>
      <c r="H231">
        <v>23</v>
      </c>
      <c r="I231" t="s">
        <v>399</v>
      </c>
      <c r="J231">
        <v>5</v>
      </c>
      <c r="K231" t="s">
        <v>241</v>
      </c>
      <c r="L231">
        <v>233</v>
      </c>
      <c r="M231" t="s">
        <v>400</v>
      </c>
      <c r="N231">
        <v>1</v>
      </c>
      <c r="O231" s="117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395</v>
      </c>
      <c r="E232" t="s">
        <v>396</v>
      </c>
      <c r="F232" t="s">
        <v>397</v>
      </c>
      <c r="G232" t="s">
        <v>398</v>
      </c>
      <c r="H232">
        <v>23</v>
      </c>
      <c r="I232" t="s">
        <v>399</v>
      </c>
      <c r="J232">
        <v>215</v>
      </c>
      <c r="K232" t="s">
        <v>317</v>
      </c>
      <c r="L232">
        <v>8</v>
      </c>
      <c r="M232" t="s">
        <v>400</v>
      </c>
      <c r="N232">
        <v>1</v>
      </c>
      <c r="O232" s="117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401</v>
      </c>
      <c r="E233" t="s">
        <v>402</v>
      </c>
      <c r="F233" t="s">
        <v>397</v>
      </c>
      <c r="G233" t="s">
        <v>403</v>
      </c>
      <c r="H233">
        <v>23</v>
      </c>
      <c r="I233" t="s">
        <v>399</v>
      </c>
      <c r="J233">
        <v>5</v>
      </c>
      <c r="K233" t="s">
        <v>241</v>
      </c>
      <c r="L233">
        <v>11</v>
      </c>
      <c r="M233" t="s">
        <v>404</v>
      </c>
      <c r="N233">
        <v>1</v>
      </c>
      <c r="O233" s="117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401</v>
      </c>
      <c r="E234" t="s">
        <v>402</v>
      </c>
      <c r="F234" t="s">
        <v>397</v>
      </c>
      <c r="G234" t="s">
        <v>403</v>
      </c>
      <c r="H234">
        <v>23</v>
      </c>
      <c r="I234" t="s">
        <v>399</v>
      </c>
      <c r="J234">
        <v>12</v>
      </c>
      <c r="K234" t="s">
        <v>229</v>
      </c>
      <c r="L234">
        <v>2</v>
      </c>
      <c r="M234" t="s">
        <v>404</v>
      </c>
      <c r="N234">
        <v>1</v>
      </c>
      <c r="O234" s="117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14</v>
      </c>
      <c r="E235" t="s">
        <v>289</v>
      </c>
      <c r="F235" t="s">
        <v>290</v>
      </c>
      <c r="G235" t="s">
        <v>291</v>
      </c>
      <c r="H235">
        <v>1</v>
      </c>
      <c r="I235" t="s">
        <v>195</v>
      </c>
      <c r="J235">
        <v>5</v>
      </c>
      <c r="K235" t="s">
        <v>241</v>
      </c>
      <c r="L235">
        <v>19</v>
      </c>
      <c r="M235" t="s">
        <v>405</v>
      </c>
      <c r="N235">
        <v>1</v>
      </c>
      <c r="O235" s="117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14</v>
      </c>
      <c r="E236" t="s">
        <v>289</v>
      </c>
      <c r="F236" t="s">
        <v>290</v>
      </c>
      <c r="G236" t="s">
        <v>291</v>
      </c>
      <c r="H236">
        <v>1</v>
      </c>
      <c r="I236" t="s">
        <v>195</v>
      </c>
      <c r="J236">
        <v>72</v>
      </c>
      <c r="K236" t="s">
        <v>368</v>
      </c>
      <c r="L236">
        <v>2</v>
      </c>
      <c r="M236" t="s">
        <v>405</v>
      </c>
      <c r="N236">
        <v>1</v>
      </c>
      <c r="O236" s="117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210</v>
      </c>
      <c r="E237" t="s">
        <v>211</v>
      </c>
      <c r="F237" t="s">
        <v>212</v>
      </c>
      <c r="G237" t="s">
        <v>213</v>
      </c>
      <c r="H237">
        <v>1</v>
      </c>
      <c r="I237" t="s">
        <v>195</v>
      </c>
      <c r="J237">
        <v>18</v>
      </c>
      <c r="K237" t="s">
        <v>232</v>
      </c>
      <c r="L237">
        <v>200</v>
      </c>
      <c r="M237" t="s">
        <v>347</v>
      </c>
      <c r="N237">
        <v>1</v>
      </c>
      <c r="O237" s="117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210</v>
      </c>
      <c r="E238" t="s">
        <v>211</v>
      </c>
      <c r="F238" t="s">
        <v>212</v>
      </c>
      <c r="G238" t="s">
        <v>213</v>
      </c>
      <c r="H238">
        <v>1</v>
      </c>
      <c r="I238" t="s">
        <v>195</v>
      </c>
      <c r="J238">
        <v>26</v>
      </c>
      <c r="K238" t="s">
        <v>219</v>
      </c>
      <c r="L238">
        <v>33</v>
      </c>
      <c r="M238" t="s">
        <v>347</v>
      </c>
      <c r="N238">
        <v>1</v>
      </c>
      <c r="O238" s="117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210</v>
      </c>
      <c r="E239" t="s">
        <v>211</v>
      </c>
      <c r="F239" t="s">
        <v>212</v>
      </c>
      <c r="G239" t="s">
        <v>213</v>
      </c>
      <c r="H239">
        <v>1</v>
      </c>
      <c r="I239" t="s">
        <v>195</v>
      </c>
      <c r="J239">
        <v>240</v>
      </c>
      <c r="K239" t="s">
        <v>220</v>
      </c>
      <c r="L239">
        <v>2902</v>
      </c>
      <c r="M239" t="s">
        <v>347</v>
      </c>
      <c r="N239">
        <v>1</v>
      </c>
      <c r="O239" s="117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210</v>
      </c>
      <c r="E240" t="s">
        <v>211</v>
      </c>
      <c r="F240" t="s">
        <v>212</v>
      </c>
      <c r="G240" t="s">
        <v>213</v>
      </c>
      <c r="H240">
        <v>1</v>
      </c>
      <c r="I240" t="s">
        <v>195</v>
      </c>
      <c r="J240">
        <v>242</v>
      </c>
      <c r="K240" t="s">
        <v>218</v>
      </c>
      <c r="L240">
        <v>559</v>
      </c>
      <c r="M240" t="s">
        <v>347</v>
      </c>
      <c r="N240">
        <v>1</v>
      </c>
      <c r="O240" s="117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210</v>
      </c>
      <c r="E241" t="s">
        <v>211</v>
      </c>
      <c r="F241" t="s">
        <v>212</v>
      </c>
      <c r="G241" t="s">
        <v>213</v>
      </c>
      <c r="H241">
        <v>1</v>
      </c>
      <c r="I241" t="s">
        <v>195</v>
      </c>
      <c r="J241">
        <v>244</v>
      </c>
      <c r="K241" t="s">
        <v>245</v>
      </c>
      <c r="L241">
        <v>67</v>
      </c>
      <c r="M241" t="s">
        <v>347</v>
      </c>
      <c r="N241">
        <v>1</v>
      </c>
      <c r="O241" s="117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210</v>
      </c>
      <c r="E242" t="s">
        <v>211</v>
      </c>
      <c r="F242" t="s">
        <v>212</v>
      </c>
      <c r="G242" t="s">
        <v>213</v>
      </c>
      <c r="H242">
        <v>1</v>
      </c>
      <c r="I242" t="s">
        <v>195</v>
      </c>
      <c r="J242">
        <v>1</v>
      </c>
      <c r="K242" t="s">
        <v>228</v>
      </c>
      <c r="L242">
        <v>360</v>
      </c>
      <c r="M242" t="s">
        <v>340</v>
      </c>
      <c r="N242">
        <v>1</v>
      </c>
      <c r="O242" s="117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210</v>
      </c>
      <c r="E243" t="s">
        <v>211</v>
      </c>
      <c r="F243" t="s">
        <v>212</v>
      </c>
      <c r="G243" t="s">
        <v>213</v>
      </c>
      <c r="H243">
        <v>1</v>
      </c>
      <c r="I243" t="s">
        <v>195</v>
      </c>
      <c r="J243">
        <v>26</v>
      </c>
      <c r="K243" t="s">
        <v>219</v>
      </c>
      <c r="L243">
        <v>15</v>
      </c>
      <c r="M243" t="s">
        <v>340</v>
      </c>
      <c r="N243">
        <v>1</v>
      </c>
      <c r="O243" s="117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210</v>
      </c>
      <c r="E244" t="s">
        <v>211</v>
      </c>
      <c r="F244" t="s">
        <v>212</v>
      </c>
      <c r="G244" t="s">
        <v>213</v>
      </c>
      <c r="H244">
        <v>1</v>
      </c>
      <c r="I244" t="s">
        <v>195</v>
      </c>
      <c r="J244">
        <v>240</v>
      </c>
      <c r="K244" t="s">
        <v>220</v>
      </c>
      <c r="L244">
        <v>594</v>
      </c>
      <c r="M244" t="s">
        <v>340</v>
      </c>
      <c r="N244">
        <v>1</v>
      </c>
      <c r="O244" s="117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210</v>
      </c>
      <c r="E245" t="s">
        <v>211</v>
      </c>
      <c r="F245" t="s">
        <v>212</v>
      </c>
      <c r="G245" t="s">
        <v>213</v>
      </c>
      <c r="H245">
        <v>1</v>
      </c>
      <c r="I245" t="s">
        <v>195</v>
      </c>
      <c r="J245">
        <v>242</v>
      </c>
      <c r="K245" t="s">
        <v>218</v>
      </c>
      <c r="L245">
        <v>564</v>
      </c>
      <c r="M245" t="s">
        <v>340</v>
      </c>
      <c r="N245">
        <v>1</v>
      </c>
      <c r="O245" s="117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210</v>
      </c>
      <c r="E246" t="s">
        <v>211</v>
      </c>
      <c r="F246" t="s">
        <v>212</v>
      </c>
      <c r="G246" t="s">
        <v>213</v>
      </c>
      <c r="H246">
        <v>1</v>
      </c>
      <c r="I246" t="s">
        <v>195</v>
      </c>
      <c r="J246">
        <v>18</v>
      </c>
      <c r="K246" t="s">
        <v>232</v>
      </c>
      <c r="L246">
        <v>150</v>
      </c>
      <c r="M246" t="s">
        <v>339</v>
      </c>
      <c r="N246">
        <v>1</v>
      </c>
      <c r="O246" s="117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210</v>
      </c>
      <c r="E247" t="s">
        <v>211</v>
      </c>
      <c r="F247" t="s">
        <v>212</v>
      </c>
      <c r="G247" t="s">
        <v>213</v>
      </c>
      <c r="H247">
        <v>1</v>
      </c>
      <c r="I247" t="s">
        <v>195</v>
      </c>
      <c r="J247">
        <v>26</v>
      </c>
      <c r="K247" t="s">
        <v>219</v>
      </c>
      <c r="L247">
        <v>2</v>
      </c>
      <c r="M247" t="s">
        <v>339</v>
      </c>
      <c r="N247">
        <v>1</v>
      </c>
      <c r="O247" s="117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210</v>
      </c>
      <c r="E248" t="s">
        <v>211</v>
      </c>
      <c r="F248" t="s">
        <v>212</v>
      </c>
      <c r="G248" t="s">
        <v>213</v>
      </c>
      <c r="H248">
        <v>1</v>
      </c>
      <c r="I248" t="s">
        <v>195</v>
      </c>
      <c r="J248">
        <v>240</v>
      </c>
      <c r="K248" t="s">
        <v>220</v>
      </c>
      <c r="L248">
        <v>84</v>
      </c>
      <c r="M248" t="s">
        <v>339</v>
      </c>
      <c r="N248">
        <v>1</v>
      </c>
      <c r="O248" s="117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406</v>
      </c>
      <c r="E249" t="s">
        <v>407</v>
      </c>
      <c r="F249" t="s">
        <v>408</v>
      </c>
      <c r="G249" t="s">
        <v>409</v>
      </c>
      <c r="H249">
        <v>1</v>
      </c>
      <c r="I249" t="s">
        <v>195</v>
      </c>
      <c r="J249">
        <v>70</v>
      </c>
      <c r="K249" t="s">
        <v>201</v>
      </c>
      <c r="L249">
        <v>17</v>
      </c>
      <c r="M249" t="s">
        <v>410</v>
      </c>
      <c r="N249">
        <v>1</v>
      </c>
      <c r="O249" s="117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406</v>
      </c>
      <c r="E250" t="s">
        <v>407</v>
      </c>
      <c r="F250" t="s">
        <v>408</v>
      </c>
      <c r="G250" t="s">
        <v>409</v>
      </c>
      <c r="H250">
        <v>1</v>
      </c>
      <c r="I250" t="s">
        <v>195</v>
      </c>
      <c r="J250">
        <v>301</v>
      </c>
      <c r="K250" t="s">
        <v>337</v>
      </c>
      <c r="L250">
        <v>191</v>
      </c>
      <c r="M250" t="s">
        <v>410</v>
      </c>
      <c r="N250">
        <v>1</v>
      </c>
      <c r="O250" s="117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406</v>
      </c>
      <c r="E251" t="s">
        <v>407</v>
      </c>
      <c r="F251" t="s">
        <v>408</v>
      </c>
      <c r="G251" t="s">
        <v>409</v>
      </c>
      <c r="H251">
        <v>1</v>
      </c>
      <c r="I251" t="s">
        <v>195</v>
      </c>
      <c r="J251">
        <v>302</v>
      </c>
      <c r="K251" t="s">
        <v>323</v>
      </c>
      <c r="L251">
        <v>1085</v>
      </c>
      <c r="M251" t="s">
        <v>410</v>
      </c>
      <c r="N251">
        <v>1</v>
      </c>
      <c r="O251" s="117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411</v>
      </c>
      <c r="E252" t="s">
        <v>412</v>
      </c>
      <c r="F252" t="s">
        <v>413</v>
      </c>
      <c r="G252" t="s">
        <v>414</v>
      </c>
      <c r="H252">
        <v>23</v>
      </c>
      <c r="I252" t="s">
        <v>399</v>
      </c>
      <c r="J252">
        <v>5</v>
      </c>
      <c r="K252" t="s">
        <v>241</v>
      </c>
      <c r="L252">
        <v>27</v>
      </c>
      <c r="M252" t="s">
        <v>415</v>
      </c>
      <c r="N252">
        <v>1</v>
      </c>
      <c r="O252" s="117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411</v>
      </c>
      <c r="E253" t="s">
        <v>412</v>
      </c>
      <c r="F253" t="s">
        <v>413</v>
      </c>
      <c r="G253" t="s">
        <v>414</v>
      </c>
      <c r="H253">
        <v>23</v>
      </c>
      <c r="I253" t="s">
        <v>399</v>
      </c>
      <c r="J253">
        <v>12</v>
      </c>
      <c r="K253" t="s">
        <v>229</v>
      </c>
      <c r="L253">
        <v>1</v>
      </c>
      <c r="M253" t="s">
        <v>415</v>
      </c>
      <c r="N253">
        <v>1</v>
      </c>
      <c r="O253" s="117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411</v>
      </c>
      <c r="E254" t="s">
        <v>412</v>
      </c>
      <c r="F254" t="s">
        <v>413</v>
      </c>
      <c r="G254" t="s">
        <v>414</v>
      </c>
      <c r="H254">
        <v>23</v>
      </c>
      <c r="I254" t="s">
        <v>399</v>
      </c>
      <c r="J254">
        <v>5</v>
      </c>
      <c r="K254" t="s">
        <v>241</v>
      </c>
      <c r="L254">
        <v>20</v>
      </c>
      <c r="M254" t="s">
        <v>415</v>
      </c>
      <c r="N254">
        <v>1</v>
      </c>
      <c r="O254" s="117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411</v>
      </c>
      <c r="E255" t="s">
        <v>412</v>
      </c>
      <c r="F255" t="s">
        <v>413</v>
      </c>
      <c r="G255" t="s">
        <v>414</v>
      </c>
      <c r="H255">
        <v>23</v>
      </c>
      <c r="I255" t="s">
        <v>399</v>
      </c>
      <c r="J255">
        <v>12</v>
      </c>
      <c r="K255" t="s">
        <v>229</v>
      </c>
      <c r="L255">
        <v>1</v>
      </c>
      <c r="M255" t="s">
        <v>415</v>
      </c>
      <c r="N255">
        <v>1</v>
      </c>
      <c r="O255" s="117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411</v>
      </c>
      <c r="E256" t="s">
        <v>412</v>
      </c>
      <c r="F256" t="s">
        <v>413</v>
      </c>
      <c r="G256" t="s">
        <v>414</v>
      </c>
      <c r="H256">
        <v>23</v>
      </c>
      <c r="I256" t="s">
        <v>399</v>
      </c>
      <c r="J256">
        <v>71</v>
      </c>
      <c r="K256" t="s">
        <v>257</v>
      </c>
      <c r="L256">
        <v>9</v>
      </c>
      <c r="M256" t="s">
        <v>415</v>
      </c>
      <c r="N256">
        <v>1</v>
      </c>
      <c r="O256" s="117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210</v>
      </c>
      <c r="E257" t="s">
        <v>211</v>
      </c>
      <c r="F257" t="s">
        <v>212</v>
      </c>
      <c r="G257" t="s">
        <v>213</v>
      </c>
      <c r="H257">
        <v>1</v>
      </c>
      <c r="I257" t="s">
        <v>195</v>
      </c>
      <c r="J257">
        <v>1</v>
      </c>
      <c r="K257" t="s">
        <v>228</v>
      </c>
      <c r="L257">
        <v>270</v>
      </c>
      <c r="M257" t="s">
        <v>346</v>
      </c>
      <c r="N257">
        <v>1</v>
      </c>
      <c r="O257" s="117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210</v>
      </c>
      <c r="E258" t="s">
        <v>211</v>
      </c>
      <c r="F258" t="s">
        <v>212</v>
      </c>
      <c r="G258" t="s">
        <v>213</v>
      </c>
      <c r="H258">
        <v>1</v>
      </c>
      <c r="I258" t="s">
        <v>195</v>
      </c>
      <c r="J258">
        <v>26</v>
      </c>
      <c r="K258" t="s">
        <v>219</v>
      </c>
      <c r="L258">
        <v>12</v>
      </c>
      <c r="M258" t="s">
        <v>346</v>
      </c>
      <c r="N258">
        <v>1</v>
      </c>
      <c r="O258" s="117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210</v>
      </c>
      <c r="E259" t="s">
        <v>211</v>
      </c>
      <c r="F259" t="s">
        <v>212</v>
      </c>
      <c r="G259" t="s">
        <v>213</v>
      </c>
      <c r="H259">
        <v>1</v>
      </c>
      <c r="I259" t="s">
        <v>195</v>
      </c>
      <c r="J259">
        <v>240</v>
      </c>
      <c r="K259" t="s">
        <v>220</v>
      </c>
      <c r="L259">
        <v>869</v>
      </c>
      <c r="M259" t="s">
        <v>346</v>
      </c>
      <c r="N259">
        <v>1</v>
      </c>
      <c r="O259" s="117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210</v>
      </c>
      <c r="E260" t="s">
        <v>211</v>
      </c>
      <c r="F260" t="s">
        <v>212</v>
      </c>
      <c r="G260" t="s">
        <v>213</v>
      </c>
      <c r="H260">
        <v>1</v>
      </c>
      <c r="I260" t="s">
        <v>195</v>
      </c>
      <c r="J260">
        <v>242</v>
      </c>
      <c r="K260" t="s">
        <v>218</v>
      </c>
      <c r="L260">
        <v>42</v>
      </c>
      <c r="M260" t="s">
        <v>346</v>
      </c>
      <c r="N260">
        <v>1</v>
      </c>
      <c r="O260" s="117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210</v>
      </c>
      <c r="E261" t="s">
        <v>211</v>
      </c>
      <c r="F261" t="s">
        <v>212</v>
      </c>
      <c r="G261" t="s">
        <v>213</v>
      </c>
      <c r="H261">
        <v>1</v>
      </c>
      <c r="I261" t="s">
        <v>195</v>
      </c>
      <c r="J261">
        <v>26</v>
      </c>
      <c r="K261" t="s">
        <v>219</v>
      </c>
      <c r="L261">
        <v>4</v>
      </c>
      <c r="M261" t="s">
        <v>335</v>
      </c>
      <c r="N261">
        <v>1</v>
      </c>
      <c r="O261" s="117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210</v>
      </c>
      <c r="E262" t="s">
        <v>211</v>
      </c>
      <c r="F262" t="s">
        <v>212</v>
      </c>
      <c r="G262" t="s">
        <v>213</v>
      </c>
      <c r="H262">
        <v>1</v>
      </c>
      <c r="I262" t="s">
        <v>195</v>
      </c>
      <c r="J262">
        <v>240</v>
      </c>
      <c r="K262" t="s">
        <v>220</v>
      </c>
      <c r="L262">
        <v>94</v>
      </c>
      <c r="M262" t="s">
        <v>335</v>
      </c>
      <c r="N262">
        <v>1</v>
      </c>
      <c r="O262" s="117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210</v>
      </c>
      <c r="E263" t="s">
        <v>211</v>
      </c>
      <c r="F263" t="s">
        <v>212</v>
      </c>
      <c r="G263" t="s">
        <v>213</v>
      </c>
      <c r="H263">
        <v>1</v>
      </c>
      <c r="I263" t="s">
        <v>195</v>
      </c>
      <c r="J263">
        <v>242</v>
      </c>
      <c r="K263" t="s">
        <v>218</v>
      </c>
      <c r="L263">
        <v>108</v>
      </c>
      <c r="M263" t="s">
        <v>335</v>
      </c>
      <c r="N263">
        <v>1</v>
      </c>
      <c r="O263" s="117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210</v>
      </c>
      <c r="E264" t="s">
        <v>211</v>
      </c>
      <c r="F264" t="s">
        <v>212</v>
      </c>
      <c r="G264" t="s">
        <v>213</v>
      </c>
      <c r="H264">
        <v>1</v>
      </c>
      <c r="I264" t="s">
        <v>195</v>
      </c>
      <c r="J264">
        <v>17</v>
      </c>
      <c r="K264" t="s">
        <v>231</v>
      </c>
      <c r="L264">
        <v>60</v>
      </c>
      <c r="M264" t="s">
        <v>338</v>
      </c>
      <c r="N264">
        <v>1</v>
      </c>
      <c r="O264" s="117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210</v>
      </c>
      <c r="E265" t="s">
        <v>211</v>
      </c>
      <c r="F265" t="s">
        <v>212</v>
      </c>
      <c r="G265" t="s">
        <v>213</v>
      </c>
      <c r="H265">
        <v>1</v>
      </c>
      <c r="I265" t="s">
        <v>195</v>
      </c>
      <c r="J265">
        <v>26</v>
      </c>
      <c r="K265" t="s">
        <v>219</v>
      </c>
      <c r="L265">
        <v>7</v>
      </c>
      <c r="M265" t="s">
        <v>338</v>
      </c>
      <c r="N265">
        <v>1</v>
      </c>
      <c r="O265" s="117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210</v>
      </c>
      <c r="E266" t="s">
        <v>211</v>
      </c>
      <c r="F266" t="s">
        <v>212</v>
      </c>
      <c r="G266" t="s">
        <v>213</v>
      </c>
      <c r="H266">
        <v>1</v>
      </c>
      <c r="I266" t="s">
        <v>195</v>
      </c>
      <c r="J266">
        <v>240</v>
      </c>
      <c r="K266" t="s">
        <v>220</v>
      </c>
      <c r="L266">
        <v>334</v>
      </c>
      <c r="M266" t="s">
        <v>338</v>
      </c>
      <c r="N266">
        <v>1</v>
      </c>
      <c r="O266" s="117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210</v>
      </c>
      <c r="E267" t="s">
        <v>211</v>
      </c>
      <c r="F267" t="s">
        <v>212</v>
      </c>
      <c r="G267" t="s">
        <v>213</v>
      </c>
      <c r="H267">
        <v>1</v>
      </c>
      <c r="I267" t="s">
        <v>195</v>
      </c>
      <c r="J267">
        <v>242</v>
      </c>
      <c r="K267" t="s">
        <v>218</v>
      </c>
      <c r="L267">
        <v>139</v>
      </c>
      <c r="M267" t="s">
        <v>338</v>
      </c>
      <c r="N267">
        <v>1</v>
      </c>
      <c r="O267" s="117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326</v>
      </c>
      <c r="E268" t="s">
        <v>327</v>
      </c>
      <c r="F268" t="s">
        <v>328</v>
      </c>
      <c r="G268" t="s">
        <v>329</v>
      </c>
      <c r="H268">
        <v>22</v>
      </c>
      <c r="I268" t="s">
        <v>330</v>
      </c>
      <c r="J268">
        <v>61</v>
      </c>
      <c r="K268" t="s">
        <v>331</v>
      </c>
      <c r="L268">
        <v>133</v>
      </c>
      <c r="M268" t="s">
        <v>416</v>
      </c>
      <c r="N268">
        <v>1</v>
      </c>
      <c r="O268" s="117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326</v>
      </c>
      <c r="E269" t="s">
        <v>327</v>
      </c>
      <c r="F269" t="s">
        <v>328</v>
      </c>
      <c r="G269" t="s">
        <v>329</v>
      </c>
      <c r="H269">
        <v>22</v>
      </c>
      <c r="I269" t="s">
        <v>330</v>
      </c>
      <c r="J269">
        <v>74</v>
      </c>
      <c r="K269" t="s">
        <v>263</v>
      </c>
      <c r="L269">
        <v>5</v>
      </c>
      <c r="M269" t="s">
        <v>416</v>
      </c>
      <c r="N269">
        <v>1</v>
      </c>
      <c r="O269" s="117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326</v>
      </c>
      <c r="E270" t="s">
        <v>327</v>
      </c>
      <c r="F270" t="s">
        <v>328</v>
      </c>
      <c r="G270" t="s">
        <v>329</v>
      </c>
      <c r="H270">
        <v>22</v>
      </c>
      <c r="I270" t="s">
        <v>330</v>
      </c>
      <c r="J270">
        <v>78</v>
      </c>
      <c r="K270" t="s">
        <v>264</v>
      </c>
      <c r="L270">
        <v>12</v>
      </c>
      <c r="M270" t="s">
        <v>416</v>
      </c>
      <c r="N270">
        <v>1</v>
      </c>
      <c r="O270" s="117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237</v>
      </c>
      <c r="E271" t="s">
        <v>238</v>
      </c>
      <c r="F271" t="s">
        <v>239</v>
      </c>
      <c r="G271" t="s">
        <v>240</v>
      </c>
      <c r="H271">
        <v>5</v>
      </c>
      <c r="I271" t="s">
        <v>227</v>
      </c>
      <c r="J271">
        <v>71</v>
      </c>
      <c r="K271" t="s">
        <v>257</v>
      </c>
      <c r="L271">
        <v>6</v>
      </c>
      <c r="M271" t="s">
        <v>417</v>
      </c>
      <c r="N271">
        <v>1</v>
      </c>
      <c r="O271" s="117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210</v>
      </c>
      <c r="E272" t="s">
        <v>211</v>
      </c>
      <c r="F272" t="s">
        <v>212</v>
      </c>
      <c r="G272" t="s">
        <v>213</v>
      </c>
      <c r="H272">
        <v>1</v>
      </c>
      <c r="I272" t="s">
        <v>195</v>
      </c>
      <c r="J272">
        <v>26</v>
      </c>
      <c r="K272" t="s">
        <v>219</v>
      </c>
      <c r="L272">
        <v>1</v>
      </c>
      <c r="M272" t="s">
        <v>347</v>
      </c>
      <c r="N272">
        <v>1</v>
      </c>
      <c r="O272" s="117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210</v>
      </c>
      <c r="E273" t="s">
        <v>211</v>
      </c>
      <c r="F273" t="s">
        <v>212</v>
      </c>
      <c r="G273" t="s">
        <v>213</v>
      </c>
      <c r="H273">
        <v>1</v>
      </c>
      <c r="I273" t="s">
        <v>195</v>
      </c>
      <c r="J273">
        <v>242</v>
      </c>
      <c r="K273" t="s">
        <v>218</v>
      </c>
      <c r="L273">
        <v>51</v>
      </c>
      <c r="M273" t="s">
        <v>347</v>
      </c>
      <c r="N273">
        <v>1</v>
      </c>
      <c r="O273" s="117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418</v>
      </c>
      <c r="E274" t="s">
        <v>419</v>
      </c>
      <c r="F274" t="s">
        <v>420</v>
      </c>
      <c r="G274" t="s">
        <v>421</v>
      </c>
      <c r="H274">
        <v>22</v>
      </c>
      <c r="I274" t="s">
        <v>330</v>
      </c>
      <c r="J274">
        <v>61</v>
      </c>
      <c r="K274" t="s">
        <v>331</v>
      </c>
      <c r="L274">
        <v>493</v>
      </c>
      <c r="M274" t="s">
        <v>422</v>
      </c>
      <c r="N274">
        <v>1</v>
      </c>
      <c r="O274" s="117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418</v>
      </c>
      <c r="E275" t="s">
        <v>419</v>
      </c>
      <c r="F275" t="s">
        <v>420</v>
      </c>
      <c r="G275" t="s">
        <v>421</v>
      </c>
      <c r="H275">
        <v>22</v>
      </c>
      <c r="I275" t="s">
        <v>330</v>
      </c>
      <c r="J275">
        <v>70</v>
      </c>
      <c r="K275" t="s">
        <v>201</v>
      </c>
      <c r="L275">
        <v>29</v>
      </c>
      <c r="M275" t="s">
        <v>422</v>
      </c>
      <c r="N275">
        <v>1</v>
      </c>
      <c r="O275" s="117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418</v>
      </c>
      <c r="E276" t="s">
        <v>419</v>
      </c>
      <c r="F276" t="s">
        <v>420</v>
      </c>
      <c r="G276" t="s">
        <v>421</v>
      </c>
      <c r="H276">
        <v>22</v>
      </c>
      <c r="I276" t="s">
        <v>330</v>
      </c>
      <c r="J276">
        <v>74</v>
      </c>
      <c r="K276" t="s">
        <v>263</v>
      </c>
      <c r="L276">
        <v>69</v>
      </c>
      <c r="M276" t="s">
        <v>422</v>
      </c>
      <c r="N276">
        <v>1</v>
      </c>
      <c r="O276" s="117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210</v>
      </c>
      <c r="E277" t="s">
        <v>211</v>
      </c>
      <c r="F277" t="s">
        <v>212</v>
      </c>
      <c r="G277" t="s">
        <v>213</v>
      </c>
      <c r="H277">
        <v>1</v>
      </c>
      <c r="I277" t="s">
        <v>195</v>
      </c>
      <c r="J277">
        <v>18</v>
      </c>
      <c r="K277" t="s">
        <v>232</v>
      </c>
      <c r="L277">
        <v>214</v>
      </c>
      <c r="M277" t="s">
        <v>347</v>
      </c>
      <c r="N277">
        <v>1</v>
      </c>
      <c r="O277" s="117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210</v>
      </c>
      <c r="E278" t="s">
        <v>211</v>
      </c>
      <c r="F278" t="s">
        <v>212</v>
      </c>
      <c r="G278" t="s">
        <v>213</v>
      </c>
      <c r="H278">
        <v>1</v>
      </c>
      <c r="I278" t="s">
        <v>195</v>
      </c>
      <c r="J278">
        <v>26</v>
      </c>
      <c r="K278" t="s">
        <v>219</v>
      </c>
      <c r="L278">
        <v>26</v>
      </c>
      <c r="M278" t="s">
        <v>347</v>
      </c>
      <c r="N278">
        <v>1</v>
      </c>
      <c r="O278" s="117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210</v>
      </c>
      <c r="E279" t="s">
        <v>211</v>
      </c>
      <c r="F279" t="s">
        <v>212</v>
      </c>
      <c r="G279" t="s">
        <v>213</v>
      </c>
      <c r="H279">
        <v>1</v>
      </c>
      <c r="I279" t="s">
        <v>195</v>
      </c>
      <c r="J279">
        <v>240</v>
      </c>
      <c r="K279" t="s">
        <v>220</v>
      </c>
      <c r="L279">
        <v>1706</v>
      </c>
      <c r="M279" t="s">
        <v>347</v>
      </c>
      <c r="N279">
        <v>1</v>
      </c>
      <c r="O279" s="117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210</v>
      </c>
      <c r="E280" t="s">
        <v>211</v>
      </c>
      <c r="F280" t="s">
        <v>212</v>
      </c>
      <c r="G280" t="s">
        <v>213</v>
      </c>
      <c r="H280">
        <v>1</v>
      </c>
      <c r="I280" t="s">
        <v>195</v>
      </c>
      <c r="J280">
        <v>242</v>
      </c>
      <c r="K280" t="s">
        <v>218</v>
      </c>
      <c r="L280">
        <v>1152</v>
      </c>
      <c r="M280" t="s">
        <v>347</v>
      </c>
      <c r="N280">
        <v>1</v>
      </c>
      <c r="O280" s="117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401</v>
      </c>
      <c r="E281" t="s">
        <v>402</v>
      </c>
      <c r="F281" t="s">
        <v>397</v>
      </c>
      <c r="G281" t="s">
        <v>403</v>
      </c>
      <c r="H281">
        <v>23</v>
      </c>
      <c r="I281" t="s">
        <v>399</v>
      </c>
      <c r="J281">
        <v>5</v>
      </c>
      <c r="K281" t="s">
        <v>241</v>
      </c>
      <c r="L281">
        <v>6</v>
      </c>
      <c r="M281" t="s">
        <v>423</v>
      </c>
      <c r="N281">
        <v>1</v>
      </c>
      <c r="O281" s="117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401</v>
      </c>
      <c r="E282" t="s">
        <v>402</v>
      </c>
      <c r="F282" t="s">
        <v>397</v>
      </c>
      <c r="G282" t="s">
        <v>403</v>
      </c>
      <c r="H282">
        <v>23</v>
      </c>
      <c r="I282" t="s">
        <v>399</v>
      </c>
      <c r="J282">
        <v>12</v>
      </c>
      <c r="K282" t="s">
        <v>229</v>
      </c>
      <c r="L282">
        <v>1</v>
      </c>
      <c r="M282" t="s">
        <v>423</v>
      </c>
      <c r="N282">
        <v>1</v>
      </c>
      <c r="O282" s="117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401</v>
      </c>
      <c r="E283" t="s">
        <v>402</v>
      </c>
      <c r="F283" t="s">
        <v>397</v>
      </c>
      <c r="G283" t="s">
        <v>403</v>
      </c>
      <c r="H283">
        <v>23</v>
      </c>
      <c r="I283" t="s">
        <v>399</v>
      </c>
      <c r="J283">
        <v>5</v>
      </c>
      <c r="K283" t="s">
        <v>241</v>
      </c>
      <c r="L283">
        <v>33</v>
      </c>
      <c r="M283" t="s">
        <v>423</v>
      </c>
      <c r="N283">
        <v>1</v>
      </c>
      <c r="O283" s="117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401</v>
      </c>
      <c r="E284" t="s">
        <v>402</v>
      </c>
      <c r="F284" t="s">
        <v>397</v>
      </c>
      <c r="G284" t="s">
        <v>403</v>
      </c>
      <c r="H284">
        <v>23</v>
      </c>
      <c r="I284" t="s">
        <v>399</v>
      </c>
      <c r="J284">
        <v>71</v>
      </c>
      <c r="K284" t="s">
        <v>257</v>
      </c>
      <c r="L284">
        <v>16</v>
      </c>
      <c r="M284" t="s">
        <v>423</v>
      </c>
      <c r="N284">
        <v>1</v>
      </c>
      <c r="O284" s="117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401</v>
      </c>
      <c r="E285" t="s">
        <v>402</v>
      </c>
      <c r="F285" t="s">
        <v>397</v>
      </c>
      <c r="G285" t="s">
        <v>403</v>
      </c>
      <c r="H285">
        <v>23</v>
      </c>
      <c r="I285" t="s">
        <v>399</v>
      </c>
      <c r="J285">
        <v>5</v>
      </c>
      <c r="K285" t="s">
        <v>241</v>
      </c>
      <c r="L285">
        <v>4</v>
      </c>
      <c r="M285" t="s">
        <v>424</v>
      </c>
      <c r="N285">
        <v>1</v>
      </c>
      <c r="O285" s="117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559583</v>
      </c>
      <c r="B286" t="str">
        <f t="shared" si="12"/>
        <v>559583 - 1</v>
      </c>
      <c r="C286">
        <v>2422</v>
      </c>
      <c r="D286" t="s">
        <v>425</v>
      </c>
      <c r="E286" t="s">
        <v>426</v>
      </c>
      <c r="F286" t="s">
        <v>392</v>
      </c>
      <c r="G286" t="s">
        <v>393</v>
      </c>
      <c r="H286">
        <v>22</v>
      </c>
      <c r="I286" t="s">
        <v>330</v>
      </c>
      <c r="J286">
        <v>61</v>
      </c>
      <c r="K286" t="s">
        <v>331</v>
      </c>
      <c r="L286">
        <v>231</v>
      </c>
      <c r="M286" t="s">
        <v>427</v>
      </c>
      <c r="N286">
        <v>1</v>
      </c>
      <c r="O286" s="117">
        <v>43439</v>
      </c>
      <c r="P286">
        <f t="shared" si="13"/>
        <v>2</v>
      </c>
      <c r="Q286">
        <f t="shared" si="14"/>
        <v>1</v>
      </c>
    </row>
    <row r="287" spans="1:17" x14ac:dyDescent="0.2">
      <c r="A287">
        <v>559583</v>
      </c>
      <c r="B287" t="str">
        <f t="shared" si="12"/>
        <v>559583 - 2</v>
      </c>
      <c r="C287">
        <v>2422</v>
      </c>
      <c r="D287" t="s">
        <v>425</v>
      </c>
      <c r="E287" t="s">
        <v>426</v>
      </c>
      <c r="F287" t="s">
        <v>392</v>
      </c>
      <c r="G287" t="s">
        <v>393</v>
      </c>
      <c r="H287">
        <v>22</v>
      </c>
      <c r="I287" t="s">
        <v>330</v>
      </c>
      <c r="J287">
        <v>70</v>
      </c>
      <c r="K287" t="s">
        <v>201</v>
      </c>
      <c r="L287">
        <v>6</v>
      </c>
      <c r="M287" t="s">
        <v>427</v>
      </c>
      <c r="N287">
        <v>1</v>
      </c>
      <c r="O287" s="117">
        <v>43439</v>
      </c>
      <c r="P287">
        <f t="shared" si="13"/>
        <v>2</v>
      </c>
      <c r="Q287">
        <f t="shared" si="14"/>
        <v>2</v>
      </c>
    </row>
    <row r="288" spans="1:17" x14ac:dyDescent="0.2">
      <c r="A288">
        <v>559586</v>
      </c>
      <c r="B288" t="str">
        <f t="shared" si="12"/>
        <v>559586 - 1</v>
      </c>
      <c r="C288">
        <v>3223</v>
      </c>
      <c r="D288" t="s">
        <v>237</v>
      </c>
      <c r="E288" t="s">
        <v>238</v>
      </c>
      <c r="F288" t="s">
        <v>239</v>
      </c>
      <c r="G288" t="s">
        <v>240</v>
      </c>
      <c r="H288">
        <v>5</v>
      </c>
      <c r="I288" t="s">
        <v>227</v>
      </c>
      <c r="J288">
        <v>71</v>
      </c>
      <c r="K288" t="s">
        <v>257</v>
      </c>
      <c r="L288">
        <v>2</v>
      </c>
      <c r="M288" t="s">
        <v>428</v>
      </c>
      <c r="N288">
        <v>1</v>
      </c>
      <c r="O288" s="117">
        <v>43439</v>
      </c>
      <c r="P288">
        <f t="shared" si="13"/>
        <v>1</v>
      </c>
      <c r="Q288">
        <f t="shared" si="14"/>
        <v>1</v>
      </c>
    </row>
    <row r="289" spans="1:17" x14ac:dyDescent="0.2">
      <c r="A289">
        <v>559589</v>
      </c>
      <c r="B289" t="str">
        <f t="shared" si="12"/>
        <v>559589 - 1</v>
      </c>
      <c r="C289">
        <v>2552</v>
      </c>
      <c r="D289" t="s">
        <v>437</v>
      </c>
      <c r="E289" t="s">
        <v>438</v>
      </c>
      <c r="F289" t="s">
        <v>392</v>
      </c>
      <c r="G289" t="s">
        <v>439</v>
      </c>
      <c r="H289">
        <v>22</v>
      </c>
      <c r="I289" t="s">
        <v>330</v>
      </c>
      <c r="J289">
        <v>61</v>
      </c>
      <c r="K289" t="s">
        <v>331</v>
      </c>
      <c r="L289">
        <v>701</v>
      </c>
      <c r="M289" t="s">
        <v>440</v>
      </c>
      <c r="N289">
        <v>1</v>
      </c>
      <c r="O289" s="117">
        <v>43439</v>
      </c>
      <c r="P289">
        <f t="shared" si="13"/>
        <v>3</v>
      </c>
      <c r="Q289">
        <f t="shared" si="14"/>
        <v>1</v>
      </c>
    </row>
    <row r="290" spans="1:17" x14ac:dyDescent="0.2">
      <c r="A290">
        <v>559589</v>
      </c>
      <c r="B290" t="str">
        <f t="shared" si="12"/>
        <v>559589 - 2</v>
      </c>
      <c r="C290">
        <v>2552</v>
      </c>
      <c r="D290" t="s">
        <v>437</v>
      </c>
      <c r="E290" t="s">
        <v>438</v>
      </c>
      <c r="F290" t="s">
        <v>392</v>
      </c>
      <c r="G290" t="s">
        <v>439</v>
      </c>
      <c r="H290">
        <v>22</v>
      </c>
      <c r="I290" t="s">
        <v>330</v>
      </c>
      <c r="J290">
        <v>74</v>
      </c>
      <c r="K290" t="s">
        <v>263</v>
      </c>
      <c r="L290">
        <v>69</v>
      </c>
      <c r="M290" t="s">
        <v>440</v>
      </c>
      <c r="N290">
        <v>1</v>
      </c>
      <c r="O290" s="117">
        <v>43439</v>
      </c>
      <c r="P290">
        <f t="shared" si="13"/>
        <v>3</v>
      </c>
      <c r="Q290">
        <f t="shared" si="14"/>
        <v>2</v>
      </c>
    </row>
    <row r="291" spans="1:17" x14ac:dyDescent="0.2">
      <c r="A291">
        <v>559589</v>
      </c>
      <c r="B291" t="str">
        <f t="shared" si="12"/>
        <v>559589 - 3</v>
      </c>
      <c r="C291">
        <v>2552</v>
      </c>
      <c r="D291" t="s">
        <v>437</v>
      </c>
      <c r="E291" t="s">
        <v>438</v>
      </c>
      <c r="F291" t="s">
        <v>392</v>
      </c>
      <c r="G291" t="s">
        <v>439</v>
      </c>
      <c r="H291">
        <v>22</v>
      </c>
      <c r="I291" t="s">
        <v>330</v>
      </c>
      <c r="J291">
        <v>78</v>
      </c>
      <c r="K291" t="s">
        <v>264</v>
      </c>
      <c r="L291">
        <v>27</v>
      </c>
      <c r="M291" t="s">
        <v>440</v>
      </c>
      <c r="N291">
        <v>1</v>
      </c>
      <c r="O291" s="117">
        <v>43439</v>
      </c>
      <c r="P291">
        <f t="shared" si="13"/>
        <v>3</v>
      </c>
      <c r="Q291">
        <f t="shared" si="14"/>
        <v>3</v>
      </c>
    </row>
    <row r="292" spans="1:17" x14ac:dyDescent="0.2">
      <c r="A292">
        <v>559591</v>
      </c>
      <c r="B292" t="str">
        <f t="shared" si="12"/>
        <v>559591 - 1</v>
      </c>
      <c r="C292">
        <v>8999</v>
      </c>
      <c r="D292" t="s">
        <v>210</v>
      </c>
      <c r="E292" t="s">
        <v>211</v>
      </c>
      <c r="F292" t="s">
        <v>212</v>
      </c>
      <c r="G292" t="s">
        <v>213</v>
      </c>
      <c r="H292">
        <v>1</v>
      </c>
      <c r="I292" t="s">
        <v>195</v>
      </c>
      <c r="J292">
        <v>70</v>
      </c>
      <c r="K292" t="s">
        <v>201</v>
      </c>
      <c r="L292">
        <v>24</v>
      </c>
      <c r="M292" t="s">
        <v>429</v>
      </c>
      <c r="N292">
        <v>1</v>
      </c>
      <c r="O292" s="117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559591</v>
      </c>
      <c r="B293" t="str">
        <f t="shared" si="12"/>
        <v>559591 - 2</v>
      </c>
      <c r="C293">
        <v>8999</v>
      </c>
      <c r="D293" t="s">
        <v>210</v>
      </c>
      <c r="E293" t="s">
        <v>211</v>
      </c>
      <c r="F293" t="s">
        <v>212</v>
      </c>
      <c r="G293" t="s">
        <v>213</v>
      </c>
      <c r="H293">
        <v>1</v>
      </c>
      <c r="I293" t="s">
        <v>195</v>
      </c>
      <c r="J293">
        <v>301</v>
      </c>
      <c r="K293" t="s">
        <v>337</v>
      </c>
      <c r="L293">
        <v>1146</v>
      </c>
      <c r="M293" t="s">
        <v>429</v>
      </c>
      <c r="N293">
        <v>1</v>
      </c>
      <c r="O293" s="117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559591</v>
      </c>
      <c r="B294" t="str">
        <f t="shared" si="12"/>
        <v>559591 - 3</v>
      </c>
      <c r="C294">
        <v>8999</v>
      </c>
      <c r="D294" t="s">
        <v>210</v>
      </c>
      <c r="E294" t="s">
        <v>211</v>
      </c>
      <c r="F294" t="s">
        <v>212</v>
      </c>
      <c r="G294" t="s">
        <v>213</v>
      </c>
      <c r="H294">
        <v>1</v>
      </c>
      <c r="I294" t="s">
        <v>195</v>
      </c>
      <c r="J294">
        <v>302</v>
      </c>
      <c r="K294" t="s">
        <v>323</v>
      </c>
      <c r="L294">
        <v>965</v>
      </c>
      <c r="M294" t="s">
        <v>429</v>
      </c>
      <c r="N294">
        <v>1</v>
      </c>
      <c r="O294" s="117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559592</v>
      </c>
      <c r="B295" t="str">
        <f t="shared" si="12"/>
        <v>559592 - 1</v>
      </c>
      <c r="C295">
        <v>8999</v>
      </c>
      <c r="D295" t="s">
        <v>210</v>
      </c>
      <c r="E295" t="s">
        <v>211</v>
      </c>
      <c r="F295" t="s">
        <v>212</v>
      </c>
      <c r="G295" t="s">
        <v>213</v>
      </c>
      <c r="H295">
        <v>1</v>
      </c>
      <c r="I295" t="s">
        <v>195</v>
      </c>
      <c r="J295">
        <v>70</v>
      </c>
      <c r="K295" t="s">
        <v>201</v>
      </c>
      <c r="L295">
        <v>14</v>
      </c>
      <c r="M295" t="s">
        <v>430</v>
      </c>
      <c r="N295">
        <v>1</v>
      </c>
      <c r="O295" s="117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559592</v>
      </c>
      <c r="B296" t="str">
        <f t="shared" si="12"/>
        <v>559592 - 2</v>
      </c>
      <c r="C296">
        <v>8999</v>
      </c>
      <c r="D296" t="s">
        <v>210</v>
      </c>
      <c r="E296" t="s">
        <v>211</v>
      </c>
      <c r="F296" t="s">
        <v>212</v>
      </c>
      <c r="G296" t="s">
        <v>213</v>
      </c>
      <c r="H296">
        <v>1</v>
      </c>
      <c r="I296" t="s">
        <v>195</v>
      </c>
      <c r="J296">
        <v>301</v>
      </c>
      <c r="K296" t="s">
        <v>337</v>
      </c>
      <c r="L296">
        <v>471</v>
      </c>
      <c r="M296" t="s">
        <v>430</v>
      </c>
      <c r="N296">
        <v>1</v>
      </c>
      <c r="O296" s="117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559592</v>
      </c>
      <c r="B297" t="str">
        <f t="shared" si="12"/>
        <v>559592 - 3</v>
      </c>
      <c r="C297">
        <v>8999</v>
      </c>
      <c r="D297" t="s">
        <v>210</v>
      </c>
      <c r="E297" t="s">
        <v>211</v>
      </c>
      <c r="F297" t="s">
        <v>212</v>
      </c>
      <c r="G297" t="s">
        <v>213</v>
      </c>
      <c r="H297">
        <v>1</v>
      </c>
      <c r="I297" t="s">
        <v>195</v>
      </c>
      <c r="J297">
        <v>302</v>
      </c>
      <c r="K297" t="s">
        <v>323</v>
      </c>
      <c r="L297">
        <v>496</v>
      </c>
      <c r="M297" t="s">
        <v>430</v>
      </c>
      <c r="N297">
        <v>1</v>
      </c>
      <c r="O297" s="117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559597</v>
      </c>
      <c r="B298" t="str">
        <f t="shared" si="12"/>
        <v>559597 - 1</v>
      </c>
      <c r="C298">
        <v>8999</v>
      </c>
      <c r="D298" t="s">
        <v>210</v>
      </c>
      <c r="E298" t="s">
        <v>211</v>
      </c>
      <c r="F298" t="s">
        <v>212</v>
      </c>
      <c r="G298" t="s">
        <v>213</v>
      </c>
      <c r="H298">
        <v>1</v>
      </c>
      <c r="I298" t="s">
        <v>195</v>
      </c>
      <c r="J298">
        <v>17</v>
      </c>
      <c r="K298" t="s">
        <v>231</v>
      </c>
      <c r="L298">
        <v>100</v>
      </c>
      <c r="M298" t="s">
        <v>339</v>
      </c>
      <c r="N298">
        <v>1</v>
      </c>
      <c r="O298" s="117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559597</v>
      </c>
      <c r="B299" t="str">
        <f t="shared" si="12"/>
        <v>559597 - 2</v>
      </c>
      <c r="C299">
        <v>8999</v>
      </c>
      <c r="D299" t="s">
        <v>210</v>
      </c>
      <c r="E299" t="s">
        <v>211</v>
      </c>
      <c r="F299" t="s">
        <v>212</v>
      </c>
      <c r="G299" t="s">
        <v>213</v>
      </c>
      <c r="H299">
        <v>1</v>
      </c>
      <c r="I299" t="s">
        <v>195</v>
      </c>
      <c r="J299">
        <v>26</v>
      </c>
      <c r="K299" t="s">
        <v>219</v>
      </c>
      <c r="L299">
        <v>2</v>
      </c>
      <c r="M299" t="s">
        <v>339</v>
      </c>
      <c r="N299">
        <v>1</v>
      </c>
      <c r="O299" s="117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559597</v>
      </c>
      <c r="B300" t="str">
        <f t="shared" si="12"/>
        <v>559597 - 3</v>
      </c>
      <c r="C300">
        <v>8999</v>
      </c>
      <c r="D300" t="s">
        <v>210</v>
      </c>
      <c r="E300" t="s">
        <v>211</v>
      </c>
      <c r="F300" t="s">
        <v>212</v>
      </c>
      <c r="G300" t="s">
        <v>213</v>
      </c>
      <c r="H300">
        <v>1</v>
      </c>
      <c r="I300" t="s">
        <v>195</v>
      </c>
      <c r="J300">
        <v>240</v>
      </c>
      <c r="K300" t="s">
        <v>220</v>
      </c>
      <c r="L300">
        <v>150</v>
      </c>
      <c r="M300" t="s">
        <v>339</v>
      </c>
      <c r="N300">
        <v>1</v>
      </c>
      <c r="O300" s="117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559598</v>
      </c>
      <c r="B301" t="str">
        <f t="shared" si="12"/>
        <v>559598 - 1</v>
      </c>
      <c r="C301">
        <v>8999</v>
      </c>
      <c r="D301" t="s">
        <v>210</v>
      </c>
      <c r="E301" t="s">
        <v>211</v>
      </c>
      <c r="F301" t="s">
        <v>212</v>
      </c>
      <c r="G301" t="s">
        <v>213</v>
      </c>
      <c r="H301">
        <v>1</v>
      </c>
      <c r="I301" t="s">
        <v>195</v>
      </c>
      <c r="J301">
        <v>1</v>
      </c>
      <c r="K301" t="s">
        <v>228</v>
      </c>
      <c r="L301">
        <v>150</v>
      </c>
      <c r="M301" t="s">
        <v>340</v>
      </c>
      <c r="N301">
        <v>1</v>
      </c>
      <c r="O301" s="117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559598</v>
      </c>
      <c r="B302" t="str">
        <f t="shared" si="12"/>
        <v>559598 - 2</v>
      </c>
      <c r="C302">
        <v>8999</v>
      </c>
      <c r="D302" t="s">
        <v>210</v>
      </c>
      <c r="E302" t="s">
        <v>211</v>
      </c>
      <c r="F302" t="s">
        <v>212</v>
      </c>
      <c r="G302" t="s">
        <v>213</v>
      </c>
      <c r="H302">
        <v>1</v>
      </c>
      <c r="I302" t="s">
        <v>195</v>
      </c>
      <c r="J302">
        <v>26</v>
      </c>
      <c r="K302" t="s">
        <v>219</v>
      </c>
      <c r="L302">
        <v>6</v>
      </c>
      <c r="M302" t="s">
        <v>340</v>
      </c>
      <c r="N302">
        <v>1</v>
      </c>
      <c r="O302" s="117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559598</v>
      </c>
      <c r="B303" t="str">
        <f t="shared" si="12"/>
        <v>559598 - 3</v>
      </c>
      <c r="C303">
        <v>8999</v>
      </c>
      <c r="D303" t="s">
        <v>210</v>
      </c>
      <c r="E303" t="s">
        <v>211</v>
      </c>
      <c r="F303" t="s">
        <v>212</v>
      </c>
      <c r="G303" t="s">
        <v>213</v>
      </c>
      <c r="H303">
        <v>1</v>
      </c>
      <c r="I303" t="s">
        <v>195</v>
      </c>
      <c r="J303">
        <v>240</v>
      </c>
      <c r="K303" t="s">
        <v>220</v>
      </c>
      <c r="L303">
        <v>544</v>
      </c>
      <c r="M303" t="s">
        <v>340</v>
      </c>
      <c r="N303">
        <v>1</v>
      </c>
      <c r="O303" s="117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559599</v>
      </c>
      <c r="B304" t="str">
        <f t="shared" si="12"/>
        <v>559599 - 1</v>
      </c>
      <c r="C304">
        <v>8999</v>
      </c>
      <c r="D304" t="s">
        <v>210</v>
      </c>
      <c r="E304" t="s">
        <v>211</v>
      </c>
      <c r="F304" t="s">
        <v>212</v>
      </c>
      <c r="G304" t="s">
        <v>213</v>
      </c>
      <c r="H304">
        <v>1</v>
      </c>
      <c r="I304" t="s">
        <v>195</v>
      </c>
      <c r="J304">
        <v>26</v>
      </c>
      <c r="K304" t="s">
        <v>219</v>
      </c>
      <c r="L304">
        <v>29</v>
      </c>
      <c r="M304" t="s">
        <v>347</v>
      </c>
      <c r="N304">
        <v>1</v>
      </c>
      <c r="O304" s="117">
        <v>43439</v>
      </c>
      <c r="P304">
        <f t="shared" si="13"/>
        <v>4</v>
      </c>
      <c r="Q304">
        <f t="shared" si="14"/>
        <v>1</v>
      </c>
    </row>
    <row r="305" spans="1:17" x14ac:dyDescent="0.2">
      <c r="A305">
        <v>559599</v>
      </c>
      <c r="B305" t="str">
        <f t="shared" si="12"/>
        <v>559599 - 2</v>
      </c>
      <c r="C305">
        <v>8999</v>
      </c>
      <c r="D305" t="s">
        <v>210</v>
      </c>
      <c r="E305" t="s">
        <v>211</v>
      </c>
      <c r="F305" t="s">
        <v>212</v>
      </c>
      <c r="G305" t="s">
        <v>213</v>
      </c>
      <c r="H305">
        <v>1</v>
      </c>
      <c r="I305" t="s">
        <v>195</v>
      </c>
      <c r="J305">
        <v>240</v>
      </c>
      <c r="K305" t="s">
        <v>220</v>
      </c>
      <c r="L305">
        <v>1032</v>
      </c>
      <c r="M305" t="s">
        <v>347</v>
      </c>
      <c r="N305">
        <v>1</v>
      </c>
      <c r="O305" s="117">
        <v>43439</v>
      </c>
      <c r="P305">
        <f t="shared" si="13"/>
        <v>4</v>
      </c>
      <c r="Q305">
        <f t="shared" si="14"/>
        <v>2</v>
      </c>
    </row>
    <row r="306" spans="1:17" x14ac:dyDescent="0.2">
      <c r="A306">
        <v>559599</v>
      </c>
      <c r="B306" t="str">
        <f t="shared" si="12"/>
        <v>559599 - 3</v>
      </c>
      <c r="C306">
        <v>8999</v>
      </c>
      <c r="D306" t="s">
        <v>210</v>
      </c>
      <c r="E306" t="s">
        <v>211</v>
      </c>
      <c r="F306" t="s">
        <v>212</v>
      </c>
      <c r="G306" t="s">
        <v>213</v>
      </c>
      <c r="H306">
        <v>1</v>
      </c>
      <c r="I306" t="s">
        <v>195</v>
      </c>
      <c r="J306">
        <v>241</v>
      </c>
      <c r="K306" t="s">
        <v>345</v>
      </c>
      <c r="L306">
        <v>224</v>
      </c>
      <c r="M306" t="s">
        <v>347</v>
      </c>
      <c r="N306">
        <v>1</v>
      </c>
      <c r="O306" s="117">
        <v>43439</v>
      </c>
      <c r="P306">
        <f t="shared" si="13"/>
        <v>4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559599 - 4</v>
      </c>
      <c r="C307">
        <v>8999</v>
      </c>
      <c r="D307" t="s">
        <v>210</v>
      </c>
      <c r="E307" t="s">
        <v>211</v>
      </c>
      <c r="F307" t="s">
        <v>212</v>
      </c>
      <c r="G307" t="s">
        <v>213</v>
      </c>
      <c r="H307">
        <v>1</v>
      </c>
      <c r="I307" t="s">
        <v>195</v>
      </c>
      <c r="J307">
        <v>242</v>
      </c>
      <c r="K307" t="s">
        <v>218</v>
      </c>
      <c r="L307">
        <v>1780</v>
      </c>
      <c r="M307" t="s">
        <v>347</v>
      </c>
      <c r="N307">
        <v>1</v>
      </c>
      <c r="O307" s="117">
        <v>43439</v>
      </c>
      <c r="P307">
        <f t="shared" si="13"/>
        <v>4</v>
      </c>
      <c r="Q307">
        <f t="shared" si="14"/>
        <v>4</v>
      </c>
    </row>
    <row r="308" spans="1:17" x14ac:dyDescent="0.2">
      <c r="A308">
        <v>559602</v>
      </c>
      <c r="B308" t="str">
        <f t="shared" si="12"/>
        <v>559602 - 1</v>
      </c>
      <c r="C308">
        <v>2434</v>
      </c>
      <c r="D308" t="s">
        <v>356</v>
      </c>
      <c r="E308" t="s">
        <v>357</v>
      </c>
      <c r="F308" t="s">
        <v>358</v>
      </c>
      <c r="G308" t="s">
        <v>359</v>
      </c>
      <c r="H308">
        <v>20</v>
      </c>
      <c r="I308" t="s">
        <v>287</v>
      </c>
      <c r="J308">
        <v>5</v>
      </c>
      <c r="K308" t="s">
        <v>241</v>
      </c>
      <c r="L308">
        <v>1</v>
      </c>
      <c r="M308" t="s">
        <v>431</v>
      </c>
      <c r="N308">
        <v>1</v>
      </c>
      <c r="O308" s="117">
        <v>43439</v>
      </c>
      <c r="P308">
        <f t="shared" si="13"/>
        <v>1</v>
      </c>
      <c r="Q308">
        <f t="shared" si="14"/>
        <v>1</v>
      </c>
    </row>
    <row r="309" spans="1:17" x14ac:dyDescent="0.2">
      <c r="A309">
        <v>559603</v>
      </c>
      <c r="B309" t="str">
        <f t="shared" si="12"/>
        <v>559603 - 1</v>
      </c>
      <c r="C309">
        <v>2434</v>
      </c>
      <c r="D309" t="s">
        <v>356</v>
      </c>
      <c r="E309" t="s">
        <v>357</v>
      </c>
      <c r="F309" t="s">
        <v>358</v>
      </c>
      <c r="G309" t="s">
        <v>359</v>
      </c>
      <c r="H309">
        <v>20</v>
      </c>
      <c r="I309" t="s">
        <v>287</v>
      </c>
      <c r="J309">
        <v>5</v>
      </c>
      <c r="K309" t="s">
        <v>241</v>
      </c>
      <c r="L309">
        <v>1</v>
      </c>
      <c r="M309" t="s">
        <v>432</v>
      </c>
      <c r="N309">
        <v>1</v>
      </c>
      <c r="O309" s="117">
        <v>43439</v>
      </c>
      <c r="P309">
        <f t="shared" si="13"/>
        <v>1</v>
      </c>
      <c r="Q309">
        <f t="shared" si="14"/>
        <v>1</v>
      </c>
    </row>
    <row r="310" spans="1:17" x14ac:dyDescent="0.2">
      <c r="A310">
        <v>559604</v>
      </c>
      <c r="B310" t="str">
        <f t="shared" si="12"/>
        <v>559604 - 1</v>
      </c>
      <c r="C310">
        <v>2434</v>
      </c>
      <c r="D310" t="s">
        <v>356</v>
      </c>
      <c r="E310" t="s">
        <v>357</v>
      </c>
      <c r="F310" t="s">
        <v>358</v>
      </c>
      <c r="G310" t="s">
        <v>359</v>
      </c>
      <c r="H310">
        <v>20</v>
      </c>
      <c r="I310" t="s">
        <v>287</v>
      </c>
      <c r="J310">
        <v>5</v>
      </c>
      <c r="K310" t="s">
        <v>241</v>
      </c>
      <c r="L310">
        <v>2</v>
      </c>
      <c r="M310" t="s">
        <v>433</v>
      </c>
      <c r="N310">
        <v>1</v>
      </c>
      <c r="O310" s="117">
        <v>43439</v>
      </c>
      <c r="P310">
        <f t="shared" si="13"/>
        <v>1</v>
      </c>
      <c r="Q310">
        <f t="shared" si="14"/>
        <v>1</v>
      </c>
    </row>
    <row r="311" spans="1:17" x14ac:dyDescent="0.2">
      <c r="A311">
        <v>559605</v>
      </c>
      <c r="B311" t="str">
        <f t="shared" si="12"/>
        <v>559605 - 1</v>
      </c>
      <c r="C311">
        <v>2434</v>
      </c>
      <c r="D311" t="s">
        <v>356</v>
      </c>
      <c r="E311" t="s">
        <v>357</v>
      </c>
      <c r="F311" t="s">
        <v>358</v>
      </c>
      <c r="G311" t="s">
        <v>359</v>
      </c>
      <c r="H311">
        <v>20</v>
      </c>
      <c r="I311" t="s">
        <v>287</v>
      </c>
      <c r="J311">
        <v>5</v>
      </c>
      <c r="K311" t="s">
        <v>241</v>
      </c>
      <c r="L311">
        <v>7</v>
      </c>
      <c r="M311" t="s">
        <v>434</v>
      </c>
      <c r="N311">
        <v>1</v>
      </c>
      <c r="O311" s="117">
        <v>43439</v>
      </c>
      <c r="P311">
        <f t="shared" si="13"/>
        <v>2</v>
      </c>
      <c r="Q311">
        <f t="shared" si="14"/>
        <v>1</v>
      </c>
    </row>
    <row r="312" spans="1:17" x14ac:dyDescent="0.2">
      <c r="A312">
        <v>559605</v>
      </c>
      <c r="B312" t="str">
        <f t="shared" si="12"/>
        <v>559605 - 2</v>
      </c>
      <c r="C312">
        <v>2434</v>
      </c>
      <c r="D312" t="s">
        <v>356</v>
      </c>
      <c r="E312" t="s">
        <v>357</v>
      </c>
      <c r="F312" t="s">
        <v>358</v>
      </c>
      <c r="G312" t="s">
        <v>359</v>
      </c>
      <c r="H312">
        <v>20</v>
      </c>
      <c r="I312" t="s">
        <v>287</v>
      </c>
      <c r="J312">
        <v>12</v>
      </c>
      <c r="K312" t="s">
        <v>229</v>
      </c>
      <c r="L312">
        <v>1</v>
      </c>
      <c r="M312" t="s">
        <v>434</v>
      </c>
      <c r="N312">
        <v>1</v>
      </c>
      <c r="O312" s="117">
        <v>43439</v>
      </c>
      <c r="P312">
        <f t="shared" si="13"/>
        <v>2</v>
      </c>
      <c r="Q312">
        <f t="shared" si="14"/>
        <v>2</v>
      </c>
    </row>
    <row r="313" spans="1:17" x14ac:dyDescent="0.2">
      <c r="A313">
        <v>559607</v>
      </c>
      <c r="B313" t="str">
        <f t="shared" si="12"/>
        <v>559607 - 1</v>
      </c>
      <c r="C313">
        <v>8999</v>
      </c>
      <c r="D313" t="s">
        <v>210</v>
      </c>
      <c r="E313" t="s">
        <v>211</v>
      </c>
      <c r="F313" t="s">
        <v>212</v>
      </c>
      <c r="G313" t="s">
        <v>213</v>
      </c>
      <c r="H313">
        <v>1</v>
      </c>
      <c r="I313" t="s">
        <v>195</v>
      </c>
      <c r="J313">
        <v>26</v>
      </c>
      <c r="K313" t="s">
        <v>219</v>
      </c>
      <c r="L313">
        <v>1</v>
      </c>
      <c r="M313" t="s">
        <v>340</v>
      </c>
      <c r="N313">
        <v>1</v>
      </c>
      <c r="O313" s="117">
        <v>43439</v>
      </c>
      <c r="P313">
        <f t="shared" si="13"/>
        <v>2</v>
      </c>
      <c r="Q313">
        <f t="shared" si="14"/>
        <v>1</v>
      </c>
    </row>
    <row r="314" spans="1:17" x14ac:dyDescent="0.2">
      <c r="A314">
        <v>559607</v>
      </c>
      <c r="B314" t="str">
        <f t="shared" si="12"/>
        <v>559607 - 2</v>
      </c>
      <c r="C314">
        <v>8999</v>
      </c>
      <c r="D314" t="s">
        <v>210</v>
      </c>
      <c r="E314" t="s">
        <v>211</v>
      </c>
      <c r="F314" t="s">
        <v>212</v>
      </c>
      <c r="G314" t="s">
        <v>213</v>
      </c>
      <c r="H314">
        <v>1</v>
      </c>
      <c r="I314" t="s">
        <v>195</v>
      </c>
      <c r="J314">
        <v>240</v>
      </c>
      <c r="K314" t="s">
        <v>220</v>
      </c>
      <c r="L314">
        <v>51</v>
      </c>
      <c r="M314" t="s">
        <v>340</v>
      </c>
      <c r="N314">
        <v>1</v>
      </c>
      <c r="O314" s="117">
        <v>43439</v>
      </c>
      <c r="P314">
        <f t="shared" si="13"/>
        <v>2</v>
      </c>
      <c r="Q314">
        <f t="shared" si="14"/>
        <v>2</v>
      </c>
    </row>
    <row r="315" spans="1:17" x14ac:dyDescent="0.2">
      <c r="A315">
        <v>559608</v>
      </c>
      <c r="B315" t="str">
        <f t="shared" si="12"/>
        <v>559608 - 1</v>
      </c>
      <c r="C315">
        <v>8999</v>
      </c>
      <c r="D315" t="s">
        <v>210</v>
      </c>
      <c r="E315" t="s">
        <v>211</v>
      </c>
      <c r="F315" t="s">
        <v>212</v>
      </c>
      <c r="G315" t="s">
        <v>213</v>
      </c>
      <c r="H315">
        <v>1</v>
      </c>
      <c r="I315" t="s">
        <v>195</v>
      </c>
      <c r="J315">
        <v>26</v>
      </c>
      <c r="K315" t="s">
        <v>219</v>
      </c>
      <c r="L315">
        <v>1</v>
      </c>
      <c r="M315" t="s">
        <v>339</v>
      </c>
      <c r="N315">
        <v>1</v>
      </c>
      <c r="O315" s="117">
        <v>43439</v>
      </c>
      <c r="P315">
        <f t="shared" si="13"/>
        <v>2</v>
      </c>
      <c r="Q315">
        <f t="shared" si="14"/>
        <v>1</v>
      </c>
    </row>
    <row r="316" spans="1:17" x14ac:dyDescent="0.2">
      <c r="A316">
        <v>559608</v>
      </c>
      <c r="B316" t="str">
        <f t="shared" si="12"/>
        <v>559608 - 2</v>
      </c>
      <c r="C316">
        <v>8999</v>
      </c>
      <c r="D316" t="s">
        <v>210</v>
      </c>
      <c r="E316" t="s">
        <v>211</v>
      </c>
      <c r="F316" t="s">
        <v>212</v>
      </c>
      <c r="G316" t="s">
        <v>213</v>
      </c>
      <c r="H316">
        <v>1</v>
      </c>
      <c r="I316" t="s">
        <v>195</v>
      </c>
      <c r="J316">
        <v>240</v>
      </c>
      <c r="K316" t="s">
        <v>220</v>
      </c>
      <c r="L316">
        <v>136</v>
      </c>
      <c r="M316" t="s">
        <v>339</v>
      </c>
      <c r="N316">
        <v>1</v>
      </c>
      <c r="O316" s="117">
        <v>43439</v>
      </c>
      <c r="P316">
        <f t="shared" si="13"/>
        <v>2</v>
      </c>
      <c r="Q316">
        <f t="shared" si="14"/>
        <v>2</v>
      </c>
    </row>
    <row r="317" spans="1:17" x14ac:dyDescent="0.2">
      <c r="A317">
        <v>559609</v>
      </c>
      <c r="B317" t="str">
        <f t="shared" si="12"/>
        <v>559609 - 1</v>
      </c>
      <c r="C317">
        <v>8999</v>
      </c>
      <c r="D317" t="s">
        <v>210</v>
      </c>
      <c r="E317" t="s">
        <v>211</v>
      </c>
      <c r="F317" t="s">
        <v>212</v>
      </c>
      <c r="G317" t="s">
        <v>213</v>
      </c>
      <c r="H317">
        <v>1</v>
      </c>
      <c r="I317" t="s">
        <v>195</v>
      </c>
      <c r="J317">
        <v>1</v>
      </c>
      <c r="K317" t="s">
        <v>228</v>
      </c>
      <c r="L317">
        <v>90</v>
      </c>
      <c r="M317" t="s">
        <v>346</v>
      </c>
      <c r="N317">
        <v>1</v>
      </c>
      <c r="O317" s="117">
        <v>43439</v>
      </c>
      <c r="P317">
        <f t="shared" si="13"/>
        <v>4</v>
      </c>
      <c r="Q317">
        <f t="shared" si="14"/>
        <v>1</v>
      </c>
    </row>
    <row r="318" spans="1:17" x14ac:dyDescent="0.2">
      <c r="A318">
        <v>559609</v>
      </c>
      <c r="B318" t="str">
        <f t="shared" si="12"/>
        <v>559609 - 2</v>
      </c>
      <c r="C318">
        <v>8999</v>
      </c>
      <c r="D318" t="s">
        <v>210</v>
      </c>
      <c r="E318" t="s">
        <v>211</v>
      </c>
      <c r="F318" t="s">
        <v>212</v>
      </c>
      <c r="G318" t="s">
        <v>213</v>
      </c>
      <c r="H318">
        <v>1</v>
      </c>
      <c r="I318" t="s">
        <v>195</v>
      </c>
      <c r="J318">
        <v>26</v>
      </c>
      <c r="K318" t="s">
        <v>219</v>
      </c>
      <c r="L318">
        <v>5</v>
      </c>
      <c r="M318" t="s">
        <v>346</v>
      </c>
      <c r="N318">
        <v>1</v>
      </c>
      <c r="O318" s="117">
        <v>43439</v>
      </c>
      <c r="P318">
        <f t="shared" si="13"/>
        <v>4</v>
      </c>
      <c r="Q318">
        <f t="shared" si="14"/>
        <v>2</v>
      </c>
    </row>
    <row r="319" spans="1:17" x14ac:dyDescent="0.2">
      <c r="A319">
        <v>559609</v>
      </c>
      <c r="B319" t="str">
        <f t="shared" si="12"/>
        <v>559609 - 3</v>
      </c>
      <c r="C319">
        <v>8999</v>
      </c>
      <c r="D319" t="s">
        <v>210</v>
      </c>
      <c r="E319" t="s">
        <v>211</v>
      </c>
      <c r="F319" t="s">
        <v>212</v>
      </c>
      <c r="G319" t="s">
        <v>213</v>
      </c>
      <c r="H319">
        <v>1</v>
      </c>
      <c r="I319" t="s">
        <v>195</v>
      </c>
      <c r="J319">
        <v>240</v>
      </c>
      <c r="K319" t="s">
        <v>220</v>
      </c>
      <c r="L319">
        <v>181</v>
      </c>
      <c r="M319" t="s">
        <v>346</v>
      </c>
      <c r="N319">
        <v>1</v>
      </c>
      <c r="O319" s="117">
        <v>43439</v>
      </c>
      <c r="P319">
        <f t="shared" si="13"/>
        <v>4</v>
      </c>
      <c r="Q319">
        <f t="shared" si="14"/>
        <v>3</v>
      </c>
    </row>
    <row r="320" spans="1:17" x14ac:dyDescent="0.2">
      <c r="A320">
        <v>559609</v>
      </c>
      <c r="B320" t="str">
        <f t="shared" si="12"/>
        <v>559609 - 4</v>
      </c>
      <c r="C320">
        <v>8999</v>
      </c>
      <c r="D320" t="s">
        <v>210</v>
      </c>
      <c r="E320" t="s">
        <v>211</v>
      </c>
      <c r="F320" t="s">
        <v>212</v>
      </c>
      <c r="G320" t="s">
        <v>213</v>
      </c>
      <c r="H320">
        <v>1</v>
      </c>
      <c r="I320" t="s">
        <v>195</v>
      </c>
      <c r="J320">
        <v>242</v>
      </c>
      <c r="K320" t="s">
        <v>218</v>
      </c>
      <c r="L320">
        <v>116</v>
      </c>
      <c r="M320" t="s">
        <v>346</v>
      </c>
      <c r="N320">
        <v>1</v>
      </c>
      <c r="O320" s="117">
        <v>43439</v>
      </c>
      <c r="P320">
        <f t="shared" si="13"/>
        <v>4</v>
      </c>
      <c r="Q320">
        <f t="shared" si="14"/>
        <v>4</v>
      </c>
    </row>
    <row r="321" spans="1:17" x14ac:dyDescent="0.2">
      <c r="A321">
        <v>559611</v>
      </c>
      <c r="B321" t="str">
        <f t="shared" si="12"/>
        <v>559611 - 1</v>
      </c>
      <c r="C321">
        <v>8999</v>
      </c>
      <c r="D321" t="s">
        <v>210</v>
      </c>
      <c r="E321" t="s">
        <v>211</v>
      </c>
      <c r="F321" t="s">
        <v>212</v>
      </c>
      <c r="G321" t="s">
        <v>213</v>
      </c>
      <c r="H321">
        <v>1</v>
      </c>
      <c r="I321" t="s">
        <v>195</v>
      </c>
      <c r="J321">
        <v>1</v>
      </c>
      <c r="K321" t="s">
        <v>228</v>
      </c>
      <c r="L321">
        <v>55</v>
      </c>
      <c r="M321" t="s">
        <v>338</v>
      </c>
      <c r="N321">
        <v>1</v>
      </c>
      <c r="O321" s="117">
        <v>43439</v>
      </c>
      <c r="P321">
        <f t="shared" si="13"/>
        <v>3</v>
      </c>
      <c r="Q321">
        <f t="shared" si="14"/>
        <v>1</v>
      </c>
    </row>
    <row r="322" spans="1:17" x14ac:dyDescent="0.2">
      <c r="A322">
        <v>559611</v>
      </c>
      <c r="B322" t="str">
        <f t="shared" si="12"/>
        <v>559611 - 2</v>
      </c>
      <c r="C322">
        <v>8999</v>
      </c>
      <c r="D322" t="s">
        <v>210</v>
      </c>
      <c r="E322" t="s">
        <v>211</v>
      </c>
      <c r="F322" t="s">
        <v>212</v>
      </c>
      <c r="G322" t="s">
        <v>213</v>
      </c>
      <c r="H322">
        <v>1</v>
      </c>
      <c r="I322" t="s">
        <v>195</v>
      </c>
      <c r="J322">
        <v>26</v>
      </c>
      <c r="K322" t="s">
        <v>219</v>
      </c>
      <c r="L322">
        <v>2</v>
      </c>
      <c r="M322" t="s">
        <v>338</v>
      </c>
      <c r="N322">
        <v>1</v>
      </c>
      <c r="O322" s="117">
        <v>43439</v>
      </c>
      <c r="P322">
        <f t="shared" si="13"/>
        <v>3</v>
      </c>
      <c r="Q322">
        <f t="shared" si="14"/>
        <v>2</v>
      </c>
    </row>
    <row r="323" spans="1:17" x14ac:dyDescent="0.2">
      <c r="A323">
        <v>559611</v>
      </c>
      <c r="B323" t="str">
        <f t="shared" si="12"/>
        <v>559611 - 3</v>
      </c>
      <c r="C323">
        <v>8999</v>
      </c>
      <c r="D323" t="s">
        <v>210</v>
      </c>
      <c r="E323" t="s">
        <v>211</v>
      </c>
      <c r="F323" t="s">
        <v>212</v>
      </c>
      <c r="G323" t="s">
        <v>213</v>
      </c>
      <c r="H323">
        <v>1</v>
      </c>
      <c r="I323" t="s">
        <v>195</v>
      </c>
      <c r="J323">
        <v>240</v>
      </c>
      <c r="K323" t="s">
        <v>220</v>
      </c>
      <c r="L323">
        <v>63</v>
      </c>
      <c r="M323" t="s">
        <v>338</v>
      </c>
      <c r="N323">
        <v>1</v>
      </c>
      <c r="O323" s="117">
        <v>43439</v>
      </c>
      <c r="P323">
        <f t="shared" si="13"/>
        <v>3</v>
      </c>
      <c r="Q323">
        <f t="shared" si="14"/>
        <v>3</v>
      </c>
    </row>
    <row r="324" spans="1:17" x14ac:dyDescent="0.2">
      <c r="A324">
        <v>559612</v>
      </c>
      <c r="B324" t="str">
        <f t="shared" si="12"/>
        <v>559612 - 1</v>
      </c>
      <c r="C324">
        <v>8999</v>
      </c>
      <c r="D324" t="s">
        <v>210</v>
      </c>
      <c r="E324" t="s">
        <v>211</v>
      </c>
      <c r="F324" t="s">
        <v>212</v>
      </c>
      <c r="G324" t="s">
        <v>213</v>
      </c>
      <c r="H324">
        <v>1</v>
      </c>
      <c r="I324" t="s">
        <v>195</v>
      </c>
      <c r="J324">
        <v>26</v>
      </c>
      <c r="K324" t="s">
        <v>219</v>
      </c>
      <c r="L324">
        <v>1</v>
      </c>
      <c r="M324" t="s">
        <v>435</v>
      </c>
      <c r="N324">
        <v>1</v>
      </c>
      <c r="O324" s="117">
        <v>43439</v>
      </c>
      <c r="P324">
        <f t="shared" si="13"/>
        <v>2</v>
      </c>
      <c r="Q324">
        <f t="shared" si="14"/>
        <v>1</v>
      </c>
    </row>
    <row r="325" spans="1:17" x14ac:dyDescent="0.2">
      <c r="A325">
        <v>559612</v>
      </c>
      <c r="B325" t="str">
        <f t="shared" ref="B325:B332" si="15">CONCATENATE(A325," - ",Q325)</f>
        <v>559612 - 2</v>
      </c>
      <c r="C325">
        <v>8999</v>
      </c>
      <c r="D325" t="s">
        <v>210</v>
      </c>
      <c r="E325" t="s">
        <v>211</v>
      </c>
      <c r="F325" t="s">
        <v>212</v>
      </c>
      <c r="G325" t="s">
        <v>213</v>
      </c>
      <c r="H325">
        <v>1</v>
      </c>
      <c r="I325" t="s">
        <v>195</v>
      </c>
      <c r="J325">
        <v>240</v>
      </c>
      <c r="K325" t="s">
        <v>220</v>
      </c>
      <c r="L325">
        <v>50</v>
      </c>
      <c r="M325" t="s">
        <v>435</v>
      </c>
      <c r="N325">
        <v>1</v>
      </c>
      <c r="O325" s="117">
        <v>43439</v>
      </c>
      <c r="P325">
        <f t="shared" ref="P325:P332" si="16">+COUNTIF(A:A,A325)</f>
        <v>2</v>
      </c>
      <c r="Q325">
        <f t="shared" ref="Q325:Q332" si="17">IF(A325=A324,Q324+1,1)</f>
        <v>2</v>
      </c>
    </row>
    <row r="326" spans="1:17" x14ac:dyDescent="0.2">
      <c r="A326">
        <v>559613</v>
      </c>
      <c r="B326" t="str">
        <f t="shared" si="15"/>
        <v>559613 - 1</v>
      </c>
      <c r="C326">
        <v>3223</v>
      </c>
      <c r="D326" t="s">
        <v>237</v>
      </c>
      <c r="E326" t="s">
        <v>238</v>
      </c>
      <c r="F326" t="s">
        <v>239</v>
      </c>
      <c r="G326" t="s">
        <v>240</v>
      </c>
      <c r="H326">
        <v>5</v>
      </c>
      <c r="I326" t="s">
        <v>227</v>
      </c>
      <c r="J326">
        <v>5</v>
      </c>
      <c r="K326" t="s">
        <v>241</v>
      </c>
      <c r="L326">
        <v>39</v>
      </c>
      <c r="M326" t="s">
        <v>436</v>
      </c>
      <c r="N326">
        <v>1</v>
      </c>
      <c r="O326" s="117">
        <v>43439</v>
      </c>
      <c r="P326">
        <f t="shared" si="16"/>
        <v>3</v>
      </c>
      <c r="Q326">
        <f t="shared" si="17"/>
        <v>1</v>
      </c>
    </row>
    <row r="327" spans="1:17" x14ac:dyDescent="0.2">
      <c r="A327">
        <v>559613</v>
      </c>
      <c r="B327" t="str">
        <f t="shared" si="15"/>
        <v>559613 - 2</v>
      </c>
      <c r="C327">
        <v>3223</v>
      </c>
      <c r="D327" t="s">
        <v>237</v>
      </c>
      <c r="E327" t="s">
        <v>238</v>
      </c>
      <c r="F327" t="s">
        <v>239</v>
      </c>
      <c r="G327" t="s">
        <v>240</v>
      </c>
      <c r="H327">
        <v>5</v>
      </c>
      <c r="I327" t="s">
        <v>227</v>
      </c>
      <c r="J327">
        <v>12</v>
      </c>
      <c r="K327" t="s">
        <v>229</v>
      </c>
      <c r="L327">
        <v>3</v>
      </c>
      <c r="M327" t="s">
        <v>436</v>
      </c>
      <c r="N327">
        <v>1</v>
      </c>
      <c r="O327" s="117">
        <v>43439</v>
      </c>
      <c r="P327">
        <f t="shared" si="16"/>
        <v>3</v>
      </c>
      <c r="Q327">
        <f t="shared" si="17"/>
        <v>2</v>
      </c>
    </row>
    <row r="328" spans="1:17" x14ac:dyDescent="0.2">
      <c r="A328">
        <v>559613</v>
      </c>
      <c r="B328" t="str">
        <f t="shared" si="15"/>
        <v>559613 - 3</v>
      </c>
      <c r="C328">
        <v>3223</v>
      </c>
      <c r="D328" t="s">
        <v>237</v>
      </c>
      <c r="E328" t="s">
        <v>238</v>
      </c>
      <c r="F328" t="s">
        <v>239</v>
      </c>
      <c r="G328" t="s">
        <v>240</v>
      </c>
      <c r="H328">
        <v>5</v>
      </c>
      <c r="I328" t="s">
        <v>227</v>
      </c>
      <c r="J328">
        <v>71</v>
      </c>
      <c r="K328" t="s">
        <v>257</v>
      </c>
      <c r="L328">
        <v>40</v>
      </c>
      <c r="M328" t="s">
        <v>436</v>
      </c>
      <c r="N328">
        <v>1</v>
      </c>
      <c r="O328" s="117">
        <v>43439</v>
      </c>
      <c r="P328">
        <f t="shared" si="16"/>
        <v>3</v>
      </c>
      <c r="Q328">
        <f t="shared" si="17"/>
        <v>3</v>
      </c>
    </row>
    <row r="329" spans="1:17" x14ac:dyDescent="0.2">
      <c r="A329">
        <v>559615</v>
      </c>
      <c r="B329" t="str">
        <f t="shared" si="15"/>
        <v>559615 - 1</v>
      </c>
      <c r="C329">
        <v>8999</v>
      </c>
      <c r="D329" t="s">
        <v>210</v>
      </c>
      <c r="E329" t="s">
        <v>211</v>
      </c>
      <c r="F329" t="s">
        <v>212</v>
      </c>
      <c r="G329" t="s">
        <v>213</v>
      </c>
      <c r="H329">
        <v>1</v>
      </c>
      <c r="I329" t="s">
        <v>195</v>
      </c>
      <c r="J329">
        <v>26</v>
      </c>
      <c r="K329" t="s">
        <v>219</v>
      </c>
      <c r="L329">
        <v>13</v>
      </c>
      <c r="M329" t="s">
        <v>347</v>
      </c>
      <c r="N329">
        <v>1</v>
      </c>
      <c r="O329" s="117">
        <v>43439</v>
      </c>
      <c r="P329">
        <f t="shared" si="16"/>
        <v>4</v>
      </c>
      <c r="Q329">
        <f t="shared" si="17"/>
        <v>1</v>
      </c>
    </row>
    <row r="330" spans="1:17" x14ac:dyDescent="0.2">
      <c r="A330">
        <v>559615</v>
      </c>
      <c r="B330" t="str">
        <f t="shared" si="15"/>
        <v>559615 - 2</v>
      </c>
      <c r="C330">
        <v>8999</v>
      </c>
      <c r="D330" t="s">
        <v>210</v>
      </c>
      <c r="E330" t="s">
        <v>211</v>
      </c>
      <c r="F330" t="s">
        <v>212</v>
      </c>
      <c r="G330" t="s">
        <v>213</v>
      </c>
      <c r="H330">
        <v>1</v>
      </c>
      <c r="I330" t="s">
        <v>195</v>
      </c>
      <c r="J330">
        <v>240</v>
      </c>
      <c r="K330" t="s">
        <v>220</v>
      </c>
      <c r="L330">
        <v>1284</v>
      </c>
      <c r="M330" t="s">
        <v>347</v>
      </c>
      <c r="N330">
        <v>1</v>
      </c>
      <c r="O330" s="117">
        <v>43439</v>
      </c>
      <c r="P330">
        <f t="shared" si="16"/>
        <v>4</v>
      </c>
      <c r="Q330">
        <f t="shared" si="17"/>
        <v>2</v>
      </c>
    </row>
    <row r="331" spans="1:17" x14ac:dyDescent="0.2">
      <c r="A331">
        <v>559615</v>
      </c>
      <c r="B331" t="str">
        <f t="shared" si="15"/>
        <v>559615 - 3</v>
      </c>
      <c r="C331">
        <v>8999</v>
      </c>
      <c r="D331" t="s">
        <v>210</v>
      </c>
      <c r="E331" t="s">
        <v>211</v>
      </c>
      <c r="F331" t="s">
        <v>212</v>
      </c>
      <c r="G331" t="s">
        <v>213</v>
      </c>
      <c r="H331">
        <v>1</v>
      </c>
      <c r="I331" t="s">
        <v>195</v>
      </c>
      <c r="J331">
        <v>241</v>
      </c>
      <c r="K331" t="s">
        <v>345</v>
      </c>
      <c r="L331">
        <v>116</v>
      </c>
      <c r="M331" t="s">
        <v>347</v>
      </c>
      <c r="N331">
        <v>1</v>
      </c>
      <c r="O331" s="117">
        <v>43439</v>
      </c>
      <c r="P331">
        <f t="shared" si="16"/>
        <v>4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559615 - 4</v>
      </c>
      <c r="C332">
        <v>8999</v>
      </c>
      <c r="D332" t="s">
        <v>210</v>
      </c>
      <c r="E332" t="s">
        <v>211</v>
      </c>
      <c r="F332" t="s">
        <v>212</v>
      </c>
      <c r="G332" t="s">
        <v>213</v>
      </c>
      <c r="H332">
        <v>1</v>
      </c>
      <c r="I332" t="s">
        <v>195</v>
      </c>
      <c r="J332">
        <v>242</v>
      </c>
      <c r="K332" t="s">
        <v>218</v>
      </c>
      <c r="L332">
        <v>275</v>
      </c>
      <c r="M332" t="s">
        <v>347</v>
      </c>
      <c r="N332">
        <v>1</v>
      </c>
      <c r="O332" s="117">
        <v>43439</v>
      </c>
      <c r="P332">
        <f t="shared" si="16"/>
        <v>4</v>
      </c>
      <c r="Q332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64"/>
      <c r="AL1" s="164"/>
      <c r="AM1" s="164"/>
      <c r="AN1" s="164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64"/>
      <c r="AL2" s="164"/>
      <c r="AM2" s="164"/>
      <c r="AN2" s="164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3"/>
      <c r="AM3" s="163"/>
      <c r="AN3" s="163"/>
      <c r="AO3" s="163"/>
      <c r="AP3" s="163"/>
    </row>
    <row r="4" spans="1:42" ht="12.95" customHeight="1" x14ac:dyDescent="0.25">
      <c r="A4" s="2"/>
      <c r="B4" s="2"/>
      <c r="C4" s="2"/>
      <c r="D4" s="157" t="str">
        <f>IF('Invoerveld CMR'!C5="","",VLOOKUP('Invoerveld CMR'!C5,Afzender!A2:B30,2,FALSE))</f>
        <v>Hessing Helmond
Korendijk 9
5704 RD Helmond
The Netherlands</v>
      </c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49"/>
      <c r="Z13" s="49"/>
      <c r="AA13" s="160"/>
      <c r="AB13" s="160"/>
      <c r="AC13" s="160"/>
      <c r="AD13" s="160"/>
      <c r="AE13" s="160"/>
      <c r="AF13" s="160"/>
      <c r="AG13" s="160"/>
      <c r="AH13" s="160"/>
      <c r="AI13" s="160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49"/>
      <c r="AA14" s="160"/>
      <c r="AB14" s="160"/>
      <c r="AC14" s="160"/>
      <c r="AD14" s="160"/>
      <c r="AE14" s="160"/>
      <c r="AF14" s="160"/>
      <c r="AG14" s="160"/>
      <c r="AH14" s="160"/>
      <c r="AI14" s="160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49"/>
      <c r="Z15" s="49"/>
      <c r="AA15" s="160"/>
      <c r="AB15" s="160"/>
      <c r="AC15" s="160"/>
      <c r="AD15" s="160"/>
      <c r="AE15" s="160"/>
      <c r="AF15" s="160"/>
      <c r="AG15" s="160"/>
      <c r="AH15" s="160"/>
      <c r="AI15" s="160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49"/>
      <c r="X16" s="2"/>
      <c r="Y16" s="2"/>
      <c r="Z16" s="49"/>
      <c r="AA16" s="160"/>
      <c r="AB16" s="160"/>
      <c r="AC16" s="160"/>
      <c r="AD16" s="160"/>
      <c r="AE16" s="160"/>
      <c r="AF16" s="160"/>
      <c r="AG16" s="160"/>
      <c r="AH16" s="160"/>
      <c r="AI16" s="160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2"/>
      <c r="Y17" s="2"/>
      <c r="Z17" s="49"/>
      <c r="AA17" s="160"/>
      <c r="AB17" s="160"/>
      <c r="AC17" s="160"/>
      <c r="AD17" s="160"/>
      <c r="AE17" s="160"/>
      <c r="AF17" s="160"/>
      <c r="AG17" s="160"/>
      <c r="AH17" s="160"/>
      <c r="AI17" s="160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2"/>
      <c r="Y18" s="2"/>
      <c r="Z18" s="49"/>
      <c r="AA18" s="160"/>
      <c r="AB18" s="160"/>
      <c r="AC18" s="160"/>
      <c r="AD18" s="160"/>
      <c r="AE18" s="160"/>
      <c r="AF18" s="160"/>
      <c r="AG18" s="160"/>
      <c r="AH18" s="160"/>
      <c r="AI18" s="160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2"/>
      <c r="Q22" s="2"/>
      <c r="R22" s="2"/>
      <c r="S22" s="2"/>
      <c r="T22" s="2"/>
      <c r="U22" s="2"/>
      <c r="V22" s="7"/>
      <c r="W22" s="2"/>
      <c r="X22" s="2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66"/>
      <c r="AJ25" s="166"/>
      <c r="AK25" s="166"/>
      <c r="AL25" s="166"/>
      <c r="AM25" s="166"/>
      <c r="AN25" s="166"/>
      <c r="AO25" s="166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69" t="str">
        <f>IF('Invoerveld CMR'!C5="","",VLOOKUP('Invoerveld CMR'!C5,Afzender!A2:C30,3,FALSE))</f>
        <v>5704 RD Helmond</v>
      </c>
      <c r="E27" s="169"/>
      <c r="F27" s="169"/>
      <c r="G27" s="169"/>
      <c r="H27" s="169"/>
      <c r="I27" s="169"/>
      <c r="J27" s="169"/>
      <c r="K27" s="169"/>
      <c r="T27" s="2"/>
      <c r="U27" s="2"/>
      <c r="Z27" s="32"/>
      <c r="AC27" s="2"/>
      <c r="AD27" s="2"/>
      <c r="AE27" s="2"/>
      <c r="AF27" s="2"/>
      <c r="AG27" s="2"/>
      <c r="AH27" s="2"/>
      <c r="AI27" s="166">
        <f>'Invoerveld CMR'!C9</f>
        <v>0</v>
      </c>
      <c r="AJ27" s="166"/>
      <c r="AK27" s="166"/>
      <c r="AL27" s="166"/>
      <c r="AM27" s="166"/>
      <c r="AN27" s="166"/>
      <c r="AO27" s="166"/>
      <c r="AP27"/>
    </row>
    <row r="28" spans="1:48" ht="12.95" customHeight="1" x14ac:dyDescent="0.25">
      <c r="A28" s="2"/>
      <c r="B28" s="2"/>
      <c r="C28" s="2"/>
      <c r="D28" s="169"/>
      <c r="E28" s="169"/>
      <c r="F28" s="169"/>
      <c r="G28" s="169"/>
      <c r="H28" s="169"/>
      <c r="I28" s="169"/>
      <c r="J28" s="169"/>
      <c r="K28" s="169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67"/>
      <c r="AT28" s="167"/>
      <c r="AU28" s="167"/>
    </row>
    <row r="29" spans="1:48" ht="12.95" customHeight="1" x14ac:dyDescent="0.2">
      <c r="A29" s="2"/>
      <c r="B29" s="2"/>
      <c r="C29" s="2"/>
      <c r="D29" s="170"/>
      <c r="E29" s="170"/>
      <c r="F29" s="170"/>
      <c r="G29" s="170"/>
      <c r="H29" s="170"/>
      <c r="I29" s="170"/>
      <c r="J29" s="170"/>
      <c r="K29" s="170"/>
      <c r="L29" s="170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67"/>
      <c r="AT29" s="167"/>
      <c r="AU29" s="167"/>
    </row>
    <row r="30" spans="1:48" ht="12.95" customHeight="1" x14ac:dyDescent="0.25">
      <c r="A30" s="2"/>
      <c r="B30" s="2"/>
      <c r="C30" s="2"/>
      <c r="D30" s="170"/>
      <c r="E30" s="170"/>
      <c r="F30" s="170"/>
      <c r="G30" s="170"/>
      <c r="H30" s="170"/>
      <c r="I30" s="170"/>
      <c r="J30" s="170"/>
      <c r="K30" s="170"/>
      <c r="L30" s="170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68">
        <f>'Invoerveld CMR'!C10</f>
        <v>0</v>
      </c>
      <c r="AE30" s="168"/>
      <c r="AF30" s="168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68">
        <f>'Invoerveld CMR'!C11</f>
        <v>0</v>
      </c>
      <c r="AE32" s="168"/>
      <c r="AF32" s="168"/>
      <c r="AG32" s="14"/>
      <c r="AH32" s="14"/>
      <c r="AI32" s="14"/>
      <c r="AJ32" s="14"/>
      <c r="AK32" s="2"/>
      <c r="AL32" s="2"/>
      <c r="AM32" s="2"/>
      <c r="AN32" s="2"/>
      <c r="AO32"/>
      <c r="AP32"/>
      <c r="AT32" s="167"/>
      <c r="AU32" s="167"/>
      <c r="AV32" s="167"/>
    </row>
    <row r="33" spans="1:48" ht="12.95" customHeight="1" x14ac:dyDescent="0.2">
      <c r="A33" s="2"/>
      <c r="B33" s="2"/>
      <c r="C33" s="2"/>
      <c r="D33" s="161"/>
      <c r="E33" s="161"/>
      <c r="F33" s="161"/>
      <c r="G33" s="161"/>
      <c r="H33" s="161"/>
      <c r="I33" s="161"/>
      <c r="J33" s="161"/>
      <c r="K33" s="161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67"/>
      <c r="AU33" s="167"/>
      <c r="AV33" s="167"/>
    </row>
    <row r="34" spans="1:48" ht="12.95" customHeight="1" x14ac:dyDescent="0.2">
      <c r="A34" s="2"/>
      <c r="B34" s="2"/>
      <c r="C34" s="2"/>
      <c r="D34" s="161"/>
      <c r="E34" s="161"/>
      <c r="F34" s="161"/>
      <c r="G34" s="161"/>
      <c r="H34" s="161"/>
      <c r="I34" s="161"/>
      <c r="J34" s="161"/>
      <c r="K34" s="161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58">
        <f>'Invoerveld CMR'!D25</f>
        <v>0</v>
      </c>
      <c r="E37" s="158"/>
      <c r="F37" s="158"/>
      <c r="G37" s="158"/>
      <c r="H37" s="158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58">
        <f>'Invoerveld CMR'!E25</f>
        <v>0</v>
      </c>
      <c r="E38" s="158"/>
      <c r="F38" s="158"/>
      <c r="G38" s="158"/>
      <c r="H38" s="158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58">
        <f>'Invoerveld CMR'!F25</f>
        <v>0</v>
      </c>
      <c r="E39" s="158"/>
      <c r="F39" s="158"/>
      <c r="G39" s="158"/>
      <c r="H39" s="158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58">
        <f>'Invoerveld CMR'!G25</f>
        <v>0</v>
      </c>
      <c r="E40" s="158"/>
      <c r="F40" s="158"/>
      <c r="G40" s="158"/>
      <c r="H40" s="158"/>
      <c r="I40" s="10"/>
      <c r="J40" s="159"/>
      <c r="K40" s="159"/>
      <c r="L40" s="159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59"/>
      <c r="K41" s="159"/>
      <c r="L41" s="159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32"/>
      <c r="X41" s="32"/>
      <c r="Y41" s="32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59"/>
      <c r="K42" s="159"/>
      <c r="L42" s="159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59"/>
      <c r="K43" s="159"/>
      <c r="L43" s="159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59"/>
      <c r="K44" s="159"/>
      <c r="L44" s="159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59"/>
      <c r="K45" s="159"/>
      <c r="L45" s="159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59"/>
      <c r="K46" s="159"/>
      <c r="L46" s="159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59"/>
      <c r="K47" s="159"/>
      <c r="L47" s="159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59"/>
      <c r="K48" s="159"/>
      <c r="L48" s="159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59"/>
      <c r="K49" s="159"/>
      <c r="L49" s="159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59"/>
      <c r="K50" s="159"/>
      <c r="L50" s="159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59"/>
      <c r="K51" s="159"/>
      <c r="L51" s="159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59"/>
      <c r="K52" s="159"/>
      <c r="L52" s="159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59"/>
      <c r="K53" s="159"/>
      <c r="L53" s="159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59"/>
      <c r="K54" s="159"/>
      <c r="L54" s="159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59"/>
      <c r="K55" s="159"/>
      <c r="L55" s="159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59"/>
      <c r="K58" s="159"/>
      <c r="L58" s="159"/>
      <c r="M58" s="156">
        <f>Others!I10</f>
        <v>0</v>
      </c>
      <c r="N58" s="156"/>
      <c r="O58" s="156"/>
      <c r="P58" s="156"/>
      <c r="Q58" s="156"/>
      <c r="R58" s="156"/>
      <c r="S58" s="156"/>
      <c r="T58" s="156"/>
      <c r="U58" s="156"/>
      <c r="V58" s="156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59"/>
      <c r="K59" s="159"/>
      <c r="L59" s="159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59"/>
      <c r="K60" s="159"/>
      <c r="L60" s="159"/>
      <c r="M60" s="156">
        <f>Others!I11</f>
        <v>0</v>
      </c>
      <c r="N60" s="156"/>
      <c r="O60" s="156"/>
      <c r="P60" s="156"/>
      <c r="Q60" s="156"/>
      <c r="R60" s="156"/>
      <c r="S60" s="156"/>
      <c r="T60" s="156"/>
      <c r="U60" s="156"/>
      <c r="V60" s="156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59"/>
      <c r="K61" s="159"/>
      <c r="L61" s="159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3"/>
      <c r="L65" s="163"/>
      <c r="M65" s="163"/>
      <c r="N65" s="163"/>
      <c r="O65" s="163"/>
      <c r="P65" s="176"/>
      <c r="Q65" s="176"/>
      <c r="R65" s="176"/>
      <c r="S65" s="176"/>
      <c r="T65" s="176"/>
      <c r="U65" s="2"/>
      <c r="V65" s="2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76"/>
      <c r="Q66" s="176"/>
      <c r="R66" s="176"/>
      <c r="S66" s="176"/>
      <c r="T66" s="176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3"/>
      <c r="L67" s="163"/>
      <c r="M67" s="163"/>
      <c r="N67" s="163"/>
      <c r="O67" s="163"/>
      <c r="P67" s="176"/>
      <c r="Q67" s="176"/>
      <c r="R67" s="176"/>
      <c r="S67" s="176"/>
      <c r="T67" s="176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73"/>
      <c r="Q68" s="173"/>
      <c r="R68" s="173"/>
      <c r="S68" s="173"/>
      <c r="T68" s="173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3"/>
      <c r="L69" s="163"/>
      <c r="M69" s="163"/>
      <c r="N69" s="163"/>
      <c r="O69" s="163"/>
      <c r="P69" s="173"/>
      <c r="Q69" s="173"/>
      <c r="R69" s="173"/>
      <c r="S69" s="173"/>
      <c r="T69" s="173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3"/>
      <c r="L71" s="163"/>
      <c r="M71" s="163"/>
      <c r="N71" s="163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72"/>
      <c r="N83" s="172"/>
      <c r="O83" s="172"/>
      <c r="P83" s="172"/>
      <c r="Q83" s="172"/>
      <c r="R83" s="172"/>
      <c r="S83" s="172"/>
      <c r="T83" s="172"/>
      <c r="U83" s="172"/>
      <c r="V83" s="172"/>
      <c r="W83" s="172"/>
      <c r="X83" s="17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43" t="str">
        <f>IF('Invoerveld CMR'!C5="","",VLOOKUP('Invoerveld CMR'!C5,Afzender!A2:B30,2,FALSE))</f>
        <v>Hessing Helmond
Korendijk 9
5704 RD Helmond
The Netherlands</v>
      </c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55"/>
      <c r="R87" s="55"/>
      <c r="S87" s="55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55"/>
      <c r="R88" s="55"/>
      <c r="S88" s="55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55"/>
      <c r="R89" s="55"/>
      <c r="S89" s="55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55"/>
      <c r="R90" s="55"/>
      <c r="S90" s="55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60"/>
      <c r="R91" s="60"/>
      <c r="S91" s="60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  <mergeCell ref="AS28:AU29"/>
    <mergeCell ref="AT32:AV33"/>
    <mergeCell ref="AD32:AF32"/>
    <mergeCell ref="AD30:AF30"/>
    <mergeCell ref="D27:K28"/>
    <mergeCell ref="D29:L30"/>
    <mergeCell ref="AK1:AN2"/>
    <mergeCell ref="Z20:AK22"/>
    <mergeCell ref="AI25:AO25"/>
    <mergeCell ref="AI27:AO27"/>
    <mergeCell ref="AL3:AP3"/>
    <mergeCell ref="AA13:AI18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A3" sqref="A3: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202</v>
      </c>
      <c r="C2" s="26" t="s">
        <v>203</v>
      </c>
    </row>
    <row r="3" spans="1:3" ht="84.75" customHeight="1" x14ac:dyDescent="0.2">
      <c r="A3" s="25" t="s">
        <v>180</v>
      </c>
      <c r="B3" s="26" t="s">
        <v>443</v>
      </c>
      <c r="C3" s="26" t="s">
        <v>444</v>
      </c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E5DD42-35F2-457B-BCD2-F38B2F70B662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2.xml><?xml version="1.0" encoding="utf-8"?>
<ds:datastoreItem xmlns:ds="http://schemas.openxmlformats.org/officeDocument/2006/customXml" ds:itemID="{7159B4E4-6083-4615-B0F2-9C685BC4FC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4D806A-AD18-4B3A-B4E9-8AE31F4B61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2026-04-18T09:28:36Z</cp:lastPrinted>
  <dcterms:created xsi:type="dcterms:W3CDTF">2006-11-30T07:54:48Z</dcterms:created>
  <dcterms:modified xsi:type="dcterms:W3CDTF">2026-04-18T12:24:21Z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