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essingeu.sharepoint.com/sites/administrationvenlo/Shared Documents/All customers/Netto MD/Orderpicking NETTO MD/"/>
    </mc:Choice>
  </mc:AlternateContent>
  <xr:revisionPtr revIDLastSave="0" documentId="8_{418B96FA-DC1B-4D4A-9749-51B9A997EEB0}" xr6:coauthVersionLast="47" xr6:coauthVersionMax="47" xr10:uidLastSave="{00000000-0000-0000-0000-000000000000}"/>
  <bookViews>
    <workbookView xWindow="-120" yWindow="-16320" windowWidth="29040" windowHeight="15720" tabRatio="837" xr2:uid="{00000000-000D-0000-FFFF-FFFF00000000}"/>
  </bookViews>
  <sheets>
    <sheet name="Overview" sheetId="1" r:id="rId1"/>
    <sheet name="PROGNOSE EP&amp;PP" sheetId="23" r:id="rId2"/>
    <sheet name="MANCOS" sheetId="24" r:id="rId3"/>
    <sheet name="data_cache" sheetId="27" state="very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4" l="1"/>
  <c r="H12" i="24"/>
  <c r="F12" i="24"/>
  <c r="G12" i="24"/>
  <c r="Q11" i="1"/>
  <c r="Q10" i="1"/>
  <c r="Q8" i="1"/>
  <c r="Q9" i="1"/>
  <c r="F73" i="1" l="1"/>
  <c r="F72" i="1"/>
  <c r="F71" i="1"/>
  <c r="F70" i="1"/>
  <c r="F69" i="1"/>
  <c r="F68" i="1"/>
  <c r="F67" i="1"/>
  <c r="F66" i="1"/>
  <c r="F63" i="1"/>
  <c r="F62" i="1"/>
  <c r="F61" i="1"/>
  <c r="F60" i="1"/>
  <c r="F59" i="1"/>
  <c r="F58" i="1"/>
  <c r="F57" i="1"/>
  <c r="F56" i="1"/>
  <c r="G6" i="24"/>
  <c r="B2" i="23"/>
  <c r="G13" i="24"/>
  <c r="G7" i="24"/>
  <c r="G8" i="24"/>
  <c r="G9" i="24"/>
  <c r="G10" i="24"/>
  <c r="G11" i="24"/>
  <c r="Q7" i="1"/>
  <c r="Q6" i="1"/>
  <c r="Q5" i="1"/>
  <c r="Q4" i="1"/>
  <c r="Q3" i="1"/>
  <c r="Q2" i="1"/>
  <c r="G67" i="1" l="1"/>
  <c r="H67" i="1" s="1"/>
  <c r="G69" i="1"/>
  <c r="H69" i="1" s="1"/>
  <c r="G71" i="1"/>
  <c r="H71" i="1" s="1"/>
  <c r="G72" i="1"/>
  <c r="H72" i="1" s="1"/>
  <c r="I72" i="1" s="1"/>
  <c r="G66" i="1"/>
  <c r="H66" i="1" s="1"/>
  <c r="G68" i="1"/>
  <c r="H68" i="1" s="1"/>
  <c r="G70" i="1"/>
  <c r="H70" i="1" s="1"/>
  <c r="G73" i="1"/>
  <c r="G57" i="1"/>
  <c r="G59" i="1"/>
  <c r="H59" i="1" s="1"/>
  <c r="G61" i="1"/>
  <c r="H61" i="1" s="1"/>
  <c r="G56" i="1"/>
  <c r="H56" i="1" s="1"/>
  <c r="G58" i="1"/>
  <c r="G60" i="1"/>
  <c r="H60" i="1" s="1"/>
  <c r="G62" i="1"/>
  <c r="G63" i="1"/>
  <c r="H62" i="1"/>
  <c r="H63" i="1"/>
  <c r="F13" i="24"/>
  <c r="F11" i="24"/>
  <c r="F10" i="24"/>
  <c r="F9" i="24"/>
  <c r="F8" i="24"/>
  <c r="F7" i="24"/>
  <c r="F6" i="24"/>
  <c r="H6" i="24" s="1"/>
  <c r="H57" i="1" l="1"/>
  <c r="I57" i="1" s="1"/>
  <c r="J57" i="1" s="1"/>
  <c r="K57" i="1" s="1"/>
  <c r="I62" i="1"/>
  <c r="J62" i="1" s="1"/>
  <c r="K62" i="1" s="1"/>
  <c r="I60" i="1"/>
  <c r="J60" i="1" s="1"/>
  <c r="J72" i="1"/>
  <c r="K72" i="1" s="1"/>
  <c r="I56" i="1"/>
  <c r="J56" i="1" s="1"/>
  <c r="K56" i="1" s="1"/>
  <c r="H58" i="1"/>
  <c r="I58" i="1" s="1"/>
  <c r="J58" i="1" s="1"/>
  <c r="I71" i="1"/>
  <c r="J71" i="1" s="1"/>
  <c r="I69" i="1"/>
  <c r="J69" i="1" s="1"/>
  <c r="K69" i="1" s="1"/>
  <c r="I67" i="1"/>
  <c r="J67" i="1" s="1"/>
  <c r="K67" i="1" s="1"/>
  <c r="I70" i="1"/>
  <c r="J70" i="1" s="1"/>
  <c r="K70" i="1" s="1"/>
  <c r="I68" i="1"/>
  <c r="H73" i="1"/>
  <c r="I66" i="1"/>
  <c r="I61" i="1"/>
  <c r="I59" i="1"/>
  <c r="J59" i="1" s="1"/>
  <c r="I63" i="1"/>
  <c r="H11" i="24"/>
  <c r="H10" i="24"/>
  <c r="H9" i="24"/>
  <c r="H8" i="24"/>
  <c r="H7" i="24"/>
  <c r="F3" i="1"/>
  <c r="F42" i="1"/>
  <c r="K59" i="1" l="1"/>
  <c r="K58" i="1"/>
  <c r="K60" i="1"/>
  <c r="K71" i="1"/>
  <c r="J66" i="1"/>
  <c r="K66" i="1" s="1"/>
  <c r="I73" i="1"/>
  <c r="J73" i="1" s="1"/>
  <c r="J68" i="1"/>
  <c r="K68" i="1" s="1"/>
  <c r="J61" i="1"/>
  <c r="K61" i="1" s="1"/>
  <c r="J63" i="1"/>
  <c r="K63" i="1" s="1"/>
  <c r="F53" i="1"/>
  <c r="F52" i="1"/>
  <c r="F51" i="1"/>
  <c r="F50" i="1"/>
  <c r="F49" i="1"/>
  <c r="F48" i="1"/>
  <c r="F47" i="1"/>
  <c r="F46" i="1"/>
  <c r="C7" i="23" l="1"/>
  <c r="D7" i="23"/>
  <c r="K73" i="1"/>
  <c r="C8" i="23" s="1"/>
  <c r="G49" i="1"/>
  <c r="H49" i="1" s="1"/>
  <c r="G46" i="1"/>
  <c r="G48" i="1"/>
  <c r="H48" i="1" s="1"/>
  <c r="G50" i="1"/>
  <c r="G52" i="1"/>
  <c r="H52" i="1" s="1"/>
  <c r="G53" i="1"/>
  <c r="H53" i="1" s="1"/>
  <c r="G47" i="1"/>
  <c r="G51" i="1"/>
  <c r="H51" i="1" s="1"/>
  <c r="D8" i="23" l="1"/>
  <c r="I48" i="1"/>
  <c r="J48" i="1" s="1"/>
  <c r="K48" i="1" s="1"/>
  <c r="H50" i="1"/>
  <c r="I50" i="1" s="1"/>
  <c r="I53" i="1"/>
  <c r="J53" i="1" s="1"/>
  <c r="K53" i="1" s="1"/>
  <c r="I52" i="1"/>
  <c r="J52" i="1" s="1"/>
  <c r="K52" i="1" s="1"/>
  <c r="H47" i="1"/>
  <c r="I47" i="1" s="1"/>
  <c r="J47" i="1" s="1"/>
  <c r="I49" i="1"/>
  <c r="H46" i="1"/>
  <c r="I46" i="1" s="1"/>
  <c r="I51" i="1"/>
  <c r="F2" i="1"/>
  <c r="F13" i="1"/>
  <c r="F35" i="1"/>
  <c r="F24" i="1"/>
  <c r="J50" i="1" l="1"/>
  <c r="K50" i="1" s="1"/>
  <c r="J51" i="1"/>
  <c r="K51" i="1" s="1"/>
  <c r="J46" i="1"/>
  <c r="K46" i="1" s="1"/>
  <c r="J49" i="1"/>
  <c r="K49" i="1" s="1"/>
  <c r="K47" i="1"/>
  <c r="G2" i="1"/>
  <c r="G13" i="1"/>
  <c r="H13" i="1" s="1"/>
  <c r="G35" i="1"/>
  <c r="G24" i="1"/>
  <c r="H24" i="1" s="1"/>
  <c r="D6" i="23" l="1"/>
  <c r="C6" i="23"/>
  <c r="H35" i="1"/>
  <c r="I35" i="1" s="1"/>
  <c r="H2" i="1"/>
  <c r="I13" i="1"/>
  <c r="I24" i="1"/>
  <c r="J35" i="1" l="1"/>
  <c r="K35" i="1" s="1"/>
  <c r="I2" i="1"/>
  <c r="J13" i="1"/>
  <c r="K13" i="1" s="1"/>
  <c r="J24" i="1"/>
  <c r="K24" i="1" s="1"/>
  <c r="F4" i="1"/>
  <c r="G4" i="1" s="1"/>
  <c r="F5" i="1"/>
  <c r="G5" i="1" s="1"/>
  <c r="F6" i="1"/>
  <c r="G6" i="1" s="1"/>
  <c r="F7" i="1"/>
  <c r="F8" i="1"/>
  <c r="F9" i="1"/>
  <c r="G9" i="1" s="1"/>
  <c r="H9" i="1" s="1"/>
  <c r="F10" i="1"/>
  <c r="G10" i="1" s="1"/>
  <c r="H10" i="1" s="1"/>
  <c r="F14" i="1"/>
  <c r="F15" i="1"/>
  <c r="F16" i="1"/>
  <c r="F17" i="1"/>
  <c r="F18" i="1"/>
  <c r="G18" i="1" s="1"/>
  <c r="F19" i="1"/>
  <c r="G19" i="1" s="1"/>
  <c r="F20" i="1"/>
  <c r="F21" i="1"/>
  <c r="G21" i="1" s="1"/>
  <c r="F25" i="1"/>
  <c r="F26" i="1"/>
  <c r="F27" i="1"/>
  <c r="F28" i="1"/>
  <c r="G28" i="1" s="1"/>
  <c r="F29" i="1"/>
  <c r="G29" i="1" s="1"/>
  <c r="F30" i="1"/>
  <c r="F31" i="1"/>
  <c r="G31" i="1" s="1"/>
  <c r="H31" i="1" s="1"/>
  <c r="F32" i="1"/>
  <c r="G32" i="1" s="1"/>
  <c r="F36" i="1"/>
  <c r="F37" i="1"/>
  <c r="G37" i="1" s="1"/>
  <c r="F38" i="1"/>
  <c r="F39" i="1"/>
  <c r="F40" i="1"/>
  <c r="F41" i="1"/>
  <c r="F43" i="1"/>
  <c r="G43" i="1" s="1"/>
  <c r="G26" i="1" l="1"/>
  <c r="H26" i="1" s="1"/>
  <c r="G14" i="1"/>
  <c r="H14" i="1" s="1"/>
  <c r="G25" i="1"/>
  <c r="H25" i="1" s="1"/>
  <c r="J2" i="1"/>
  <c r="G7" i="1"/>
  <c r="H7" i="1" s="1"/>
  <c r="I7" i="1" s="1"/>
  <c r="J7" i="1" s="1"/>
  <c r="K7" i="1" s="1"/>
  <c r="I10" i="1"/>
  <c r="I9" i="1"/>
  <c r="J9" i="1" s="1"/>
  <c r="K9" i="1" s="1"/>
  <c r="H18" i="1"/>
  <c r="I18" i="1" s="1"/>
  <c r="G41" i="1"/>
  <c r="G40" i="1"/>
  <c r="H40" i="1" s="1"/>
  <c r="G39" i="1"/>
  <c r="H39" i="1" s="1"/>
  <c r="G30" i="1"/>
  <c r="H19" i="1"/>
  <c r="G8" i="1"/>
  <c r="H6" i="1"/>
  <c r="H5" i="1"/>
  <c r="H4" i="1"/>
  <c r="I4" i="1" s="1"/>
  <c r="J4" i="1" s="1"/>
  <c r="H32" i="1"/>
  <c r="I32" i="1" s="1"/>
  <c r="I31" i="1"/>
  <c r="J31" i="1" s="1"/>
  <c r="K31" i="1" s="1"/>
  <c r="H28" i="1"/>
  <c r="I28" i="1" s="1"/>
  <c r="G15" i="1"/>
  <c r="H43" i="1"/>
  <c r="I43" i="1" s="1"/>
  <c r="J43" i="1" s="1"/>
  <c r="H21" i="1"/>
  <c r="G36" i="1"/>
  <c r="H36" i="1" s="1"/>
  <c r="I36" i="1" s="1"/>
  <c r="H37" i="1"/>
  <c r="G38" i="1"/>
  <c r="G42" i="1"/>
  <c r="G16" i="1"/>
  <c r="H16" i="1" s="1"/>
  <c r="I16" i="1" s="1"/>
  <c r="J16" i="1" s="1"/>
  <c r="G17" i="1"/>
  <c r="H17" i="1" s="1"/>
  <c r="G20" i="1"/>
  <c r="G27" i="1"/>
  <c r="H29" i="1"/>
  <c r="G3" i="1"/>
  <c r="I26" i="1" l="1"/>
  <c r="J26" i="1" s="1"/>
  <c r="K26" i="1" s="1"/>
  <c r="H3" i="1"/>
  <c r="I3" i="1" s="1"/>
  <c r="J3" i="1" s="1"/>
  <c r="K3" i="1" s="1"/>
  <c r="K2" i="1"/>
  <c r="I14" i="1"/>
  <c r="I40" i="1"/>
  <c r="J40" i="1" s="1"/>
  <c r="I39" i="1"/>
  <c r="J39" i="1" s="1"/>
  <c r="J10" i="1"/>
  <c r="K10" i="1" s="1"/>
  <c r="H42" i="1"/>
  <c r="I42" i="1" s="1"/>
  <c r="H41" i="1"/>
  <c r="I41" i="1" s="1"/>
  <c r="H30" i="1"/>
  <c r="I19" i="1"/>
  <c r="J18" i="1"/>
  <c r="K18" i="1" s="1"/>
  <c r="H8" i="1"/>
  <c r="I8" i="1" s="1"/>
  <c r="I6" i="1"/>
  <c r="I5" i="1"/>
  <c r="J5" i="1" s="1"/>
  <c r="K4" i="1"/>
  <c r="J28" i="1"/>
  <c r="K28" i="1" s="1"/>
  <c r="I17" i="1"/>
  <c r="J17" i="1" s="1"/>
  <c r="K17" i="1" s="1"/>
  <c r="H15" i="1"/>
  <c r="K43" i="1"/>
  <c r="J32" i="1"/>
  <c r="K32" i="1" s="1"/>
  <c r="I21" i="1"/>
  <c r="J21" i="1" s="1"/>
  <c r="J36" i="1"/>
  <c r="I37" i="1"/>
  <c r="H38" i="1"/>
  <c r="I38" i="1" s="1"/>
  <c r="K16" i="1"/>
  <c r="H20" i="1"/>
  <c r="I20" i="1" s="1"/>
  <c r="I25" i="1"/>
  <c r="H27" i="1"/>
  <c r="I27" i="1" s="1"/>
  <c r="I29" i="1"/>
  <c r="J29" i="1" s="1"/>
  <c r="J25" i="1" l="1"/>
  <c r="K25" i="1" s="1"/>
  <c r="J14" i="1"/>
  <c r="K14" i="1" s="1"/>
  <c r="K36" i="1"/>
  <c r="K39" i="1"/>
  <c r="J41" i="1"/>
  <c r="K41" i="1" s="1"/>
  <c r="J42" i="1"/>
  <c r="K42" i="1" s="1"/>
  <c r="I30" i="1"/>
  <c r="J30" i="1" s="1"/>
  <c r="K30" i="1" s="1"/>
  <c r="J19" i="1"/>
  <c r="K19" i="1" s="1"/>
  <c r="J8" i="1"/>
  <c r="K8" i="1" s="1"/>
  <c r="J6" i="1"/>
  <c r="K6" i="1" s="1"/>
  <c r="K5" i="1"/>
  <c r="D3" i="23" s="1"/>
  <c r="I15" i="1"/>
  <c r="K21" i="1"/>
  <c r="J20" i="1"/>
  <c r="K20" i="1" s="1"/>
  <c r="J37" i="1"/>
  <c r="K37" i="1" s="1"/>
  <c r="J38" i="1"/>
  <c r="K38" i="1" s="1"/>
  <c r="K40" i="1"/>
  <c r="J27" i="1"/>
  <c r="K27" i="1" s="1"/>
  <c r="K29" i="1"/>
  <c r="D9" i="23" l="1"/>
  <c r="D5" i="23"/>
  <c r="C5" i="23"/>
  <c r="C9" i="23"/>
  <c r="C4" i="23"/>
  <c r="C3" i="23"/>
  <c r="J15" i="1"/>
  <c r="K15" i="1" s="1"/>
  <c r="D4" i="23" l="1"/>
  <c r="D10" i="23" s="1"/>
  <c r="C10" i="23"/>
</calcChain>
</file>

<file path=xl/sharedStrings.xml><?xml version="1.0" encoding="utf-8"?>
<sst xmlns="http://schemas.openxmlformats.org/spreadsheetml/2006/main" count="3633" uniqueCount="3572">
  <si>
    <t>Art. No.</t>
  </si>
  <si>
    <t>product name</t>
  </si>
  <si>
    <t>amount</t>
  </si>
  <si>
    <t>PP 1</t>
  </si>
  <si>
    <t>PP 2</t>
  </si>
  <si>
    <t xml:space="preserve">PP 3 </t>
  </si>
  <si>
    <t>PP 4</t>
  </si>
  <si>
    <t>PP 5</t>
  </si>
  <si>
    <t>PP 6</t>
  </si>
  <si>
    <t>Kerpen</t>
  </si>
  <si>
    <t>Netto Kerpen</t>
  </si>
  <si>
    <t>Hamm</t>
  </si>
  <si>
    <t>Bottrop</t>
  </si>
  <si>
    <t>Krefeld</t>
  </si>
  <si>
    <t>Netto Hamm</t>
  </si>
  <si>
    <t>Netto Bottrop</t>
  </si>
  <si>
    <t>Netto Krefeld</t>
  </si>
  <si>
    <t>Ganderkesee</t>
  </si>
  <si>
    <t>Hodenhagen</t>
  </si>
  <si>
    <t>Pallet places</t>
  </si>
  <si>
    <t>Europallets</t>
  </si>
  <si>
    <t>TOTAL ORDER:</t>
  </si>
  <si>
    <t>Henstedt-Ulzburg</t>
  </si>
  <si>
    <t>STOCK &amp; SALES ORDER AMOUNTS</t>
  </si>
  <si>
    <t>Article Nr.</t>
  </si>
  <si>
    <t>Product name</t>
  </si>
  <si>
    <t>TOTAL ORDER</t>
  </si>
  <si>
    <t>TOTAL STOCK</t>
  </si>
  <si>
    <t>MANCO</t>
  </si>
  <si>
    <t>Column1</t>
  </si>
  <si>
    <t>Column2</t>
  </si>
  <si>
    <t>Warning! Do not edit or delete this worksheet! You may hide this worksheet, and it will no longer appear after the February 2016 Office update is installed.</t>
  </si>
  <si>
    <t>WarehouseOnHand</t>
  </si>
  <si>
    <t>{"ItemNumber":"10001","ProductName":"Sugarsnaps kg","InventoryWarehouseId":"GR","OnHandQuantity":1061.5,"TotalAvailableQuantity":1961.5,"AvailableOnHandQuantity":1061.5,"InventorySiteId":"VEN","dataAreaId":"hgv","ProductColorId":"","ProductConfigurationId":"","ProductSizeId":"","ProductStyleId":""}</t>
  </si>
  <si>
    <t>{"ItemNumber":"10003","ProductName":"Bieten B gekookt geschild kg","InventoryWarehouseId":"GR","OnHandQuantity":0,"TotalAvailableQuantity":375,"AvailableOnHandQuantity":0,"InventorySiteId":"VEN","dataAreaId":"hgv","ProductColorId":"","ProductConfigurationId":"","ProductSizeId":"","ProductStyleId":""}</t>
  </si>
  <si>
    <t>{"ItemNumber":"10004","ProductName":"BIO Boerenkool kg","InventoryWarehouseId":"GR","OnHandQuantity":1280,"TotalAvailableQuantity":1331.5,"AvailableOnHandQuantity":1280,"InventorySiteId":"VEN","dataAreaId":"hgv","ProductColorId":"","ProductConfigurationId":"","ProductSizeId":"","ProductStyleId":""}</t>
  </si>
  <si>
    <t>{"ItemNumber":"10010","ProductName":"Chinese kool kg","InventoryWarehouseId":"GR","OnHandQuantity":2178,"TotalAvailableQuantity":4978,"AvailableOnHandQuantity":2178,"InventorySiteId":"VEN","dataAreaId":"hgv","ProductColorId":"","ProductConfigurationId":"","ProductSizeId":"","ProductStyleId":""}</t>
  </si>
  <si>
    <t>{"ItemNumber":"10013","ProductName":"Groene kool kg","InventoryWarehouseId":"GR","OnHandQuantity":133,"TotalAvailableQuantity":133,"AvailableOnHandQuantity":133,"InventorySiteId":"VEN","dataAreaId":"hgv","ProductColorId":"","ProductConfigurationId":"","ProductSizeId":"","ProductStyleId":""}</t>
  </si>
  <si>
    <t>{"ItemNumber":"10015","ProductName":"Rode kool heel kg","InventoryWarehouseId":"GR","OnHandQuantity":5239,"TotalAvailableQuantity":30739,"AvailableOnHandQuantity":5239,"InventorySiteId":"VEN","dataAreaId":"hgv","ProductColorId":"","ProductConfigurationId":"","ProductSizeId":"","ProductStyleId":""}</t>
  </si>
  <si>
    <t>{"ItemNumber":"10017","ProductName":"Uien rood geschoond kg","InventoryWarehouseId":"GR","OnHandQuantity":14475.8,"TotalAvailableQuantity":77218.22,"AvailableOnHandQuantity":14475.8,"InventorySiteId":"VEN","dataAreaId":"hgv","ProductColorId":"","ProductConfigurationId":"","ProductSizeId":"","ProductStyleId":""}</t>
  </si>
  <si>
    <t>{"ItemNumber":"10018","ProductName":"Spitskool kg HSV","InventoryWarehouseId":"GR","OnHandQuantity":61636,"TotalAvailableQuantity":140103.031,"AvailableOnHandQuantity":61636,"InventorySiteId":"VEN","dataAreaId":"hgv","ProductColorId":"","ProductConfigurationId":"","ProductSizeId":"","ProductStyleId":""}</t>
  </si>
  <si>
    <t>{"ItemNumber":"10019","ProductName":"Peen gekopt (B peen) Oranje kg","InventoryWarehouseId":"GR","OnHandQuantity":1627,"TotalAvailableQuantity":14427,"AvailableOnHandQuantity":1627,"InventorySiteId":"VEN","dataAreaId":"hgv","ProductColorId":"","ProductConfigurationId":"","ProductSizeId":"","ProductStyleId":""}</t>
  </si>
  <si>
    <t>{"ItemNumber":"10020","ProductName":"Bieslook kg","InventoryWarehouseId":"GR","OnHandQuantity":12,"TotalAvailableQuantity":12,"AvailableOnHandQuantity":12,"InventorySiteId":"VEN","dataAreaId":"hgv","ProductColorId":"","ProductConfigurationId":"","ProductSizeId":"","ProductStyleId":""}</t>
  </si>
  <si>
    <t>{"ItemNumber":"10023","ProductName":"Paksoi kg","InventoryWarehouseId":"GR","OnHandQuantity":3552,"TotalAvailableQuantity":12552,"AvailableOnHandQuantity":3552,"InventorySiteId":"VEN","dataAreaId":"hgv","ProductColorId":"","ProductConfigurationId":"","ProductSizeId":"","ProductStyleId":""}</t>
  </si>
  <si>
    <t>{"ItemNumber":"10024","ProductName":"Bosui kg (Lente Ui)","InventoryWarehouseId":"GR","OnHandQuantity":252,"TotalAvailableQuantity":935.88,"AvailableOnHandQuantity":252,"InventorySiteId":"VEN","dataAreaId":"hgv","ProductColorId":"","ProductConfigurationId":"","ProductSizeId":"","ProductStyleId":""}</t>
  </si>
  <si>
    <t>{"ItemNumber":"10025","ProductName":"Frisee kg","InventoryWarehouseId":"GR","OnHandQuantity":4326,"TotalAvailableQuantity":26463,"AvailableOnHandQuantity":4326,"InventorySiteId":"VEN","dataAreaId":"hgv","ProductColorId":"","ProductConfigurationId":"","ProductSizeId":"","ProductStyleId":""}</t>
  </si>
  <si>
    <t>{"ItemNumber":"10026","ProductName":"Knolselderij heel kg HSV","InventoryWarehouseId":"GR","OnHandQuantity":1222.6,"TotalAvailableQuantity":409.353,"AvailableOnHandQuantity":1222.6,"InventorySiteId":"VEN","dataAreaId":"hgv","ProductColorId":"","ProductConfigurationId":"","ProductSizeId":"","ProductStyleId":""}</t>
  </si>
  <si>
    <t>{"ItemNumber":"10027","ProductName":"Komkommer stek kg HSV","InventoryWarehouseId":"GR","OnHandQuantity":0,"TotalAvailableQuantity":0,"AvailableOnHandQuantity":0,"InventorySiteId":"VEN","dataAreaId":"hgv","ProductColorId":"","ProductConfigurationId":"","ProductSizeId":"","ProductStyleId":""}</t>
  </si>
  <si>
    <t>{"ItemNumber":"10027","ProductName":"Komkommer stek kg HSV","InventoryWarehouseId":"RL","OnHandQuantity":18595.2,"TotalAvailableQuantity":6239.6,"AvailableOnHandQuantity":861,"InventorySiteId":"VEN","dataAreaId":"hgv","ProductColorId":"","ProductConfigurationId":"","ProductSizeId":"","ProductStyleId":""}</t>
  </si>
  <si>
    <t>{"ItemNumber":"10032","ProductName":"BIO witte kool kg","InventoryWarehouseId":"GR","OnHandQuantity":3132,"TotalAvailableQuantity":3853.68,"AvailableOnHandQuantity":3132,"InventorySiteId":"VEN","dataAreaId":"hgv","ProductColorId":"","ProductConfigurationId":"","ProductSizeId":"","ProductStyleId":""}</t>
  </si>
  <si>
    <t>{"ItemNumber":"10034","ProductName":"BIO rode kool kg","InventoryWarehouseId":"GR","OnHandQuantity":2512,"TotalAvailableQuantity":5212,"AvailableOnHandQuantity":2512,"InventorySiteId":"VEN","dataAreaId":"hgv","ProductColorId":"","ProductConfigurationId":"","ProductSizeId":"","ProductStyleId":""}</t>
  </si>
  <si>
    <t>{"ItemNumber":"10038","ProductName":"Peterselie kg","InventoryWarehouseId":"GR","OnHandQuantity":1562,"TotalAvailableQuantity":2865.038,"AvailableOnHandQuantity":1562,"InventorySiteId":"VEN","dataAreaId":"hgv","ProductColorId":"","ProductConfigurationId":"","ProductSizeId":"","ProductStyleId":""}</t>
  </si>
  <si>
    <t>{"ItemNumber":"10041","ProductName":"Peulen schoon kg","InventoryWarehouseId":"GR","OnHandQuantity":793.7,"TotalAvailableQuantity":1393.7,"AvailableOnHandQuantity":793.7,"InventorySiteId":"VEN","dataAreaId":"hgv","ProductColorId":"","ProductConfigurationId":"","ProductSizeId":"","ProductStyleId":""}</t>
  </si>
  <si>
    <t>{"ItemNumber":"10043","ProductName":"Prei kg HSV","InventoryWarehouseId":"GR","OnHandQuantity":47505,"TotalAvailableQuantity":267034.785,"AvailableOnHandQuantity":47505,"InventorySiteId":"VEN","dataAreaId":"hgv","ProductColorId":"","ProductConfigurationId":"","ProductSizeId":"","ProductStyleId":""}</t>
  </si>
  <si>
    <t>{"ItemNumber":"10044","ProductName":"Radicchio Rosso (rode sla) kg","InventoryWarehouseId":"GR","OnHandQuantity":2468,"TotalAvailableQuantity":12064.64,"AvailableOnHandQuantity":2468,"InventorySiteId":"VEN","dataAreaId":"hgv","ProductColorId":"","ProductConfigurationId":"","ProductSizeId":"","ProductStyleId":""}</t>
  </si>
  <si>
    <t>{"ItemNumber":"10046","ProductName":"Rettich kg","InventoryWarehouseId":"GR","OnHandQuantity":294,"TotalAvailableQuantity":23.382,"AvailableOnHandQuantity":294,"InventorySiteId":"VEN","dataAreaId":"hgv","ProductColorId":"","ProductConfigurationId":"","ProductSizeId":"","ProductStyleId":""}</t>
  </si>
  <si>
    <t>{"ItemNumber":"100464","ProductName":"V-Kipdij gemar BL-K1 ONTD UITP","InventoryWarehouseId":"HF","OnHandQuantity":56.5,"TotalAvailableQuantity":56.5,"AvailableOnHandQuantity":56.5,"InventorySiteId":"VEN","dataAreaId":"hgv","ProductColorId":"","ProductConfigurationId":"","ProductSizeId":"","ProductStyleId":""}</t>
  </si>
  <si>
    <t>{"ItemNumber":"100465","ProductName":"V-GM Komkommer.Paprikageel.Rettich","InventoryWarehouseId":"HF","OnHandQuantity":7,"TotalAvailableQuantity":7.000001,"AvailableOnHandQuantity":7,"InventorySiteId":"VEN","dataAreaId":"hgv","ProductColorId":"","ProductConfigurationId":"","ProductSizeId":"","ProductStyleId":""}</t>
  </si>
  <si>
    <t>{"ItemNumber":"10048","ProductName":"Pepers rood kg","InventoryWarehouseId":"GR","OnHandQuantity":1222,"TotalAvailableQuantity":3622,"AvailableOnHandQuantity":1222,"InventorySiteId":"VEN","dataAreaId":"hgv","ProductColorId":"","ProductConfigurationId":"","ProductSizeId":"","ProductStyleId":""}</t>
  </si>
  <si>
    <t>{"ItemNumber":"10052","ProductName":"Selderij kg","InventoryWarehouseId":"GR","OnHandQuantity":403,"TotalAvailableQuantity":9964.509,"AvailableOnHandQuantity":403,"InventorySiteId":"VEN","dataAreaId":"hgv","ProductColorId":"","ProductConfigurationId":"","ProductSizeId":"","ProductStyleId":""}</t>
  </si>
  <si>
    <t>{"ItemNumber":"100530","ProductName":"V-Paprika rood BL-13x13","InventoryWarehouseId":"HF","OnHandQuantity":335.716,"TotalAvailableQuantity":323.236,"AvailableOnHandQuantity":335.716,"InventorySiteId":"VEN","dataAreaId":"hgv","ProductColorId":"","ProductConfigurationId":"","ProductSizeId":"","ProductStyleId":""}</t>
  </si>
  <si>
    <t>{"ItemNumber":"100531","ProductName":"V-Volk conchligliette pasta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</si>
  <si>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{"ItemNumber":"100532","ProductName":"V-SM IJsberg.LRosso","InventoryWarehouseId":"HF","OnHandQuantity":733.6,"TotalAvailableQuantity":728.5,"AvailableOnHandQuantity":733.6,"InventorySiteId":"VEN","dataAreaId":"hgv","ProductColorId":"","ProductConfigurationId":"","ProductSizeId":"","ProductStyleId":""}</t>
  </si>
  <si>
    <t>{"ItemNumber":"100533","ProductName":"V-GM WitteKool.Peen 50/50","InventoryWarehouseId":"HF","OnHandQuantity":161.002,"TotalAvailableQuantity":161.002,"AvailableOnHandQuantity":161.002,"InventorySiteId":"VEN","dataAreaId":"hgv","ProductColorId":"","ProductConfigurationId":"","ProductSizeId":"","ProductStyleId":""}</t>
  </si>
  <si>
    <t>{"ItemNumber":"100537","ProductName":"V-SM And.Frisee.Radicchio","InventoryWarehouseId":"HF","OnHandQuantity":432.1,"TotalAvailableQuantity":432.1,"AvailableOnHandQuantity":432.1,"InventorySiteId":"VEN","dataAreaId":"hgv","ProductColorId":"","ProductConfigurationId":"","ProductSizeId":"","ProductStyleId":""}</t>
  </si>
  <si>
    <t>{"ItemNumber":"100538","ProductName":"V-Komkommer BL-10x10","InventoryWarehouseId":"HF","OnHandQuantity":27.398,"TotalAvailableQuantity":-35.56,"AvailableOnHandQuantity":27.398,"InventorySiteId":"VEN","dataAreaId":"hgv","ProductColorId":"","ProductConfigurationId":"","ProductSizeId":"","ProductStyleId":""}</t>
  </si>
  <si>
    <t>{"ItemNumber":"100539","ProductName":"V-Winterpeen ST-03","InventoryWarehouseId":"HF","OnHandQuantity":1970.5,"TotalAvailableQuantity":1908.571,"AvailableOnHandQuantity":1967.099,"InventorySiteId":"VEN","dataAreaId":"hgv","ProductColorId":"","ProductConfigurationId":"","ProductSizeId":"","ProductStyleId":""}</t>
  </si>
  <si>
    <t>{"ItemNumber":"10054","ProductName":"Snijbonen getopt kg","InventoryWarehouseId":"GR","OnHandQuantity":0,"TotalAvailableQuantity":41000,"AvailableOnHandQuantity":0,"InventorySiteId":"VEN","dataAreaId":"hgv","ProductColorId":"","ProductConfigurationId":"","ProductSizeId":"","ProductStyleId":""}</t>
  </si>
  <si>
    <t>{"ItemNumber":"100540","ProductName":"V-Witte kool EN-02","InventoryWarehouseId":"HF","OnHandQuantity":2160.52,"TotalAvailableQuantity":1488.456,"AvailableOnHandQuantity":2160.52,"InventorySiteId":"VEN","dataAreaId":"hgv","ProductColorId":"","ProductConfigurationId":"","ProductSizeId":"","ProductStyleId":""}</t>
  </si>
  <si>
    <t>{"ItemNumber":"100541","ProductName":"V-Kipdij BL1-K1 ONTD","InventoryWarehouseId":"GR","OnHandQuantity":0,"TotalAvailableQuantity":470,"AvailableOnHandQuantity":0,"InventorySiteId":"VEN","dataAreaId":"hgv","ProductColorId":"","ProductConfigurationId":"","ProductSizeId":"","ProductStyleId":""}</t>
  </si>
  <si>
    <t>{"ItemNumber":"100542","ProductName":"V-Kipdij gemar BL-K1 ONTD","InventoryWarehouseId":"GR","OnHandQuantity":0,"TotalAvailableQuantity":140,"AvailableOnHandQuantity":0,"InventorySiteId":"VEN","dataAreaId":"hgv","ProductColorId":"","ProductConfigurationId":"","ProductSizeId":"","ProductStyleId":""}</t>
  </si>
  <si>
    <t>{"ItemNumber":"100543","ProductName":"V-Kipdij BL1-K1 ONTD UITP","InventoryWarehouseId":"HF","OnHandQuantity":524.41,"TotalAvailableQuantity":371.733,"AvailableOnHandQuantity":524.41,"InventorySiteId":"VEN","dataAreaId":"hgv","ProductColorId":"","ProductConfigurationId":"","ProductSizeId":"","ProductStyleId":""}</t>
  </si>
  <si>
    <t>{"ItemNumber":"100546","ProductName":"V-Linguine 3.5cm UITP","InventoryWarehouseId":"HF","OnHandQuantity":979.11,"TotalAvailableQuantity":979.11,"AvailableOnHandQuantity":979.11,"InventorySiteId":"VEN","dataAreaId":"hgv","ProductColorId":"","ProductConfigurationId":"","ProductSizeId":"","ProductStyleId":""}</t>
  </si>
  <si>
    <t>{"ItemNumber":"100547","ProductName":"V-Pennette rigate pasta UITP","InventoryWarehouseId":"HF","OnHandQuantity":1073.04,"TotalAvailableQuantity":1073.04,"AvailableOnHandQuantity":1073.04,"InventorySiteId":"VEN","dataAreaId":"hgv","ProductColorId":"","ProductConfigurationId":"","ProductSizeId":"","ProductStyleId":""}</t>
  </si>
  <si>
    <t>{"ItemNumber":"10055","ProductName":"Sperzieboon getopt gebroken kg","InventoryWarehouseId":"GR","OnHandQuantity":9688.4,"TotalAvailableQuantity":67134.396,"AvailableOnHandQuantity":9688.4,"InventorySiteId":"VEN","dataAreaId":"hgv","ProductColorId":"","ProductConfigurationId":"","ProductSizeId":"","ProductStyleId":""}</t>
  </si>
  <si>
    <t>{"ItemNumber":"100563","ProductName":"V-Paprika geel ST-07","InventoryWarehouseId":"HF","OnHandQuantity":0,"TotalAvailableQuantity":-4.848,"AvailableOnHandQuantity":0,"InventorySiteId":"VEN","dataAreaId":"hgv","ProductColorId":"","ProductConfigurationId":"","ProductSizeId":"","ProductStyleId":""}</t>
  </si>
  <si>
    <t>{"ItemNumber":"100564","ProductName":"V-Paprika geel BL-13x13","InventoryWarehouseId":"HF","OnHandQuantity":712.667,"TotalAvailableQuantity":710.1,"AvailableOnHandQuantity":712.667,"InventorySiteId":"VEN","dataAreaId":"hgv","ProductColorId":"","ProductConfigurationId":"","ProductSizeId":"","ProductStyleId":""}</t>
  </si>
  <si>
    <t>{"ItemNumber":"100569","ProductName":"V-Winterpeen ST-03-20","InventoryWarehouseId":"HF","OnHandQuantity":50.614,"TotalAvailableQuantity":23.17,"AvailableOnHandQuantity":50.614,"InventorySiteId":"VEN","dataAreaId":"hgv","ProductColorId":"","ProductConfigurationId":"","ProductSizeId":"","ProductStyleId":""}</t>
  </si>
  <si>
    <t>{"ItemNumber":"100570","ProductName":"V-Rettich ST-03-20","InventoryWarehouseId":"HF","OnHandQuantity":0,"TotalAvailableQuantity":0,"AvailableOnHandQuantity":0,"InventorySiteId":"VEN","dataAreaId":"hgv","ProductColorId":"","ProductConfigurationId":"","ProductSizeId":"","ProductStyleId":""}</t>
  </si>
  <si>
    <t>{"ItemNumber":"100571","ProductName":"V-Komkommer 1/2 PL-08","InventoryWarehouseId":"HF","OnHandQuantity":225.735,"TotalAvailableQuantity":86.007,"AvailableOnHandQuantity":225.735,"InventorySiteId":"VEN","dataAreaId":"hgv","ProductColorId":"","ProductConfigurationId":"","ProductSizeId":"","ProductStyleId":""}</t>
  </si>
  <si>
    <t>{"ItemNumber":"100577","ProductName":"V-Tomaat pruim BL-10x10","InventoryWarehouseId":"HF","OnHandQuantity":0,"TotalAvailableQuantity":0,"AvailableOnHandQuantity":0,"InventorySiteId":"VEN","dataAreaId":"hgv","ProductColorId":"","ProductConfigurationId":"","ProductSizeId":"","ProductStyleId":""}</t>
  </si>
  <si>
    <t>{"ItemNumber":"100582","ProductName":"V-Doperwten ONTD","InventoryWarehouseId":"GR","OnHandQuantity":0,"TotalAvailableQuantity":110,"AvailableOnHandQuantity":0,"InventorySiteId":"VEN","dataAreaId":"hgv","ProductColorId":"","ProductConfigurationId":"","ProductSizeId":"","ProductStyleId":""}</t>
  </si>
  <si>
    <t>{"ItemNumber":"100583","ProductName":"V-Bonen black C ONTD","InventoryWarehouseId":"GR","OnHandQuantity":0,"TotalAvailableQuantity":20,"AvailableOnHandQuantity":0,"InventorySiteId":"VEN","dataAreaId":"hgv","ProductColorId":"","ProductConfigurationId":"","ProductSizeId":"","ProductStyleId":""}</t>
  </si>
  <si>
    <t>{"ItemNumber":"100595","ProductName":"V-Kip CL ONTD","InventoryWarehouseId":"GR","OnHandQuantity":0,"TotalAvailableQuantity":440,"AvailableOnHandQuantity":0,"InventorySiteId":"VEN","dataAreaId":"hgv","ProductColorId":"","ProductConfigurationId":"","ProductSizeId":"","ProductStyleId":""}</t>
  </si>
  <si>
    <t>{"ItemNumber":"100596","ProductName":"V-Falafel schijf ONTD","InventoryWarehouseId":"GR","OnHandQuantity":0,"TotalAvailableQuantity":10,"AvailableOnHandQuantity":0,"InventorySiteId":"VEN","dataAreaId":"hgv","ProductColorId":"","ProductConfigurationId":"","ProductSizeId":"","ProductStyleId":""}</t>
  </si>
  <si>
    <t>{"ItemNumber":"10060","ProductName":"Tomaat cherry 25/30mm kg","InventoryWarehouseId":"GR","OnHandQuantity":721,"TotalAvailableQuantity":4321,"AvailableOnHandQuantity":721,"InventorySiteId":"VEN","dataAreaId":"hgv","ProductColorId":"","ProductConfigurationId":"","ProductSizeId":"","ProductStyleId":""}</t>
  </si>
  <si>
    <t>{"ItemNumber":"100600","ProductName":"V-Doperwten ONTD UITP","InventoryWarehouseId":"HF","OnHandQuantity":9.72,"TotalAvailableQuantity":-4.667,"AvailableOnHandQuantity":9.72,"InventorySiteId":"VEN","dataAreaId":"hgv","ProductColorId":"","ProductConfigurationId":"","ProductSizeId":"","ProductStyleId":""}</t>
  </si>
  <si>
    <t>{"ItemNumber":"100601","ProductName":"V-Bonen black C ONTD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</si>
  <si>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{"ItemNumber":"100602","ProductName":"V-Falafel schijf ONTD UITP","InventoryWarehouseId":"HF","OnHandQuantity":19.26,"TotalAvailableQuantity":19.26,"AvailableOnHandQuantity":19.26,"InventorySiteId":"VEN","dataAreaId":"hgv","ProductColorId":"","ProductConfigurationId":"","ProductSizeId":"","ProductStyleId":""}</t>
  </si>
  <si>
    <t>{"ItemNumber":"100607","ProductName":"V-Kidney boon GEW/UITL/UITP","InventoryWarehouseId":"HF","OnHandQuantity":261.76,"TotalAvailableQuantity":261.76,"AvailableOnHandQuantity":261.76,"InventorySiteId":"VEN","dataAreaId":"hgv","ProductColorId":"","ProductConfigurationId":"","ProductSizeId":"","ProductStyleId":""}</t>
  </si>
  <si>
    <t>{"ItemNumber":"100610","ProductName":"V-Bulgur UITP","InventoryWarehouseId":"HF","OnHandQuantity":7.71,"TotalAvailableQuantity":7.71,"AvailableOnHandQuantity":7.71,"InventorySiteId":"VEN","dataAreaId":"hgv","ProductColorId":"","ProductConfigurationId":"","ProductSizeId":"","ProductStyleId":""}</t>
  </si>
  <si>
    <t>{"ItemNumber":"100612","ProductName":"V-Mais GEW/UITL/UITP","InventoryWarehouseId":"HF","OnHandQuantity":316.55,"TotalAvailableQuantity":277.849,"AvailableOnHandQuantity":316.55,"InventorySiteId":"VEN","dataAreaId":"hgv","ProductColorId":"","ProductConfigurationId":"","ProductSizeId":"","ProductStyleId":""}</t>
  </si>
  <si>
    <t>{"ItemNumber":"100613","ProductName":"V-Couscous LP UITP","InventoryWarehouseId":"HF","OnHandQuantity":422.89,"TotalAvailableQuantity":422.89,"AvailableOnHandQuantity":422.89,"InventorySiteId":"VEN","dataAreaId":"hgv","ProductColorId":"","ProductConfigurationId":"","ProductSizeId":"","ProductStyleId":""}</t>
  </si>
  <si>
    <t>{"ItemNumber":"100615","ProductName":"V-Aard zoet SV gaar UITP","InventoryWarehouseId":"HF","OnHandQuantity":7.02,"TotalAvailableQuantity":7.02,"AvailableOnHandQuantity":7.02,"InventorySiteId":"VEN","dataAreaId":"hgv","ProductColorId":"","ProductConfigurationId":"","ProductSizeId":"","ProductStyleId":""}</t>
  </si>
  <si>
    <t>{"ItemNumber":"100618","ProductName":"V-Lollo Bionda BS-25x25","InventoryWarehouseId":"HF","OnHandQuantity":163.99,"TotalAvailableQuantity":139.265,"AvailableOnHandQuantity":163.99,"InventorySiteId":"VEN","dataAreaId":"hgv","ProductColorId":"","ProductConfigurationId":"","ProductSizeId":"","ProductStyleId":""}</t>
  </si>
  <si>
    <t>{"ItemNumber":"10062","ProductName":"Lollo rosso kg","InventoryWarehouseId":"GR","OnHandQuantity":6711,"TotalAvailableQuantity":17340.999,"AvailableOnHandQuantity":6711,"InventorySiteId":"VEN","dataAreaId":"hgv","ProductColorId":"","ProductConfigurationId":"","ProductSizeId":"","ProductStyleId":""}</t>
  </si>
  <si>
    <t>{"ItemNumber":"100621","ProductName":"V-Spitskool EN-02","InventoryWarehouseId":"HF","OnHandQuantity":296.5,"TotalAvailableQuantity":557.517,"AvailableOnHandQuantity":296.5,"InventorySiteId":"VEN","dataAreaId":"hgv","ProductColorId":"","ProductConfigurationId":"","ProductSizeId":"","ProductStyleId":""}</t>
  </si>
  <si>
    <t>{"ItemNumber":"100631","ProductName":"V-Rucola gewassen","InventoryWarehouseId":"HF","OnHandQuantity":638.872,"TotalAvailableQuantity":638.872,"AvailableOnHandQuantity":638.872,"InventorySiteId":"VEN","dataAreaId":"hgv","ProductColorId":"","ProductConfigurationId":"","ProductSizeId":"","ProductStyleId":""}</t>
  </si>
  <si>
    <t>{"ItemNumber":"100633","ProductName":"V-Tomaat Gemar. UITL/UITP","InventoryWarehouseId":"HF","OnHandQuantity":38.47,"TotalAvailableQuantity":13.772,"AvailableOnHandQuantity":38.42,"InventorySiteId":"VEN","dataAreaId":"hgv","ProductColorId":"","ProductConfigurationId":"","ProductSizeId":"","ProductStyleId":""}</t>
  </si>
  <si>
    <t>{"ItemNumber":"100638","ProductName":"V-Bosui EN-03","InventoryWarehouseId":"HF","OnHandQuantity":21.49,"TotalAvailableQuantity":21.49,"AvailableOnHandQuantity":21.49,"InventorySiteId":"VEN","dataAreaId":"hgv","ProductColorId":"","ProductConfigurationId":"","ProductSizeId":"","ProductStyleId":""}</t>
  </si>
  <si>
    <t>{"ItemNumber":"10064","ProductName":"Veldsla kg","InventoryWarehouseId":"GR","OnHandQuantity":318,"TotalAvailableQuantity":3718,"AvailableOnHandQuantity":318,"InventorySiteId":"VEN","dataAreaId":"hgv","ProductColorId":"","ProductConfigurationId":"","ProductSizeId":"","ProductStyleId":""}</t>
  </si>
  <si>
    <t>{"ItemNumber":"100642","ProductName":"V-HM Cousc.Doperwt.Bosui.Abrikoos","InventoryWarehouseId":"HF","OnHandQuantity":176.95,"TotalAvailableQuantity":176.95,"AvailableOnHandQuantity":176.95,"InventorySiteId":"VEN","dataAreaId":"hgv","ProductColorId":"","ProductConfigurationId":"","ProductSizeId":"","ProductStyleId":""}</t>
  </si>
  <si>
    <t>{"ItemNumber":"100643","ProductName":"V-SM Andijvie.Radicchio","InventoryWarehouseId":"HF","OnHandQuantity":201.1,"TotalAvailableQuantity":201.1,"AvailableOnHandQuantity":201.1,"InventorySiteId":"VEN","dataAreaId":"hgv","ProductColorId":"","ProductConfigurationId":"","ProductSizeId":"","ProductStyleId":""}</t>
  </si>
  <si>
    <t>{"ItemNumber":"100644","ProductName":"V-SM Eikenblad R+G.Rucola25","InventoryWarehouseId":"HF","OnHandQuantity":644.82,"TotalAvailableQuantity":638.88,"AvailableOnHandQuantity":644.82,"InventorySiteId":"VEN","dataAreaId":"hgv","ProductColorId":"","ProductConfigurationId":"","ProductSizeId":"","ProductStyleId":""}</t>
  </si>
  <si>
    <t>{"ItemNumber":"100652","ProductName":"V-Tomaat cherry 25/30 gewassen","InventoryWarehouseId":"HF","OnHandQuantity":67.113,"TotalAvailableQuantity":18.167,"AvailableOnHandQuantity":39.008,"InventorySiteId":"VEN","dataAreaId":"hgv","ProductColorId":"","ProductConfigurationId":"","ProductSizeId":"","ProductStyleId":""}</t>
  </si>
  <si>
    <t>{"ItemNumber":"100654","ProductName":"V-Veldsla gewassen","InventoryWarehouseId":"HF","OnHandQuantity":77.5,"TotalAvailableQuantity":68.8,"AvailableOnHandQuantity":77.5,"InventorySiteId":"VEN","dataAreaId":"hgv","ProductColorId":"","ProductConfigurationId":"","ProductSizeId":"","ProductStyleId":""}</t>
  </si>
  <si>
    <t>{"ItemNumber":"100656","ProductName":"V-Winterpeen geel ST-03","InventoryWarehouseId":"HF","OnHandQuantity":24.82,"TotalAvailableQuantity":24.82,"AvailableOnHandQuantity":24.82,"InventorySiteId":"VEN","dataAreaId":"hgv","ProductColorId":"","ProductConfigurationId":"","ProductSizeId":"","ProductStyleId":""}</t>
  </si>
  <si>
    <t>{"ItemNumber":"10066","ProductName":"Venkel kg HSV","InventoryWarehouseId":"GR","OnHandQuantity":10.4,"TotalAvailableQuantity":10.4,"AvailableOnHandQuantity":10.4,"InventorySiteId":"VEN","dataAreaId":"hgv","ProductColorId":"","ProductConfigurationId":"","ProductSizeId":"","ProductStyleId":""}</t>
  </si>
  <si>
    <t>{"ItemNumber":"100663","ProductName":"V-IJsberg naturel BS-25x25","InventoryWarehouseId":"HF","OnHandQuantity":0,"TotalAvailableQuantity":-17.96,"AvailableOnHandQuantity":0,"InventorySiteId":"VEN","dataAreaId":"hgv","ProductColorId":"","ProductConfigurationId":"","ProductSizeId":"","ProductStyleId":""}</t>
  </si>
  <si>
    <t>{"ItemNumber":"100678","ProductName":"V-SM Exp.LRosso.Radic","InventoryWarehouseId":"HF","OnHandQuantity":675.86,"TotalAvailableQuantity":675.86,"AvailableOnHandQuantity":675.86,"InventorySiteId":"VEN","dataAreaId":"hgv","ProductColorId":"","ProductConfigurationId":"","ProductSizeId":"","ProductStyleId":""}</t>
  </si>
  <si>
    <t>{"ItemNumber":"100680","ProductName":"V-Kip CL ONTD UITP","InventoryWarehouseId":"HF","OnHandQuantity":498.88,"TotalAvailableQuantity":498.88,"AvailableOnHandQuantity":498.88,"InventorySiteId":"VEN","dataAreaId":"hgv","ProductColorId":"","ProductConfigurationId":"","ProductSizeId":"","ProductStyleId":""}</t>
  </si>
  <si>
    <t>{"ItemNumber":"100681","ProductName":"V-SM And.IJsberg.Radicchio","InventoryWarehouseId":"HF","OnHandQuantity":759.7,"TotalAvailableQuantity":759.7,"AvailableOnHandQuantity":759.7,"InventorySiteId":"VEN","dataAreaId":"hgv","ProductColorId":"","ProductConfigurationId":"","ProductSizeId":"","ProductStyleId":""}</t>
  </si>
  <si>
    <t>{"ItemNumber":"100702","ProductName":"V-Uien rood BL-10x10","InventoryWarehouseId":"HF","OnHandQuantity":214.356,"TotalAvailableQuantity":174.796,"AvailableOnHandQuantity":214.356,"InventorySiteId":"VEN","dataAreaId":"hgv","ProductColorId":"","ProductConfigurationId":"","ProductSizeId":"","ProductStyleId":""}</t>
  </si>
  <si>
    <t>{"ItemNumber":"100703","ProductName":"V-Ei BL2-EI2 UITL/UITP","InventoryWarehouseId":"HF","OnHandQuantity":12.69,"TotalAvailableQuantity":12.69,"AvailableOnHandQuantity":12.69,"InventorySiteId":"VEN","dataAreaId":"hgv","ProductColorId":"","ProductConfigurationId":"","ProductSizeId":"","ProductStyleId":""}</t>
  </si>
  <si>
    <t>{"ItemNumber":"100704","ProductName":"V-Spinazie gewassen PLP","InventoryWarehouseId":"HF","OnHandQuantity":575.301,"TotalAvailableQuantity":575.301,"AvailableOnHandQuantity":575.301,"InventorySiteId":"VEN","dataAreaId":"hgv","ProductColorId":"","ProductConfigurationId":"","ProductSizeId":"","ProductStyleId":""}</t>
  </si>
  <si>
    <t>{"ItemNumber":"100708","ProductName":"V-Spinazie EN-40","InventoryWarehouseId":"HF","OnHandQuantity":444.1,"TotalAvailableQuantity":444.1,"AvailableOnHandQuantity":444.1,"InventorySiteId":"VEN","dataAreaId":"hgv","ProductColorId":"","ProductConfigurationId":"","ProductSizeId":"","ProductStyleId":""}</t>
  </si>
  <si>
    <t>{"ItemNumber":"100719","ProductName":"V-Paprika rood BL-20x20","InventoryWarehouseId":"HF","OnHandQuantity":616.445,"TotalAvailableQuantity":616.445,"AvailableOnHandQuantity":616.445,"InventorySiteId":"VEN","dataAreaId":"hgv","ProductColorId":"","ProductConfigurationId":"","ProductSizeId":"","ProductStyleId":""}</t>
  </si>
  <si>
    <t>{"ItemNumber":"10072","ProductName":"Olijven ring zwart kg","InventoryWarehouseId":"GR","OnHandQuantity":740,"TotalAvailableQuantity":1184.75,"AvailableOnHandQuantity":740,"InventorySiteId":"VEN","dataAreaId":"hgv","ProductColorId":"","ProductConfigurationId":"","ProductSizeId":"","ProductStyleId":""}</t>
  </si>
  <si>
    <t>{"ItemNumber":"100721","ProductName":"V-SM IJsb.Spin.LRosso","InventoryWarehouseId":"HF","OnHandQuantity":533.8,"TotalAvailableQuantity":533.8,"AvailableOnHandQuantity":533.8,"InventorySiteId":"VEN","dataAreaId":"hgv","ProductColorId":"","ProductConfigurationId":"","ProductSizeId":"","ProductStyleId":""}</t>
  </si>
  <si>
    <t>{"ItemNumber":"100730","ProductName":"V-Aard part+schil UITP","InventoryWarehouseId":"HF","OnHandQuantity":1302.75,"TotalAvailableQuantity":1302.75,"AvailableOnHandQuantity":1302.75,"InventorySiteId":"VEN","dataAreaId":"hgv","ProductColorId":"","ProductConfigurationId":"","ProductSizeId":"","ProductStyleId":""}</t>
  </si>
  <si>
    <t>{"ItemNumber":"100733","ProductName":"V-SM IJsberg.Romania","InventoryWarehouseId":"HF","OnHandQuantity":2588.41,"TotalAvailableQuantity":2588.41,"AvailableOnHandQuantity":2588.41,"InventorySiteId":"VEN","dataAreaId":"hgv","ProductColorId":"","ProductConfigurationId":"","ProductSizeId":"","ProductStyleId":""}</t>
  </si>
  <si>
    <t>{"ItemNumber":"100734","ProductName":"V-Kipfilet BL1-K1 ONTD UITP","InventoryWarehouseId":"HF","OnHandQuantity":505.68,"TotalAvailableQuantity":461.4,"AvailableOnHandQuantity":505.68,"InventorySiteId":"VEN","dataAreaId":"hgv","ProductColorId":"","ProductConfigurationId":"","ProductSizeId":"","ProductStyleId":""}</t>
  </si>
  <si>
    <t>{"ItemNumber":"100735","ProductName":"V-Kipfilet BL1-K1 ONTD","InventoryWarehouseId":"GR","OnHandQuantity":0,"TotalAvailableQuantity":480,"AvailableOnHandQuantity":0,"InventorySiteId":"VEN","dataAreaId":"hgv","ProductColorId":"","ProductConfigurationId":"","ProductSizeId":"","ProductStyleId":""}</t>
  </si>
  <si>
    <t>{"ItemNumber":"100736","ProductName":"V-Ei gek scharrl UITL/UITP","InventoryWarehouseId":"HF","OnHandQuantity":108.71,"TotalAvailableQuantity":98.73,"AvailableOnHandQuantity":99.53,"InventorySiteId":"VEN","dataAreaId":"hgv","ProductColorId":"","ProductConfigurationId":"","ProductSizeId":"","ProductStyleId":""}</t>
  </si>
  <si>
    <t>{"ItemNumber":"10074","ProductName":"Dille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</si>
  <si>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{"ItemNumber":"100749","ProductName":"V-HM KipCL.Mar.Marok","InventoryWarehouseId":"HF","OnHandQuantity":59.8,"TotalAvailableQuantity":59.8,"AvailableOnHandQuantity":59.8,"InventorySiteId":"VEN","dataAreaId":"hgv","ProductColorId":"","ProductConfigurationId":"","ProductSizeId":"","ProductStyleId":""}</t>
  </si>
  <si>
    <t>{"ItemNumber":"100750","ProductName":"V-GM Paprika Rood,.Komkommer","InventoryWarehouseId":"HF","OnHandQuantity":2.1,"TotalAvailableQuantity":2.1,"AvailableOnHandQuantity":2.1,"InventorySiteId":"VEN","dataAreaId":"hgv","ProductColorId":"","ProductConfigurationId":"","ProductSizeId":"","ProductStyleId":""}</t>
  </si>
  <si>
    <t>{"ItemNumber":"100751","ProductName":"V-HM VolkCousc.Doperwt.Bosui.Bloemk","InventoryWarehouseId":"HF","OnHandQuantity":996.45,"TotalAvailableQuantity":994.35,"AvailableOnHandQuantity":996.45,"InventorySiteId":"VEN","dataAreaId":"hgv","ProductColorId":"","ProductConfigurationId":"","ProductSizeId":"","ProductStyleId":""}</t>
  </si>
  <si>
    <t>{"ItemNumber":"100752","ProductName":"V-Volkoren Couscous Geel UITP","InventoryWarehouseId":"HF","OnHandQuantity":15.97,"TotalAvailableQuantity":15.97,"AvailableOnHandQuantity":15.97,"InventorySiteId":"VEN","dataAreaId":"hgv","ProductColorId":"","ProductConfigurationId":"","ProductSizeId":"","ProductStyleId":""}</t>
  </si>
  <si>
    <t>{"ItemNumber":"100753","ProductName":"V-HM KipdijBL1-K1. Mar.Marok","InventoryWarehouseId":"HF","OnHandQuantity":194.7,"TotalAvailableQuantity":194.7,"AvailableOnHandQuantity":194.7,"InventorySiteId":"VEN","dataAreaId":"hgv","ProductColorId":"","ProductConfigurationId":"","ProductSizeId":"","ProductStyleId":""}</t>
  </si>
  <si>
    <t>{"ItemNumber":"100754","ProductName":"V-Kaas reep BL-05x30 UITP","InventoryWarehouseId":"HF","OnHandQuantity":52.22,"TotalAvailableQuantity":52.22,"AvailableOnHandQuantity":52.22,"InventorySiteId":"VEN","dataAreaId":"hgv","ProductColorId":"","ProductConfigurationId":"","ProductSizeId":"","ProductStyleId":""}</t>
  </si>
  <si>
    <t>{"ItemNumber":"100755","ProductName":"V-Bloemkool ST-03x10","InventoryWarehouseId":"HF","OnHandQuantity":190.689,"TotalAvailableQuantity":190.689,"AvailableOnHandQuantity":190.689,"InventorySiteId":"VEN","dataAreaId":"hgv","ProductColorId":"","ProductConfigurationId":"","ProductSizeId":"","ProductStyleId":""}</t>
  </si>
  <si>
    <t>{"ItemNumber":"100763","ProductName":"V-BaconzegelsBL1-V1 ONTD UITP","InventoryWarehouseId":"HF","OnHandQuantity":63.72,"TotalAvailableQuantity":63.72,"AvailableOnHandQuantity":63.72,"InventorySiteId":"VEN","dataAreaId":"hgv","ProductColorId":"","ProductConfigurationId":"","ProductSizeId":"","ProductStyleId":""}</t>
  </si>
  <si>
    <t>{"ItemNumber":"100765","ProductName":"V-Baconzegels BL1-V1 ONTD","InventoryWarehouseId":"GR","OnHandQuantity":0,"TotalAvailableQuantity":40,"AvailableOnHandQuantity":0,"InventorySiteId":"VEN","dataAreaId":"hgv","ProductColorId":"","ProductConfigurationId":"","ProductSizeId":"","ProductStyleId":""}</t>
  </si>
  <si>
    <t>{"ItemNumber":"100773","ProductName":"V-Fusilli pasta UITP","InventoryWarehouseId":"HF","OnHandQuantity":1062.78,"TotalAvailableQuantity":1062.78,"AvailableOnHandQuantity":1062.78,"InventorySiteId":"VEN","dataAreaId":"hgv","ProductColorId":"","ProductConfigurationId":"","ProductSizeId":"","ProductStyleId":""}</t>
  </si>
  <si>
    <t>{"ItemNumber":"100781","ProductName":"V-Harde kaas UITP","InventoryWarehouseId":"HF","OnHandQuantity":7.84,"TotalAvailableQuantity":7.84,"AvailableOnHandQuantity":7.84,"InventorySiteId":"VEN","dataAreaId":"hgv","ProductColorId":"","ProductConfigurationId":"","ProductSizeId":"","ProductStyleId":""}</t>
  </si>
  <si>
    <t>{"ItemNumber":"100782","ProductName":"V-SM And.LBionda.LRosso","InventoryWarehouseId":"HF","OnHandQuantity":799.5,"TotalAvailableQuantity":799.5,"AvailableOnHandQuantity":799.5,"InventorySiteId":"VEN","dataAreaId":"hgv","ProductColorId":"","ProductConfigurationId":"","ProductSizeId":"","ProductStyleId":""}</t>
  </si>
  <si>
    <t>{"ItemNumber":"100784","ProductName":"V-HM Mais.kidneyboon kg","InventoryWarehouseId":"HF","OnHandQuantity":62.65,"TotalAvailableQuantity":62.65,"AvailableOnHandQuantity":62.65,"InventorySiteId":"VEN","dataAreaId":"hgv","ProductColorId":"","ProductConfigurationId":"","ProductSizeId":"","ProductStyleId":""}</t>
  </si>
  <si>
    <t>{"ItemNumber":"100785","ProductName":"V-Croutons UITP","InventoryWarehouseId":"HF","OnHandQuantity":10.92,"TotalAvailableQuantity":10.92,"AvailableOnHandQuantity":10.92,"InventorySiteId":"VEN","dataAreaId":"hgv","ProductColorId":"","ProductConfigurationId":"","ProductSizeId":"","ProductStyleId":""}</t>
  </si>
  <si>
    <t>{"ItemNumber":"100788","ProductName":"V-SM Frisee.LBionda.LRosso.Radic","InventoryWarehouseId":"HF","OnHandQuantity":1098.2,"TotalAvailableQuantity":1098.2,"AvailableOnHandQuantity":1098.2,"InventorySiteId":"VEN","dataAreaId":"hgv","ProductColorId":"","ProductConfigurationId":"","ProductSizeId":"","ProductStyleId":""}</t>
  </si>
  <si>
    <t>{"ItemNumber":"10079","ProductName":"BIO Peen oranje kg geschrapt","InventoryWarehouseId":"GR","OnHandQuantity":504,"TotalAvailableQuantity":504,"AvailableOnHandQuantity":504,"InventorySiteId":"VEN","dataAreaId":"hgv","ProductColorId":"","ProductConfigurationId":"","ProductSizeId":"","ProductStyleId":""}</t>
  </si>
  <si>
    <t>{"ItemNumber":"100794","ProductName":"V-Penne volk pasta UITP","InventoryWarehouseId":"HF","OnHandQuantity":407.39,"TotalAvailableQuantity":476.11,"AvailableOnHandQuantity":407.39,"InventorySiteId":"VEN","dataAreaId":"hgv","ProductColorId":"","ProductConfigurationId":"","ProductSizeId":"","ProductStyleId":""}</t>
  </si>
  <si>
    <t>{"ItemNumber":"100795","ProductName":"V-Kappertjes UITL/UITP","InventoryWarehouseId":"HF","OnHandQuantity":8.48,"TotalAvailableQuantity":8.48,"AvailableOnHandQuantity":8.48,"InventorySiteId":"VEN","dataAreaId":"hgv","ProductColorId":"","ProductConfigurationId":"","ProductSizeId":"","ProductStyleId":""}</t>
  </si>
  <si>
    <t>{"ItemNumber":"100797","ProductName":"V-HM Sperziebonen.Olijf Ring 60/40","InventoryWarehouseId":"HF","OnHandQuantity":33.25,"TotalAvailableQuantity":33.25,"AvailableOnHandQuantity":33.25,"InventorySiteId":"VEN","dataAreaId":"hgv","ProductColorId":"","ProductConfigurationId":"","ProductSizeId":"","ProductStyleId":""}</t>
  </si>
  <si>
    <t>{"ItemNumber":"100800","ProductName":"V-Sperziebonen ONTD UITP","InventoryWarehouseId":"HF","OnHandQuantity":32.5,"TotalAvailableQuantity":21.591,"AvailableOnHandQuantity":32.5,"InventorySiteId":"VEN","dataAreaId":"hgv","ProductColorId":"","ProductConfigurationId":"","ProductSizeId":"","ProductStyleId":""}</t>
  </si>
  <si>
    <t>{"ItemNumber":"100801","ProductName":"V-Sperziebonen ONTD","InventoryWarehouseId":"GR","OnHandQuantity":0,"TotalAvailableQuantity":50,"AvailableOnHandQuantity":0,"InventorySiteId":"VEN","dataAreaId":"hgv","ProductColorId":"","ProductConfigurationId":"","ProductSizeId":"","ProductStyleId":""}</t>
  </si>
  <si>
    <t>{"ItemNumber":"100802","ProductName":"V-Olijven zwart UITL/UITP","InventoryWarehouseId":"HF","OnHandQuantity":13.47,"TotalAvailableQuantity":18.47,"AvailableOnHandQuantity":13.47,"InventorySiteId":"VEN","dataAreaId":"hgv","ProductColorId":"","ProductConfigurationId":"","ProductSizeId":"","ProductStyleId":""}</t>
  </si>
  <si>
    <t>{"ItemNumber":"100803","ProductName":"V-Tonijn MSC UITP","InventoryWarehouseId":"HF","OnHandQuantity":54.06,"TotalAvailableQuantity":54.06,"AvailableOnHandQuantity":54.06,"InventorySiteId":"VEN","dataAreaId":"hgv","ProductColorId":"","ProductConfigurationId":"","ProductSizeId":"","ProductStyleId":""}</t>
  </si>
  <si>
    <t>{"ItemNumber":"100804","ProductName":"V-HM Sperzieboon.Olijf Ring 71/29","InventoryWarehouseId":"HF","OnHandQuantity":48.35,"TotalAvailableQuantity":48.35,"AvailableOnHandQuantity":48.35,"InventorySiteId":"VEN","dataAreaId":"hgv","ProductColorId":"","ProductConfigurationId":"","ProductSizeId":"","ProductStyleId":""}</t>
  </si>
  <si>
    <t>{"ItemNumber":"100807","ProductName":"V-HM Bloemk.Biet.Rijst.Ui Wit","InventoryWarehouseId":"HF","OnHandQuantity":75.65,"TotalAvailableQuantity":75.65,"AvailableOnHandQuantity":75.65,"InventorySiteId":"VEN","dataAreaId":"hgv","ProductColorId":"","ProductConfigurationId":"","ProductSizeId":"","ProductStyleId":""}</t>
  </si>
  <si>
    <t>{"ItemNumber":"100812","ProductName":"V-Rijst wit UITP","InventoryWarehouseId":"HF","OnHandQuantity":0,"TotalAvailableQuantity":-6.371,"AvailableOnHandQuantity":0,"InventorySiteId":"VEN","dataAreaId":"hgv","ProductColorId":"","ProductConfigurationId":"","ProductSizeId":"","ProductStyleId":""}</t>
  </si>
  <si>
    <t>{"ItemNumber":"100819","ProductName":"V-Biet B gekookt BL-10x10","InventoryWarehouseId":"HF","OnHandQuantity":0,"TotalAvailableQuantity":0,"AvailableOnHandQuantity":0,"InventorySiteId":"VEN","dataAreaId":"hgv","ProductColorId":"","ProductConfigurationId":"","ProductSizeId":"","ProductStyleId":""}</t>
  </si>
  <si>
    <t>{"ItemNumber":"100821","ProductName":"V-Uien wit BL-10x10","InventoryWarehouseId":"HF","OnHandQuantity":3.548,"TotalAvailableQuantity":3.548,"AvailableOnHandQuantity":3.548,"InventorySiteId":"VEN","dataAreaId":"hgv","ProductColorId":"","ProductConfigurationId":"","ProductSizeId":"","ProductStyleId":""}</t>
  </si>
  <si>
    <t>{"ItemNumber":"10083","ProductName":"Babyspinazie kg","InventoryWarehouseId":"GR","OnHandQuantity":818.5,"TotalAvailableQuantity":2198.5,"AvailableOnHandQuantity":818.5,"InventorySiteId":"VEN","dataAreaId":"hgv","ProductColorId":"","ProductConfigurationId":"","ProductSizeId":"","ProductStyleId":""}</t>
  </si>
  <si>
    <t>{"ItemNumber":"100831","ProductName":"V-SM Romania.Radicchio","InventoryWarehouseId":"HF","OnHandQuantity":619.58,"TotalAvailableQuantity":619.58,"AvailableOnHandQuantity":619.58,"InventorySiteId":"VEN","dataAreaId":"hgv","ProductColorId":"","ProductConfigurationId":"","ProductSizeId":"","ProductStyleId":""}</t>
  </si>
  <si>
    <t>{"ItemNumber":"100833","ProductName":"V-Appel rood 1/2 PA-1/16 UITP","InventoryWarehouseId":"HF","OnHandQuantity":10.84,"TotalAvailableQuantity":-19.584,"AvailableOnHandQuantity":10.84,"InventorySiteId":"VEN","dataAreaId":"hgv","ProductColorId":"","ProductConfigurationId":"","ProductSizeId":"","ProductStyleId":""}</t>
  </si>
  <si>
    <t>{"ItemNumber":"100834","ProductName":"V-Zalmger ASC ONTD UITP","InventoryWarehouseId":"HF","OnHandQuantity":4.18,"TotalAvailableQuantity":4.18,"AvailableOnHandQuantity":4.18,"InventorySiteId":"VEN","dataAreaId":"hgv","ProductColorId":"","ProductConfigurationId":"","ProductSizeId":"","ProductStyleId":""}</t>
  </si>
  <si>
    <t>{"ItemNumber":"100841","ProductName":"V-Zalmger ASC ONTD","InventoryWarehouseId":"GR","OnHandQuantity":0,"TotalAvailableQuantity":20,"AvailableOnHandQuantity":0,"InventorySiteId":"VEN","dataAreaId":"hgv","ProductColorId":"","ProductConfigurationId":"","ProductSizeId":"","ProductStyleId":""}</t>
  </si>
  <si>
    <t>{"ItemNumber":"100842","ProductName":"V-SM IJsberg.Frisee.Radicchio 10mm","InventoryWarehouseId":"HF","OnHandQuantity":852.2,"TotalAvailableQuantity":739.857,"AvailableOnHandQuantity":852.2,"InventorySiteId":"VEN","dataAreaId":"hgv","ProductColorId":"","ProductConfigurationId":"","ProductSizeId":"","ProductStyleId":""}</t>
  </si>
  <si>
    <t>{"ItemNumber":"100846","ProductName":"V-Bleekselderij EN-07","InventoryWarehouseId":"HF","OnHandQuantity":54.84,"TotalAvailableQuantity":588.72,"AvailableOnHandQuantity":54.84,"InventorySiteId":"VEN","dataAreaId":"hgv","ProductColorId":"","ProductConfigurationId":"","ProductSizeId":"","ProductStyleId":""}</t>
  </si>
  <si>
    <t>{"ItemNumber":"100847","ProductName":"V-HM Conchligliette.Kappertjes","InventoryWarehouseId":"HF","OnHandQuantity":665,"TotalAvailableQuantity":665,"AvailableOnHandQuantity":665,"InventorySiteId":"VEN","dataAreaId":"hgv","ProductColorId":"","ProductConfigurationId":"","ProductSizeId":"","ProductStyleId":""}</t>
  </si>
  <si>
    <t>{"ItemNumber":"100849","ProductName":"V-HM Ger.Kip.Bacon BL1-K1V1","InventoryWarehouseId":"HF","OnHandQuantity":248.84,"TotalAvailableQuantity":248.84,"AvailableOnHandQuantity":248.84,"InventorySiteId":"VEN","dataAreaId":"hgv","ProductColorId":"","ProductConfigurationId":"","ProductSizeId":"","ProductStyleId":""}</t>
  </si>
  <si>
    <t>{"ItemNumber":"10085","ProductName":"Granaatappelpit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</si>
  <si>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{"ItemNumber":"100851","ProductName":"V-HM Fusilli.Tomaat","InventoryWarehouseId":"HF","OnHandQuantity":614.05,"TotalAvailableQuantity":614.05,"AvailableOnHandQuantity":614.05,"InventorySiteId":"VEN","dataAreaId":"hgv","ProductColorId":"","ProductConfigurationId":"","ProductSizeId":"","ProductStyleId":""}</t>
  </si>
  <si>
    <t>{"ItemNumber":"100856","ProductName":"V-Uien rood RI-06","InventoryWarehouseId":"HF","OnHandQuantity":0,"TotalAvailableQuantity":0,"AvailableOnHandQuantity":0,"InventorySiteId":"VEN","dataAreaId":"hgv","ProductColorId":"","ProductConfigurationId":"","ProductSizeId":"","ProductStyleId":""}</t>
  </si>
  <si>
    <t>{"ItemNumber":"100857","ProductName":"V-Rode kool EN-02","InventoryWarehouseId":"HF","OnHandQuantity":738.906,"TotalAvailableQuantity":738.906,"AvailableOnHandQuantity":738.906,"InventorySiteId":"VEN","dataAreaId":"hgv","ProductColorId":"","ProductConfigurationId":"","ProductSizeId":"","ProductStyleId":""}</t>
  </si>
  <si>
    <t>{"ItemNumber":"100860","ProductName":"V-Knolselderij Gezuurd BL-13x13","InventoryWarehouseId":"HF","OnHandQuantity":50.612,"TotalAvailableQuantity":250.212,"AvailableOnHandQuantity":50.612,"InventorySiteId":"VEN","dataAreaId":"hgv","ProductColorId":"","ProductConfigurationId":"","ProductSizeId":"","ProductStyleId":""}</t>
  </si>
  <si>
    <t>{"ItemNumber":"100861","ProductName":"V-Prei EN-10","InventoryWarehouseId":"HF","OnHandQuantity":8084.78,"TotalAvailableQuantity":7277.586,"AvailableOnHandQuantity":8076.82,"InventorySiteId":"VEN","dataAreaId":"hgv","ProductColorId":"","ProductConfigurationId":"","ProductSizeId":"","ProductStyleId":""}</t>
  </si>
  <si>
    <t>{"ItemNumber":"10088","ProductName":"Snackworteltjes Oranje kg","InventoryWarehouseId":"GR","OnHandQuantity":4250,"TotalAvailableQuantity":53000,"AvailableOnHandQuantity":4250,"InventorySiteId":"VEN","dataAreaId":"hgv","ProductColorId":"","ProductConfigurationId":"","ProductSizeId":"","ProductStyleId":""}</t>
  </si>
  <si>
    <t>{"ItemNumber":"100883","ProductName":"V-Winterpeen BL-13x13","InventoryWarehouseId":"HF","OnHandQuantity":19.974,"TotalAvailableQuantity":19.974,"AvailableOnHandQuantity":19.974,"InventorySiteId":"VEN","dataAreaId":"hgv","ProductColorId":"","ProductConfigurationId":"","ProductSizeId":"","ProductStyleId":""}</t>
  </si>
  <si>
    <t>{"ItemNumber":"100888","ProductName":"V-Garnaal ASC UITP","InventoryWarehouseId":"HF","OnHandQuantity":158.55,"TotalAvailableQuantity":158.55,"AvailableOnHandQuantity":158.55,"InventorySiteId":"VEN","dataAreaId":"hgv","ProductColorId":"","ProductConfigurationId":"","ProductSizeId":"","ProductStyleId":""}</t>
  </si>
  <si>
    <t>{"ItemNumber":"100897","ProductName":"V-GM Komkommer.Ui rood","InventoryWarehouseId":"HF","OnHandQuantity":100.75,"TotalAvailableQuantity":100.75,"AvailableOnHandQuantity":100.75,"InventorySiteId":"VEN","dataAreaId":"hgv","ProductColorId":"","ProductConfigurationId":"","ProductSizeId":"","ProductStyleId":""}</t>
  </si>
  <si>
    <t>{"ItemNumber":"100902","ProductName":"V-GM Rauwkost Paprika MTS","InventoryWarehouseId":"HF","OnHandQuantity":16.65,"TotalAvailableQuantity":16.65,"AvailableOnHandQuantity":16.65,"InventorySiteId":"VEN","dataAreaId":"hgv","ProductColorId":"","ProductConfigurationId":"","ProductSizeId":"","ProductStyleId":""}</t>
  </si>
  <si>
    <t>{"ItemNumber":"100904","ProductName":"V-GM Wok Paksoi.Tauge.Peulen","InventoryWarehouseId":"HF","OnHandQuantity":0,"TotalAvailableQuantity":0,"AvailableOnHandQuantity":0,"InventorySiteId":"VEN","dataAreaId":"hgv","ProductColorId":"","ProductConfigurationId":"","ProductSizeId":"","ProductStyleId":""}</t>
  </si>
  <si>
    <t>{"ItemNumber":"100906","ProductName":"V-GM Prei.Knolselderij.Peen","InventoryWarehouseId":"HF","OnHandQuantity":0,"TotalAvailableQuantity":0,"AvailableOnHandQuantity":0,"InventorySiteId":"VEN","dataAreaId":"hgv","ProductColorId":"","ProductConfigurationId":"","ProductSizeId":"","ProductStyleId":""}</t>
  </si>
  <si>
    <t>{"ItemNumber":"100907","ProductName":"V-Rotelle pasta UITP","InventoryWarehouseId":"HF","OnHandQuantity":1184.77,"TotalAvailableQuantity":1184.77,"AvailableOnHandQuantity":1184.77,"InventorySiteId":"VEN","dataAreaId":"hgv","ProductColorId":"","ProductConfigurationId":"","ProductSizeId":"","ProductStyleId":""}</t>
  </si>
  <si>
    <t>{"ItemNumber":"100909","ProductName":"V-Radijs ST-07","InventoryWarehouseId":"HF","OnHandQuantity":14.529,"TotalAvailableQuantity":14.529,"AvailableOnHandQuantity":14.529,"InventorySiteId":"VEN","dataAreaId":"hgv","ProductColorId":"","ProductConfigurationId":"","ProductSizeId":"","ProductStyleId":""}</t>
  </si>
  <si>
    <t>{"ItemNumber":"100914","ProductName":"V-HM Komkommer.Radijs.Sojaboon","InventoryWarehouseId":"HF","OnHandQuantity":0,"TotalAvailableQuantity":-27.7,"AvailableOnHandQuantity":0,"InventorySiteId":"VEN","dataAreaId":"hgv","ProductColorId":"","ProductConfigurationId":"","ProductSizeId":"","ProductStyleId":""}</t>
  </si>
  <si>
    <t>{"ItemNumber":"100917","ProductName":"V-Paprika groen BL-13x13","InventoryWarehouseId":"HF","OnHandQuantity":1162.823,"TotalAvailableQuantity":1162.823,"AvailableOnHandQuantity":1162.823,"InventorySiteId":"VEN","dataAreaId":"hgv","ProductColorId":"","ProductConfigurationId":"","ProductSizeId":"","ProductStyleId":""}</t>
  </si>
  <si>
    <t>{"ItemNumber":"100928","ProductName":"V-GM Komkommer.Rettich.Rodeui","InventoryWarehouseId":"HF","OnHandQuantity":560.75,"TotalAvailableQuantity":560.75,"AvailableOnHandQuantity":560.75,"InventorySiteId":"VEN","dataAreaId":"hgv","ProductColorId":"","ProductConfigurationId":"","ProductSizeId":"","ProductStyleId":""}</t>
  </si>
  <si>
    <t>{"ItemNumber":"100929","ProductName":"V-Uien rood BL-05x05","InventoryWarehouseId":"HF","OnHandQuantity":169.8,"TotalAvailableQuantity":160.577,"AvailableOnHandQuantity":169.8,"InventorySiteId":"VEN","dataAreaId":"hgv","ProductColorId":"","ProductConfigurationId":"","ProductSizeId":"","ProductStyleId":""}</t>
  </si>
  <si>
    <t>{"ItemNumber":"100932","ProductName":"V-HM Paprika Rood.Olijf Ring","InventoryWarehouseId":"HF","OnHandQuantity":0,"TotalAvailableQuantity":0,"AvailableOnHandQuantity":0,"InventorySiteId":"VEN","dataAreaId":"hgv","ProductColorId":"","ProductConfigurationId":"","ProductSizeId":"","ProductStyleId":""}</t>
  </si>
  <si>
    <t>{"ItemNumber":"100947","ProductName":"V-Pompoen BL-20x20","InventoryWarehouseId":"HF","OnHandQuantity":19.526,"TotalAvailableQuantity":15.085,"AvailableOnHandQuantity":15.674,"InventorySiteId":"VEN","dataAreaId":"hgv","ProductColorId":"","ProductConfigurationId":"","ProductSizeId":"","ProductStyleId":""}</t>
  </si>
  <si>
    <t>{"ItemNumber":"100948","ProductName":"V-HM KipdijBL1-K1.Mar.Mex","InventoryWarehouseId":"HF","OnHandQuantity":167.75,"TotalAvailableQuantity":167.75,"AvailableOnHandQuantity":167.75,"InventorySiteId":"VEN","dataAreaId":"hgv","ProductColorId":"","ProductConfigurationId":"","ProductSizeId":"","ProductStyleId":""}</t>
  </si>
  <si>
    <t>{"ItemNumber":"100949","ProductName":"V-Bio witte kool EN-02","InventoryWarehouseId":"HF","OnHandQuantity":238,"TotalAvailableQuantity":238,"AvailableOnHandQuantity":238,"InventorySiteId":"VEN","dataAreaId":"hgv","ProductColorId":"","ProductConfigurationId":"","ProductSizeId":"","ProductStyleId":""}</t>
  </si>
  <si>
    <t>{"ItemNumber":"100950","ProductName":"V-HM Pastasalade pesto","InventoryWarehouseId":"HF","OnHandQuantity":2.1,"TotalAvailableQuantity":2.1,"AvailableOnHandQuantity":2.1,"InventorySiteId":"VEN","dataAreaId":"hgv","ProductColorId":"","ProductConfigurationId":"","ProductSizeId":"","ProductStyleId":""}</t>
  </si>
  <si>
    <t>{"ItemNumber":"100951","ProductName":"V-Bio rode kool EN-02","InventoryWarehouseId":"HF","OnHandQuantity":7.949,"TotalAvailableQuantity":7.949,"AvailableOnHandQuantity":7.949,"InventorySiteId":"VEN","dataAreaId":"hgv","ProductColorId":"","ProductConfigurationId":"","ProductSizeId":"","ProductStyleId":""}</t>
  </si>
  <si>
    <t>{"ItemNumber":"100953","ProductName":"V-HM Rijst Wild Wit.Indian Mystery","InventoryWarehouseId":"HF","OnHandQuantity":0,"TotalAvailableQuantity":0,"AvailableOnHandQuantity":0,"InventorySiteId":"VEN","dataAreaId":"hgv","ProductColorId":"","ProductConfigurationId":"","ProductSizeId":"","ProductStyleId":""}</t>
  </si>
  <si>
    <t>{"ItemNumber":"100954","ProductName":"V-SM Paksoi.Spin.ChinKool","InventoryWarehouseId":"HF","OnHandQuantity":318.3,"TotalAvailableQuantity":318.3,"AvailableOnHandQuantity":318.3,"InventorySiteId":"VEN","dataAreaId":"hgv","ProductColorId":"","ProductConfigurationId":"","ProductSizeId":"","ProductStyleId":""}</t>
  </si>
  <si>
    <t>{"ItemNumber":"100955","ProductName":"V-Sojabonen ONTD UITP","InventoryWarehouseId":"HF","OnHandQuantity":128.62,"TotalAvailableQuantity":83.863,"AvailableOnHandQuantity":128.62,"InventorySiteId":"VEN","dataAreaId":"hgv","ProductColorId":"","ProductConfigurationId":"","ProductSizeId":"","ProductStyleId":""}</t>
  </si>
  <si>
    <t>{"ItemNumber":"100956","ProductName":"V-Sojabonen ONTD","InventoryWarehouseId":"GR","OnHandQuantity":0,"TotalAvailableQuantity":630,"AvailableOnHandQuantity":0,"InventorySiteId":"VEN","dataAreaId":"hgv","ProductColorId":"","ProductConfigurationId":"","ProductSizeId":"","ProductStyleId":""}</t>
  </si>
  <si>
    <t>{"ItemNumber":"100957","ProductName":"V-Broccoli RO-20","InventoryWarehouseId":"HF","OnHandQuantity":271.979,"TotalAvailableQuantity":286.3,"AvailableOnHandQuantity":271.979,"InventorySiteId":"VEN","dataAreaId":"hgv","ProductColorId":"","ProductConfigurationId":"","ProductSizeId":"","ProductStyleId":""}</t>
  </si>
  <si>
    <t>{"ItemNumber":"100962","ProductName":"V-Cranberry gedr UITP","InventoryWarehouseId":"HF","OnHandQuantity":17.34,"TotalAvailableQuantity":17.34,"AvailableOnHandQuantity":17.34,"InventorySiteId":"VEN","dataAreaId":"hgv","ProductColorId":"","ProductConfigurationId":"","ProductSizeId":"","ProductStyleId":""}</t>
  </si>
  <si>
    <t>{"ItemNumber":"100963","ProductName":"V-GM Komkommer.Radijs stift","InventoryWarehouseId":"HF","OnHandQuantity":0,"TotalAvailableQuantity":5.1,"AvailableOnHandQuantity":0,"InventorySiteId":"VEN","dataAreaId":"hgv","ProductColorId":"","ProductConfigurationId":"","ProductSizeId":"","ProductStyleId":""}</t>
  </si>
  <si>
    <t>{"ItemNumber":"100964","ProductName":"V-Winterpeen geel ST-02","InventoryWarehouseId":"HF","OnHandQuantity":0,"TotalAvailableQuantity":-4.371,"AvailableOnHandQuantity":0,"InventorySiteId":"VEN","dataAreaId":"hgv","ProductColorId":"","ProductConfigurationId":"","ProductSizeId":"","ProductStyleId":""}</t>
  </si>
  <si>
    <t>{"ItemNumber":"100965","ProductName":"V-GM Rodekool.Peengeel 65/35","InventoryWarehouseId":"HF","OnHandQuantity":40.95,"TotalAvailableQuantity":40.95,"AvailableOnHandQuantity":40.95,"InventorySiteId":"VEN","dataAreaId":"hgv","ProductColorId":"","ProductConfigurationId":"","ProductSizeId":"","ProductStyleId":""}</t>
  </si>
  <si>
    <t>{"ItemNumber":"100966","ProductName":"V-GM Komk.Tom.Bosui.Peterselie","InventoryWarehouseId":"HF","OnHandQuantity":0,"TotalAvailableQuantity":0,"AvailableOnHandQuantity":0,"InventorySiteId":"VEN","dataAreaId":"hgv","ProductColorId":"","ProductConfigurationId":"","ProductSizeId":"","ProductStyleId":""}</t>
  </si>
  <si>
    <t>{"ItemNumber":"100969","ProductName":"V-HM Bonen.Pap.Tom.Komk.Bruch","InventoryWarehouseId":"HF","OnHandQuantity":265.45,"TotalAvailableQuantity":265.45,"AvailableOnHandQuantity":265.45,"InventorySiteId":"VEN","dataAreaId":"hgv","ProductColorId":"","ProductConfigurationId":"","ProductSizeId":"","ProductStyleId":""}</t>
  </si>
  <si>
    <t>{"ItemNumber":"10097","ProductName":"Salanova groen kg","InventoryWarehouseId":"GR","OnHandQuantity":3483,"TotalAvailableQuantity":3483,"AvailableOnHandQuantity":3483,"InventorySiteId":"VEN","dataAreaId":"hgv","ProductColorId":"","ProductConfigurationId":"","ProductSizeId":"","ProductStyleId":""}</t>
  </si>
  <si>
    <t>{"ItemNumber":"100975","ProductName":"V-Biet A ST-03 rauw","InventoryWarehouseId":"HF","OnHandQuantity":22.6,"TotalAvailableQuantity":22.6,"AvailableOnHandQuantity":22.6,"InventorySiteId":"VEN","dataAreaId":"hgv","ProductColorId":"","ProductConfigurationId":"","ProductSizeId":"","ProductStyleId":""}</t>
  </si>
  <si>
    <t>{"ItemNumber":"100977","ProductName":"V-Gez bloemkl UITL/UITP","InventoryWarehouseId":"HF","OnHandQuantity":0,"TotalAvailableQuantity":0,"AvailableOnHandQuantity":0,"InventorySiteId":"VEN","dataAreaId":"hgv","ProductColorId":"","ProductConfigurationId":"","ProductSizeId":"","ProductStyleId":""}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</si>
  <si>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{"ItemNumber":"100978","ProductName":"V-Witte bonen ONTD UITP","InventoryWarehouseId":"HF","OnHandQuantity":8.02,"TotalAvailableQuantity":8.02,"AvailableOnHandQuantity":8.02,"InventorySiteId":"VEN","dataAreaId":"hgv","ProductColorId":"","ProductConfigurationId":"","ProductSizeId":"","ProductStyleId":""}</t>
  </si>
  <si>
    <t>{"ItemNumber":"100979","ProductName":"V-Witte Bonen ONTD","InventoryWarehouseId":"GR","OnHandQuantity":0,"TotalAvailableQuantity":10,"AvailableOnHandQuantity":0,"InventorySiteId":"VEN","dataAreaId":"hgv","ProductColorId":"","ProductConfigurationId":"","ProductSizeId":"","ProductStyleId":""}</t>
  </si>
  <si>
    <t>{"ItemNumber":"100982","ProductName":"V-HM Broccoli.Quinoa.Groene Spelt.Mango","InventoryWarehouseId":"HF","OnHandQuantity":19.3,"TotalAvailableQuantity":19.3,"AvailableOnHandQuantity":19.3,"InventorySiteId":"VEN","dataAreaId":"hgv","ProductColorId":"","ProductConfigurationId":"","ProductSizeId":"","ProductStyleId":""}</t>
  </si>
  <si>
    <t>{"ItemNumber":"100983","ProductName":"V-Broccoli ST-03x10","InventoryWarehouseId":"HF","OnHandQuantity":28.96,"TotalAvailableQuantity":28.96,"AvailableOnHandQuantity":28.96,"InventorySiteId":"VEN","dataAreaId":"hgv","ProductColorId":"","ProductConfigurationId":"","ProductSizeId":"","ProductStyleId":""}</t>
  </si>
  <si>
    <t>{"ItemNumber":"100984","ProductName":"V-Mango flakes ONTD","InventoryWarehouseId":"GR","OnHandQuantity":0,"TotalAvailableQuantity":0,"AvailableOnHandQuantity":0,"InventorySiteId":"VEN","dataAreaId":"hgv","ProductColorId":"","ProductConfigurationId":"","ProductSizeId":"","ProductStyleId":""}</t>
  </si>
  <si>
    <t>{"ItemNumber":"100986","ProductName":"V-Uien wit BL-05x05","InventoryWarehouseId":"HF","OnHandQuantity":552.6,"TotalAvailableQuantity":552.6,"AvailableOnHandQuantity":552.6,"InventorySiteId":"VEN","dataAreaId":"hgv","ProductColorId":"","ProductConfigurationId":"","ProductSizeId":"","ProductStyleId":""}</t>
  </si>
  <si>
    <t>{"ItemNumber":"100988","ProductName":"V-Zalmsnip ger ASC UITL/UITP","InventoryWarehouseId":"HF","OnHandQuantity":0,"TotalAvailableQuantity":0,"AvailableOnHandQuantity":0,"InventorySiteId":"VEN","dataAreaId":"hgv","ProductColorId":"","ProductConfigurationId":"","ProductSizeId":"","ProductStyleId":""}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</si>
  <si>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{"ItemNumber":"100993","ProductName":"V-GM Spitskool Paars.Peen","InventoryWarehouseId":"HF","OnHandQuantity":26.45,"TotalAvailableQuantity":26.45,"AvailableOnHandQuantity":26.45,"InventorySiteId":"VEN","dataAreaId":"hgv","ProductColorId":"","ProductConfigurationId":"","ProductSizeId":"","ProductStyleId":""}</t>
  </si>
  <si>
    <t>{"ItemNumber":"100994","ProductName":"V-Spitskool Paars EN-02","InventoryWarehouseId":"HF","OnHandQuantity":5.59,"TotalAvailableQuantity":5.59,"AvailableOnHandQuantity":5.59,"InventorySiteId":"VEN","dataAreaId":"hgv","ProductColorId":"","ProductConfigurationId":"","ProductSizeId":"","ProductStyleId":""}</t>
  </si>
  <si>
    <t>{"ItemNumber":"100995","ProductName":"V-HM Broccoli.Linzen.Paprika.Granaatappelpit","InventoryWarehouseId":"HF","OnHandQuantity":168.22,"TotalAvailableQuantity":168.22,"AvailableOnHandQuantity":168.22,"InventorySiteId":"VEN","dataAreaId":"hgv","ProductColorId":"","ProductConfigurationId":"","ProductSizeId":"","ProductStyleId":""}</t>
  </si>
  <si>
    <t>{"ItemNumber":"100996","ProductName":"V-Radijs ST-03","InventoryWarehouseId":"HF","OnHandQuantity":45.297,"TotalAvailableQuantity":45.297,"AvailableOnHandQuantity":45.297,"InventorySiteId":"VEN","dataAreaId":"hgv","ProductColorId":"","ProductConfigurationId":"","ProductSizeId":"","ProductStyleId":""}</t>
  </si>
  <si>
    <t>{"ItemNumber":"101","ProductName":"CBL 7","InventoryWarehouseId":"EP","OnHandQuantity":75322,"TotalAvailableQuantity":445073,"AvailableOnHandQuantity":75322,"InventorySiteId":"VEN","dataAreaId":"hgv","ProductColorId":"","ProductConfigurationId":"","ProductSizeId":"","ProductStyleId":""}</t>
  </si>
  <si>
    <t>{"ItemNumber":"101","ProductName":"CBL 7","InventoryWarehouseId":"GR","OnHandQuantity":97857,"TotalAvailableQuantity":97857,"AvailableOnHandQuantity":97857,"InventorySiteId":"VEN","dataAreaId":"hgv","ProductColorId":"","ProductConfigurationId":"","ProductSizeId":"","ProductStyleId":""}</t>
  </si>
  <si>
    <t>{"ItemNumber":"101002","ProductName":"V-Komkommer ST-07","InventoryWarehouseId":"HF","OnHandQuantity":43.744,"TotalAvailableQuantity":43.744,"AvailableOnHandQuantity":43.744,"InventorySiteId":"VEN","dataAreaId":"hgv","ProductColorId":"","ProductConfigurationId":"","ProductSizeId":"","ProductStyleId":""}</t>
  </si>
  <si>
    <t>{"ItemNumber":"101004","ProductName":"V-Geitenkaas honing 7g UITP","InventoryWarehouseId":"HF","OnHandQuantity":19.71,"TotalAvailableQuantity":19.71,"AvailableOnHandQuantity":19.71,"InventorySiteId":"VEN","dataAreaId":"hgv","ProductColorId":"","ProductConfigurationId":"","ProductSizeId":"","ProductStyleId":""}</t>
  </si>
  <si>
    <t>{"ItemNumber":"101009","ProductName":"V-Triogrillgr ONTD","InventoryWarehouseId":"GR","OnHandQuantity":0,"TotalAvailableQuantity":6.5,"AvailableOnHandQuantity":0,"InventorySiteId":"VEN","dataAreaId":"hgv","ProductColorId":"","ProductConfigurationId":"","ProductSizeId":"","ProductStyleId":""}</t>
  </si>
  <si>
    <t>{"ItemNumber":"10101","ProductName":"Expedition sla GROEN kg","InventoryWarehouseId":"GR","OnHandQuantity":0,"TotalAvailableQuantity":2179.434,"AvailableOnHandQuantity":0,"InventorySiteId":"VEN","dataAreaId":"hgv","ProductColorId":"","ProductConfigurationId":"","ProductSizeId":"","ProductStyleId":""}</t>
  </si>
  <si>
    <t>{"ItemNumber":"101010","ProductName":"V-Triogrillgr ONTD UITP","InventoryWarehouseId":"HF","OnHandQuantity":4.96,"TotalAvailableQuantity":4.96,"AvailableOnHandQuantity":4.96,"InventorySiteId":"VEN","dataAreaId":"hgv","ProductColorId":"","ProductConfigurationId":"","ProductSizeId":"","ProductStyleId":""}</t>
  </si>
  <si>
    <t>{"ItemNumber":"101011","ProductName":"V-Tomaat pruim BL-20x20","InventoryWarehouseId":"HF","OnHandQuantity":140.3,"TotalAvailableQuantity":108.173,"AvailableOnHandQuantity":140.3,"InventorySiteId":"VEN","dataAreaId":"hgv","ProductColorId":"","ProductConfigurationId":"","ProductSizeId":"","ProductStyleId":""}</t>
  </si>
  <si>
    <t>{"ItemNumber":"101012","ProductName":"V-HM Orzo.Paprika Rood","InventoryWarehouseId":"HF","OnHandQuantity":574.8,"TotalAvailableQuantity":574.8,"AvailableOnHandQuantity":574.8,"InventorySiteId":"VEN","dataAreaId":"hgv","ProductColorId":"","ProductConfigurationId":"","ProductSizeId":"","ProductStyleId":""}</t>
  </si>
  <si>
    <t>{"ItemNumber":"101013","ProductName":"V-Paprika geel BL-20x20","InventoryWarehouseId":"HF","OnHandQuantity":48.286,"TotalAvailableQuantity":48.286,"AvailableOnHandQuantity":48.286,"InventorySiteId":"VEN","dataAreaId":"hgv","ProductColorId":"","ProductConfigurationId":"","ProductSizeId":"","ProductStyleId":""}</t>
  </si>
  <si>
    <t>{"ItemNumber":"101014","ProductName":"V-GM Tomaat.Komkommer.Paprika Geel","InventoryWarehouseId":"HF","OnHandQuantity":18.35,"TotalAvailableQuantity":18.35,"AvailableOnHandQuantity":18.35,"InventorySiteId":"VEN","dataAreaId":"hgv","ProductColorId":"","ProductConfigurationId":"","ProductSizeId":"","ProductStyleId":""}</t>
  </si>
  <si>
    <t>{"ItemNumber":"101015","ProductName":"V-HM Kip Gyros.Tomaat cherry zongedroogd","InventoryWarehouseId":"HF","OnHandQuantity":298.75,"TotalAvailableQuantity":296.65,"AvailableOnHandQuantity":298.75,"InventorySiteId":"VEN","dataAreaId":"hgv","ProductColorId":"","ProductConfigurationId":"","ProductSizeId":"","ProductStyleId":""}</t>
  </si>
  <si>
    <t>{"ItemNumber":"101016","ProductName":"V-Kip Gyros BL1-K1 ONTD","InventoryWarehouseId":"GR","OnHandQuantity":0,"TotalAvailableQuantity":50,"AvailableOnHandQuantity":0,"InventorySiteId":"VEN","dataAreaId":"hgv","ProductColorId":"","ProductConfigurationId":"","ProductSizeId":"","ProductStyleId":""}</t>
  </si>
  <si>
    <t>{"ItemNumber":"101019","ProductName":"V-HM Rijst Wit.Sperzieboon","InventoryWarehouseId":"HF","OnHandQuantity":234.75,"TotalAvailableQuantity":234.75,"AvailableOnHandQuantity":234.75,"InventorySiteId":"VEN","dataAreaId":"hgv","ProductColorId":"","ProductConfigurationId":"","ProductSizeId":"","ProductStyleId":""}</t>
  </si>
  <si>
    <t>{"ItemNumber":"101020","ProductName":"V-Volkoren gramigna (dragon-basilicum) UITP","InventoryWarehouseId":"HF","OnHandQuantity":699.25,"TotalAvailableQuantity":699.25,"AvailableOnHandQuantity":699.25,"InventorySiteId":"VEN","dataAreaId":"hgv","ProductColorId":"","ProductConfigurationId":"","ProductSizeId":"","ProductStyleId":""}</t>
  </si>
  <si>
    <t>{"ItemNumber":"101023","ProductName":"V-Mozzarel Bol 5g T UITL/UITP","InventoryWarehouseId":"HF","OnHandQuantity":29.17,"TotalAvailableQuantity":29.17,"AvailableOnHandQuantity":29.17,"InventorySiteId":"VEN","dataAreaId":"hgv","ProductColorId":"","ProductConfigurationId":"","ProductSizeId":"","ProductStyleId":""}</t>
  </si>
  <si>
    <t>{"ItemNumber":"101040","ProductName":"V-HM Kikkererwt.Tomaat.Olijf.Za'tar","InventoryWarehouseId":"HF","OnHandQuantity":2.1,"TotalAvailableQuantity":2.1,"AvailableOnHandQuantity":2.1,"InventorySiteId":"VEN","dataAreaId":"hgv","ProductColorId":"","ProductConfigurationId":"","ProductSizeId":"","ProductStyleId":""}</t>
  </si>
  <si>
    <t>{"ItemNumber":"101043","ProductName":"V-Andijvie EN-10 GROF","InventoryWarehouseId":"HF","OnHandQuantity":1534.3,"TotalAvailableQuantity":1534.3,"AvailableOnHandQuantity":1534.3,"InventorySiteId":"VEN","dataAreaId":"hgv","ProductColorId":"","ProductConfigurationId":"","ProductSizeId":"","ProductStyleId":""}</t>
  </si>
  <si>
    <t>{"ItemNumber":"101044","ProductName":"V-Witte quinoa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</si>
  <si>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{"ItemNumber":"10105","ProductName":"Doperwten gekookt IQF","InventoryWarehouseId":"GR","OnHandQuantity":2585,"TotalAvailableQuantity":865,"AvailableOnHandQuantity":2475,"InventorySiteId":"VEN","dataAreaId":"hgv","ProductColorId":"","ProductConfigurationId":"","ProductSizeId":"","ProductStyleId":""}</t>
  </si>
  <si>
    <t>{"ItemNumber":"101053","ProductName":"V-Geitenkaas crumble UITP","InventoryWarehouseId":"HF","OnHandQuantity":20.96,"TotalAvailableQuantity":20.96,"AvailableOnHandQuantity":20.96,"InventorySiteId":"VEN","dataAreaId":"hgv","ProductColorId":"","ProductConfigurationId":"","ProductSizeId":"","ProductStyleId":""}</t>
  </si>
  <si>
    <t>{"ItemNumber":"101054","ProductName":"V-Witte kaas blok 12mm UITP","InventoryWarehouseId":"HF","OnHandQuantity":14.88,"TotalAvailableQuantity":-13.98,"AvailableOnHandQuantity":14.88,"InventorySiteId":"VEN","dataAreaId":"hgv","ProductColorId":"","ProductConfigurationId":"","ProductSizeId":"","ProductStyleId":""}</t>
  </si>
  <si>
    <t>{"ItemNumber":"101057","ProductName":"V-Rijst wild wit aangezuurd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</si>
  <si>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{"ItemNumber":"101058","ProductName":"V-Erwten scheuten groen UITP","InventoryWarehouseId":"HF","OnHandQuantity":1.53,"TotalAvailableQuantity":1.53,"AvailableOnHandQuantity":1.53,"InventorySiteId":"VEN","dataAreaId":"hgv","ProductColorId":"","ProductConfigurationId":"","ProductSizeId":"","ProductStyleId":""}</t>
  </si>
  <si>
    <t>{"ItemNumber":"101059","ProductName":"V-HM Rodekool.Opgiet","InventoryWarehouseId":"HF","OnHandQuantity":0,"TotalAvailableQuantity":0,"AvailableOnHandQuantity":0,"InventorySiteId":"VEN","dataAreaId":"hgv","ProductColorId":"","ProductConfigurationId":"","ProductSizeId":"","ProductStyleId":""}</t>
  </si>
  <si>
    <t>{"ItemNumber":"101060","ProductName":"V-Granaatappelpit UITP","InventoryWarehouseId":"HF","OnHandQuantity":4.98,"TotalAvailableQuantity":-16.968,"AvailableOnHandQuantity":4.98,"InventorySiteId":"VEN","dataAreaId":"hgv","ProductColorId":"","ProductConfigurationId":"","ProductSizeId":"","ProductStyleId":""}</t>
  </si>
  <si>
    <t>{"ItemNumber":"101061","ProductName":"V-Bio Rucola gewassen","InventoryWarehouseId":"HF","OnHandQuantity":3.201,"TotalAvailableQuantity":3.201,"AvailableOnHandQuantity":3.201,"InventorySiteId":"VEN","dataAreaId":"hgv","ProductColorId":"","ProductConfigurationId":"","ProductSizeId":"","ProductStyleId":""}</t>
  </si>
  <si>
    <t>{"ItemNumber":"101062","ProductName":"V-Groene spelt aangezuurd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</si>
  <si>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{"ItemNumber":"101070","ProductName":"V-HM Conchlig.Bloemk.Pap.R+G.Leccino Olijf.Ui Wit.Mar.Pesto","InventoryWarehouseId":"HF","OnHandQuantity":0,"TotalAvailableQuantity":0,"AvailableOnHandQuantity":0,"InventorySiteId":"VEN","dataAreaId":"hgv","ProductColorId":"","ProductConfigurationId":"","ProductSizeId":"","ProductStyleId":""}</t>
  </si>
  <si>
    <t>{"ItemNumber":"101071","ProductName":"V-HM Komkommer.Radijs plak.Sojaboon","InventoryWarehouseId":"HF","OnHandQuantity":2.15,"TotalAvailableQuantity":2.15,"AvailableOnHandQuantity":2.15,"InventorySiteId":"VEN","dataAreaId":"hgv","ProductColorId":"","ProductConfigurationId":"","ProductSizeId":"","ProductStyleId":""}</t>
  </si>
  <si>
    <t>{"ItemNumber":"101079","ProductName":"V-Courgette BL-13x13","InventoryWarehouseId":"HF","OnHandQuantity":133.38,"TotalAvailableQuantity":372.964,"AvailableOnHandQuantity":133.38,"InventorySiteId":"VEN","dataAreaId":"hgv","ProductColorId":"","ProductConfigurationId":"","ProductSizeId":"","ProductStyleId":""}</t>
  </si>
  <si>
    <t>{"ItemNumber":"101082","ProductName":"V-Leccino olijf zpit UITL UITP","InventoryWarehouseId":"HF","OnHandQuantity":4.46,"TotalAvailableQuantity":4.46,"AvailableOnHandQuantity":4.46,"InventorySiteId":"VEN","dataAreaId":"hgv","ProductColorId":"","ProductConfigurationId":"","ProductSizeId":"","ProductStyleId":""}</t>
  </si>
  <si>
    <t>{"ItemNumber":"101083","ProductName":"V-Kip Gyros BL1-K1 ONTD UITP","InventoryWarehouseId":"HF","OnHandQuantity":0,"TotalAvailableQuantity":-37.857,"AvailableOnHandQuantity":0,"InventorySiteId":"VEN","dataAreaId":"hgv","ProductColorId":"","ProductConfigurationId":"","ProductSizeId":"","ProductStyleId":""}</t>
  </si>
  <si>
    <t>{"ItemNumber":"101084","ProductName":"V-Cherry tomaten gekruid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</si>
  <si>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{"ItemNumber":"101086","ProductName":"V-Wakame zeewier ONTD/UITP","InventoryWarehouseId":"HF","OnHandQuantity":1.8,"TotalAvailableQuantity":31.8,"AvailableOnHandQuantity":1.8,"InventorySiteId":"VEN","dataAreaId":"hgv","ProductColorId":"","ProductConfigurationId":"","ProductSizeId":"","ProductStyleId":""}</t>
  </si>
  <si>
    <t>{"ItemNumber":"101088","ProductName":"V-GM Komkommer.Peen","InventoryWarehouseId":"HF","OnHandQuantity":0.05,"TotalAvailableQuantity":0.05,"AvailableOnHandQuantity":0.05,"InventorySiteId":"VEN","dataAreaId":"hgv","ProductColorId":"","ProductConfigurationId":"","ProductSizeId":"","ProductStyleId":""}</t>
  </si>
  <si>
    <t>{"ItemNumber":"101092","ProductName":"V-Kip Spicy BL1-K1 ONTD","InventoryWarehouseId":"GR","OnHandQuantity":0,"TotalAvailableQuantity":40,"AvailableOnHandQuantity":0,"InventorySiteId":"VEN","dataAreaId":"hgv","ProductColorId":"","ProductConfigurationId":"","ProductSizeId":"","ProductStyleId":""}</t>
  </si>
  <si>
    <t>{"ItemNumber":"101093","ProductName":"V-Kip spicy BL1-K1 ONTD UITP","InventoryWarehouseId":"HF","OnHandQuantity":141.2,"TotalAvailableQuantity":141.2,"AvailableOnHandQuantity":141.2,"InventorySiteId":"VEN","dataAreaId":"hgv","ProductColorId":"","ProductConfigurationId":"","ProductSizeId":"","ProductStyleId":""}</t>
  </si>
  <si>
    <t>{"ItemNumber":"101094","ProductName":"V-GM Komkommer.Paprika.Ui Rood","InventoryWarehouseId":"HF","OnHandQuantity":48.2,"TotalAvailableQuantity":48.2,"AvailableOnHandQuantity":48.2,"InventorySiteId":"VEN","dataAreaId":"hgv","ProductColorId":"","ProductConfigurationId":"","ProductSizeId":"","ProductStyleId":""}</t>
  </si>
  <si>
    <t>{"ItemNumber":"101097","ProductName":"V-Bieslook EN-15","InventoryWarehouseId":"HF","OnHandQuantity":0,"TotalAvailableQuantity":0,"AvailableOnHandQuantity":0,"InventorySiteId":"VEN","dataAreaId":"hgv","ProductColorId":"","ProductConfigurationId":"","ProductSizeId":"","ProductStyleId":""}</t>
  </si>
  <si>
    <t>{"ItemNumber":"101100","ProductName":"V-Tauge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</si>
  <si>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{"ItemNumber":"101109","ProductName":"V-Baby Spinazie gewassen","InventoryWarehouseId":"HF","OnHandQuantity":14.34,"TotalAvailableQuantity":14.34,"AvailableOnHandQuantity":14.34,"InventorySiteId":"VEN","dataAreaId":"hgv","ProductColorId":"","ProductConfigurationId":"","ProductSizeId":"","ProductStyleId":""}</t>
  </si>
  <si>
    <t>{"ItemNumber":"101111","ProductName":"V-HM Orzo.Broc.Courg.Doperwt.Peterselie.Bieslook.Pesto","InventoryWarehouseId":"HF","OnHandQuantity":12.8,"TotalAvailableQuantity":12.8,"AvailableOnHandQuantity":12.8,"InventorySiteId":"VEN","dataAreaId":"hgv","ProductColorId":"","ProductConfigurationId":"","ProductSizeId":"","ProductStyleId":""}</t>
  </si>
  <si>
    <t>{"ItemNumber":"101112","ProductName":"V-Peterselie EN-06","InventoryWarehouseId":"HF","OnHandQuantity":10.76,"TotalAvailableQuantity":10.76,"AvailableOnHandQuantity":10.76,"InventorySiteId":"VEN","dataAreaId":"hgv","ProductColorId":"","ProductConfigurationId":"","ProductSizeId":"","ProductStyleId":""}</t>
  </si>
  <si>
    <t>{"ItemNumber":"101119","ProductName":"V-Appel groen BL-10x10 UITP","InventoryWarehouseId":"HF","OnHandQuantity":60.62,"TotalAvailableQuantity":52.514,"AvailableOnHandQuantity":60.62,"InventorySiteId":"VEN","dataAreaId":"hgv","ProductColorId":"","ProductConfigurationId":"","ProductSizeId":"","ProductStyleId":""}</t>
  </si>
  <si>
    <t>{"ItemNumber":"101125","ProductName":"V-HM Biet.Rogge.Appel.Rode kool.Opgiet","InventoryWarehouseId":"HF","OnHandQuantity":8.6,"TotalAvailableQuantity":8.6,"AvailableOnHandQuantity":8.6,"InventorySiteId":"VEN","dataAreaId":"hgv","ProductColorId":"","ProductConfigurationId":"","ProductSizeId":"","ProductStyleId":""}</t>
  </si>
  <si>
    <t>{"ItemNumber":"101127","ProductName":"V-Boerenkool EN-10 GROF","InventoryWarehouseId":"HF","OnHandQuantity":261.445,"TotalAvailableQuantity":-25.306,"AvailableOnHandQuantity":261.445,"InventorySiteId":"VEN","dataAreaId":"hgv","ProductColorId":"","ProductConfigurationId":"","ProductSizeId":"","ProductStyleId":""}</t>
  </si>
  <si>
    <t>{"ItemNumber":"101128","ProductName":"V-HM Kipdij BL1-K1.Indian Mystery","InventoryWarehouseId":"HF","OnHandQuantity":85.15,"TotalAvailableQuantity":85.15,"AvailableOnHandQuantity":85.15,"InventorySiteId":"VEN","dataAreaId":"hgv","ProductColorId":"","ProductConfigurationId":"","ProductSizeId":"","ProductStyleId":""}</t>
  </si>
  <si>
    <t>{"ItemNumber":"101129","ProductName":"V-GM Boerenkool.Spitskool","InventoryWarehouseId":"HF","OnHandQuantity":0,"TotalAvailableQuantity":0,"AvailableOnHandQuantity":0,"InventorySiteId":"VEN","dataAreaId":"hgv","ProductColorId":"","ProductConfigurationId":"","ProductSizeId":"","ProductStyleId":""}</t>
  </si>
  <si>
    <t>{"ItemNumber":"101130","ProductName":"V-GM Paarse SpitsKool.SpitsKool","InventoryWarehouseId":"HF","OnHandQuantity":2.2,"TotalAvailableQuantity":2.2,"AvailableOnHandQuantity":2.2,"InventorySiteId":"VEN","dataAreaId":"hgv","ProductColorId":"","ProductConfigurationId":"","ProductSizeId":"","ProductStyleId":""}</t>
  </si>
  <si>
    <t>{"ItemNumber":"101131","ProductName":"V-Prei EN-03","InventoryWarehouseId":"HF","OnHandQuantity":520.36,"TotalAvailableQuantity":520.36,"AvailableOnHandQuantity":520.36,"InventorySiteId":"VEN","dataAreaId":"hgv","ProductColorId":"","ProductConfigurationId":"","ProductSizeId":"","ProductStyleId":""}</t>
  </si>
  <si>
    <t>{"ItemNumber":"101132","ProductName":"V-GM Prei.Spitskool.Boerenkool","InventoryWarehouseId":"HF","OnHandQuantity":2.15,"TotalAvailableQuantity":2.15,"AvailableOnHandQuantity":2.15,"InventorySiteId":"VEN","dataAreaId":"hgv","ProductColorId":"","ProductConfigurationId":"","ProductSizeId":"","ProductStyleId":""}</t>
  </si>
  <si>
    <t>{"ItemNumber":"101144","ProductName":"V-Rogge UITP","InventoryWarehouseId":"HF","OnHandQuantity":1.96,"TotalAvailableQuantity":1.96,"AvailableOnHandQuantity":1.96,"InventorySiteId":"VEN","dataAreaId":"hgv","ProductColorId":"","ProductConfigurationId":"","ProductSizeId":"","ProductStyleId":""}</t>
  </si>
  <si>
    <t>{"ItemNumber":"101148","ProductName":"V-Bio Spinazie gewassen","InventoryWarehouseId":"HF","OnHandQuantity":3801.645,"TotalAvailableQuantity":3801.645,"AvailableOnHandQuantity":3801.645,"InventorySiteId":"VEN","dataAreaId":"hgv","ProductColorId":"","ProductConfigurationId":"","ProductSizeId":"","ProductStyleId":""}</t>
  </si>
  <si>
    <t>{"ItemNumber":"101152","ProductName":"V-SM Frisee.LBionda.LRosso","InventoryWarehouseId":"HF","OnHandQuantity":105.6,"TotalAvailableQuantity":105.6,"AvailableOnHandQuantity":105.6,"InventorySiteId":"VEN","dataAreaId":"hgv","ProductColorId":"","ProductConfigurationId":"","ProductSizeId":"","ProductStyleId":""}</t>
  </si>
  <si>
    <t>{"ItemNumber":"101154","ProductName":"V-Boerenkool PLP EN-05 FIJN","InventoryWarehouseId":"HF","OnHandQuantity":1634.747,"TotalAvailableQuantity":485.489,"AvailableOnHandQuantity":1634.747,"InventorySiteId":"VEN","dataAreaId":"hgv","ProductColorId":"","ProductConfigurationId":"","ProductSizeId":"","ProductStyleId":""}</t>
  </si>
  <si>
    <t>{"ItemNumber":"101155","ProductName":"V-Bio Boerenkool EN-10","InventoryWarehouseId":"HF","OnHandQuantity":31.208,"TotalAvailableQuantity":31.208,"AvailableOnHandQuantity":31.208,"InventorySiteId":"VEN","dataAreaId":"hgv","ProductColorId":"","ProductConfigurationId":"","ProductSizeId":"","ProductStyleId":""}</t>
  </si>
  <si>
    <t>{"ItemNumber":"101159","ProductName":"V-SM ChinKool.Paksoi,Radicchio","InventoryWarehouseId":"HF","OnHandQuantity":267.5,"TotalAvailableQuantity":267.5,"AvailableOnHandQuantity":267.5,"InventorySiteId":"VEN","dataAreaId":"hgv","ProductColorId":"","ProductConfigurationId":"","ProductSizeId":"","ProductStyleId":""}</t>
  </si>
  <si>
    <t>{"ItemNumber":"10116","ProductName":"Tomaten Pruim MM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</si>
  <si>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{"ItemNumber":"101166","ProductName":"V-SM Veldsla.Rucola 50 50","InventoryWarehouseId":"HF","OnHandQuantity":52.96,"TotalAvailableQuantity":52.96,"AvailableOnHandQuantity":52.96,"InventorySiteId":"VEN","dataAreaId":"hgv","ProductColorId":"","ProductConfigurationId":"","ProductSizeId":"","ProductStyleId":""}</t>
  </si>
  <si>
    <t>{"ItemNumber":"10117","ProductName":"BIO Veldsla kg","InventoryWarehouseId":"GR","OnHandQuantity":75,"TotalAvailableQuantity":808,"AvailableOnHandQuantity":75,"InventorySiteId":"VEN","dataAreaId":"hgv","ProductColorId":"","ProductConfigurationId":"","ProductSizeId":"","ProductStyleId":""}</t>
  </si>
  <si>
    <t>{"ItemNumber":"101170","ProductName":"V-Paprika rood BL-30x30","InventoryWarehouseId":"HF","OnHandQuantity":6.747,"TotalAvailableQuantity":6.747,"AvailableOnHandQuantity":6.747,"InventorySiteId":"VEN","dataAreaId":"hgv","ProductColorId":"","ProductConfigurationId":"","ProductSizeId":"","ProductStyleId":""}</t>
  </si>
  <si>
    <t>{"ItemNumber":"101172","ProductName":"V-Uien rood ST-20","InventoryWarehouseId":"HF","OnHandQuantity":41.6,"TotalAvailableQuantity":41.6,"AvailableOnHandQuantity":41.6,"InventorySiteId":"VEN","dataAreaId":"hgv","ProductColorId":"","ProductConfigurationId":"","ProductSizeId":"","ProductStyleId":""}</t>
  </si>
  <si>
    <t>{"ItemNumber":"101173","ProductName":"V-Kast champ PL-05","InventoryWarehouseId":"HF","OnHandQuantity":522.188,"TotalAvailableQuantity":475.192,"AvailableOnHandQuantity":522.188,"InventorySiteId":"VEN","dataAreaId":"hgv","ProductColorId":"","ProductConfigurationId":"","ProductSizeId":"","ProductStyleId":""}</t>
  </si>
  <si>
    <t>{"ItemNumber":"101177","ProductName":"V-Komkommer behandeld PL-1.5","InventoryWarehouseId":"HF","OnHandQuantity":197.077,"TotalAvailableQuantity":11.471,"AvailableOnHandQuantity":197.077,"InventorySiteId":"VEN","dataAreaId":"hgv","ProductColorId":"","ProductConfigurationId":"","ProductSizeId":"","ProductStyleId":""}</t>
  </si>
  <si>
    <t>{"ItemNumber":"101179","ProductName":"V-HM Roomkomkommersalade","InventoryWarehouseId":"HF","OnHandQuantity":171.6,"TotalAvailableQuantity":174.457,"AvailableOnHandQuantity":171.6,"InventorySiteId":"VEN","dataAreaId":"hgv","ProductColorId":"","ProductConfigurationId":"","ProductSizeId":"","ProductStyleId":""}</t>
  </si>
  <si>
    <t>{"ItemNumber":"101186","ProductName":"V-GM Peen.Radijs.Bosui","InventoryWarehouseId":"HF","OnHandQuantity":0,"TotalAvailableQuantity":0,"AvailableOnHandQuantity":0,"InventorySiteId":"VEN","dataAreaId":"hgv","ProductColorId":"","ProductConfigurationId":"","ProductSizeId":"","ProductStyleId":""}</t>
  </si>
  <si>
    <t>{"ItemNumber":"10119","ProductName":"Abrikoos stukjes gedroogd kg","InventoryWarehouseId":"GR","OnHandQuantity":296.996,"TotalAvailableQuantity":536.996,"AvailableOnHandQuantity":296.996,"InventorySiteId":"VEN","dataAreaId":"hgv","ProductColorId":"","ProductConfigurationId":"","ProductSizeId":"","ProductStyleId":""}</t>
  </si>
  <si>
    <t>{"ItemNumber":"101194","ProductName":"V-Courgette ST-03","InventoryWarehouseId":"HF","OnHandQuantity":0,"TotalAvailableQuantity":0,"AvailableOnHandQuantity":0,"InventorySiteId":"VEN","dataAreaId":"hgv","ProductColorId":"","ProductConfigurationId":"","ProductSizeId":"","ProductStyleId":""}</t>
  </si>
  <si>
    <t>{"ItemNumber":"101195","ProductName":"V-HM Quinoa.Doperwt.Peen.Sojaboon.Broccoli","InventoryWarehouseId":"HF","OnHandQuantity":25.85,"TotalAvailableQuantity":25.85,"AvailableOnHandQuantity":25.85,"InventorySiteId":"VEN","dataAreaId":"hgv","ProductColorId":"","ProductConfigurationId":"","ProductSizeId":"","ProductStyleId":""}</t>
  </si>
  <si>
    <t>{"ItemNumber":"101198","ProductName":"V-HM WKool.Mosterd UITL","InventoryWarehouseId":"HF","OnHandQuantity":284.8,"TotalAvailableQuantity":284.8,"AvailableOnHandQuantity":284.8,"InventorySiteId":"VEN","dataAreaId":"hgv","ProductColorId":"","ProductConfigurationId":"","ProductSizeId":"","ProductStyleId":""}</t>
  </si>
  <si>
    <t>{"ItemNumber":"101200","ProductName":"V-HM Quinoa.Doperwt.Peen.Broccoli","InventoryWarehouseId":"HF","OnHandQuantity":22.95,"TotalAvailableQuantity":22.95,"AvailableOnHandQuantity":22.95,"InventorySiteId":"VEN","dataAreaId":"hgv","ProductColorId":"","ProductConfigurationId":"","ProductSizeId":"","ProductStyleId":""}</t>
  </si>
  <si>
    <t>{"ItemNumber":"101203","ProductName":"V-HM-KipCL.KaasReep","InventoryWarehouseId":"HF","OnHandQuantity":11.8,"TotalAvailableQuantity":-87.995,"AvailableOnHandQuantity":0,"InventorySiteId":"VEN","dataAreaId":"hgv","ProductColorId":"","ProductConfigurationId":"","ProductSizeId":"","ProductStyleId":""}</t>
  </si>
  <si>
    <t>{"ItemNumber":"101206","ProductName":"V-Salanova groen geplukt gewassen","InventoryWarehouseId":"HF","OnHandQuantity":29.7,"TotalAvailableQuantity":29.7,"AvailableOnHandQuantity":29.7,"InventorySiteId":"VEN","dataAreaId":"hgv","ProductColorId":"","ProductConfigurationId":"","ProductSizeId":"","ProductStyleId":""}</t>
  </si>
  <si>
    <t>{"ItemNumber":"101208","ProductName":"V-Dress Teriyaki 50g (11384) UITP","InventoryWarehouseId":"HF","OnHandQuantity":164,"TotalAvailableQuantity":164,"AvailableOnHandQuantity":164,"InventorySiteId":"VEN","dataAreaId":"hgv","ProductColorId":"","ProductConfigurationId":"","ProductSizeId":"","ProductStyleId":""}</t>
  </si>
  <si>
    <t>{"ItemNumber":"10121","ProductName":"Sojabonen IQF","InventoryWarehouseId":"GR","OnHandQuantity":3750,"TotalAvailableQuantity":-1660,"AvailableOnHandQuantity":3090,"InventorySiteId":"VEN","dataAreaId":"hgv","ProductColorId":"","ProductConfigurationId":"","ProductSizeId":"","ProductStyleId":""}</t>
  </si>
  <si>
    <t>{"ItemNumber":"101214","ProductName":"V-HM Courg.Peen.Doperwt.Peters.Appel.Brocc.Radijs","InventoryWarehouseId":"HF","OnHandQuantity":41.25,"TotalAvailableQuantity":26.85,"AvailableOnHandQuantity":27.3,"InventorySiteId":"VEN","dataAreaId":"hgv","ProductColorId":"","ProductConfigurationId":"","ProductSizeId":"","ProductStyleId":""}</t>
  </si>
  <si>
    <t>{"ItemNumber":"101227","ProductName":"V-GM Boerenkool.RKool.WKool.Winterpeen","InventoryWarehouseId":"HF","OnHandQuantity":1420.1,"TotalAvailableQuantity":1375.422,"AvailableOnHandQuantity":1420.1,"InventorySiteId":"VEN","dataAreaId":"hgv","ProductColorId":"","ProductConfigurationId":"","ProductSizeId":"","ProductStyleId":""}</t>
  </si>
  <si>
    <t>{"ItemNumber":"101228","ProductName":"V-HM Bloemk.Bulgur.Cranberry.Peterselie","InventoryWarehouseId":"HF","OnHandQuantity":503.4,"TotalAvailableQuantity":503.4,"AvailableOnHandQuantity":503.4,"InventorySiteId":"VEN","dataAreaId":"hgv","ProductColorId":"","ProductConfigurationId":"","ProductSizeId":"","ProductStyleId":""}</t>
  </si>
  <si>
    <t>{"ItemNumber":"101230","ProductName":"V-GM Boerenkool.Bosui.Spitskool","InventoryWarehouseId":"HF","OnHandQuantity":186.75,"TotalAvailableQuantity":186.75,"AvailableOnHandQuantity":186.75,"InventorySiteId":"VEN","dataAreaId":"hgv","ProductColorId":"","ProductConfigurationId":"","ProductSizeId":"","ProductStyleId":""}</t>
  </si>
  <si>
    <t>{"ItemNumber":"101236","ProductName":"V-Winterpeen ST-07","InventoryWarehouseId":"HF","OnHandQuantity":3888.178,"TotalAvailableQuantity":3888.178,"AvailableOnHandQuantity":3888.178,"InventorySiteId":"VEN","dataAreaId":"hgv","ProductColorId":"","ProductConfigurationId":"","ProductSizeId":"","ProductStyleId":""}</t>
  </si>
  <si>
    <t>{"ItemNumber":"101238","ProductName":"V-Radijsplak Zoetzuur UITL/UITP","InventoryWarehouseId":"HF","OnHandQuantity":10.52,"TotalAvailableQuantity":10.52,"AvailableOnHandQuantity":10.52,"InventorySiteId":"VEN","dataAreaId":"hgv","ProductColorId":"","ProductConfigurationId":"","ProductSizeId":"","ProductStyleId":""}</t>
  </si>
  <si>
    <t>{"ItemNumber":"10124","ProductName":"Marinade marokkaanse kip kg","InventoryWarehouseId":"GR","OnHandQuantity":289.676,"TotalAvailableQuantity":272.755,"AvailableOnHandQuantity":289.676,"InventorySiteId":"VEN","dataAreaId":"hgv","ProductColorId":"","ProductConfigurationId":"","ProductSizeId":"","ProductStyleId":""}</t>
  </si>
  <si>
    <t>{"ItemNumber":"101245","ProductName":"V-Witlof gezuurd EN-10","InventoryWarehouseId":"HF","OnHandQuantity":337.246,"TotalAvailableQuantity":337.246,"AvailableOnHandQuantity":337.246,"InventorySiteId":"VEN","dataAreaId":"hgv","ProductColorId":"","ProductConfigurationId":"","ProductSizeId":"","ProductStyleId":""}</t>
  </si>
  <si>
    <t>{"ItemNumber":"101247","ProductName":"V-Knolselderi Gezuurd ST-02","InventoryWarehouseId":"HF","OnHandQuantity":21.517,"TotalAvailableQuantity":41.517,"AvailableOnHandQuantity":21.517,"InventorySiteId":"VEN","dataAreaId":"hgv","ProductColorId":"","ProductConfigurationId":"","ProductSizeId":"","ProductStyleId":""}</t>
  </si>
  <si>
    <t>{"ItemNumber":"101248","ProductName":"V-HM Pastasalade Tonijn","InventoryWarehouseId":"HF","OnHandQuantity":0,"TotalAvailableQuantity":0,"AvailableOnHandQuantity":0,"InventorySiteId":"VEN","dataAreaId":"hgv","ProductColorId":"","ProductConfigurationId":"","ProductSizeId":"","ProductStyleId":""}</t>
  </si>
  <si>
    <t>{"ItemNumber":"101257","ProductName":"V-Broccoli BL-10x10","InventoryWarehouseId":"HF","OnHandQuantity":80.366,"TotalAvailableQuantity":80.366,"AvailableOnHandQuantity":80.366,"InventorySiteId":"VEN","dataAreaId":"hgv","ProductColorId":"","ProductConfigurationId":"","ProductSizeId":"","ProductStyleId":""}</t>
  </si>
  <si>
    <t>{"ItemNumber":"101258","ProductName":"V-Andijvie EN-06 FIJN","InventoryWarehouseId":"HF","OnHandQuantity":1603.4,"TotalAvailableQuantity":1993.297,"AvailableOnHandQuantity":1603.4,"InventorySiteId":"VEN","dataAreaId":"hgv","ProductColorId":"","ProductConfigurationId":"","ProductSizeId":"","ProductStyleId":""}</t>
  </si>
  <si>
    <t>{"ItemNumber":"10126","ProductName":"Champ kast fijn kg","InventoryWarehouseId":"GR","OnHandQuantity":4473,"TotalAvailableQuantity":20673,"AvailableOnHandQuantity":4473,"InventorySiteId":"VEN","dataAreaId":"hgv","ProductColorId":"","ProductConfigurationId":"","ProductSizeId":"","ProductStyleId":""}</t>
  </si>
  <si>
    <t>{"ItemNumber":"101260","ProductName":"V-SM Batavia.Exp.LRosso","InventoryWarehouseId":"HF","OnHandQuantity":125,"TotalAvailableQuantity":125,"AvailableOnHandQuantity":125,"InventorySiteId":"VEN","dataAreaId":"hgv","ProductColorId":"","ProductConfigurationId":"","ProductSizeId":"","ProductStyleId":""}</t>
  </si>
  <si>
    <t>{"ItemNumber":"101261","ProductName":"V-HM Farmersalade","InventoryWarehouseId":"HF","OnHandQuantity":487.2,"TotalAvailableQuantity":252.651,"AvailableOnHandQuantity":487.2,"InventorySiteId":"VEN","dataAreaId":"hgv","ProductColorId":"","ProductConfigurationId":"","ProductSizeId":"","ProductStyleId":""}</t>
  </si>
  <si>
    <t>{"ItemNumber":"101265","ProductName":"V-Winterpeen geel BL-13x13","InventoryWarehouseId":"HF","OnHandQuantity":9.2,"TotalAvailableQuantity":9.2,"AvailableOnHandQuantity":9.2,"InventorySiteId":"VEN","dataAreaId":"hgv","ProductColorId":"","ProductConfigurationId":"","ProductSizeId":"","ProductStyleId":""}</t>
  </si>
  <si>
    <t>{"ItemNumber":"101267","ProductName":"V-GM Peen.Bleek.Uien Rood","InventoryWarehouseId":"HF","OnHandQuantity":12.65,"TotalAvailableQuantity":12.65,"AvailableOnHandQuantity":12.65,"InventorySiteId":"VEN","dataAreaId":"hgv","ProductColorId":"","ProductConfigurationId":"","ProductSizeId":"","ProductStyleId":""}</t>
  </si>
  <si>
    <t>{"ItemNumber":"101270","ProductName":"V-Bio winterpeen ST-03","InventoryWarehouseId":"HF","OnHandQuantity":0,"TotalAvailableQuantity":0,"AvailableOnHandQuantity":0,"InventorySiteId":"VEN","dataAreaId":"hgv","ProductColorId":"","ProductConfigurationId":"","ProductSizeId":"","ProductStyleId":""}</t>
  </si>
  <si>
    <t>{"ItemNumber":"101271","ProductName":"V-GM Bio WitteKool.Bio Peen","InventoryWarehouseId":"HF","OnHandQuantity":1057.35,"TotalAvailableQuantity":1057.35,"AvailableOnHandQuantity":1057.35,"InventorySiteId":"VEN","dataAreaId":"hgv","ProductColorId":"","ProductConfigurationId":"","ProductSizeId":"","ProductStyleId":""}</t>
  </si>
  <si>
    <t>{"ItemNumber":"101276","ProductName":"V-Volkorenrijst geel met kokos UITP","InventoryWarehouseId":"HF","OnHandQuantity":0,"TotalAvailableQuantity":-23.538,"AvailableOnHandQuantity":0,"InventorySiteId":"VEN","dataAreaId":"hgv","ProductColorId":"","ProductConfigurationId":"","ProductSizeId":"","ProductStyleId":""}</t>
  </si>
  <si>
    <t>{"ItemNumber":"101279","ProductName":"V-HM Volkorenrijst kokos.Bloemkool","InventoryWarehouseId":"HF","OnHandQuantity":173.39,"TotalAvailableQuantity":173.39,"AvailableOnHandQuantity":173.39,"InventorySiteId":"VEN","dataAreaId":"hgv","ProductColorId":"","ProductConfigurationId":"","ProductSizeId":"","ProductStyleId":""}</t>
  </si>
  <si>
    <t>{"ItemNumber":"10128","ProductName":"Champ wit fijn kg","InventoryWarehouseId":"GR","OnHandQuantity":5634.2,"TotalAvailableQuantity":15414.8,"AvailableOnHandQuantity":5634.2,"InventorySiteId":"VEN","dataAreaId":"hgv","ProductColorId":"","ProductConfigurationId":"","ProductSizeId":"","ProductStyleId":""}</t>
  </si>
  <si>
    <t>{"ItemNumber":"101280","ProductName":"V-HM KipFilet BL1-K1 Tandoori Marinade","InventoryWarehouseId":"HF","OnHandQuantity":98.75,"TotalAvailableQuantity":98.75,"AvailableOnHandQuantity":98.75,"InventorySiteId":"VEN","dataAreaId":"hgv","ProductColorId":"","ProductConfigurationId":"","ProductSizeId":"","ProductStyleId":""}</t>
  </si>
  <si>
    <t>{"ItemNumber":"101281","ProductName":"V-HM VolkCous.GegrGrnt.PapR.Bosui.Munt.ZongdrTom.Peter.Biesl","InventoryWarehouseId":"HF","OnHandQuantity":46.1,"TotalAvailableQuantity":46.1,"AvailableOnHandQuantity":46.1,"InventorySiteId":"VEN","dataAreaId":"hgv","ProductColorId":"","ProductConfigurationId":"","ProductSizeId":"","ProductStyleId":""}</t>
  </si>
  <si>
    <t>{"ItemNumber":"101282","ProductName":"V-Gegr Grnt Kemp 20x20 UITL/UITP","InventoryWarehouseId":"HF","OnHandQuantity":0,"TotalAvailableQuantity":0,"AvailableOnHandQuantity":0,"InventorySiteId":"VEN","dataAreaId":"hgv","ProductColorId":"","ProductConfigurationId":"","ProductSizeId":"","ProductStyleId":""}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</si>
  <si>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{"ItemNumber":"101283","ProductName":"V-Zongedr Tomaat 8x8 UITP","InventoryWarehouseId":"HF","OnHandQuantity":9.95,"TotalAvailableQuantity":9.95,"AvailableOnHandQuantity":9.95,"InventorySiteId":"VEN","dataAreaId":"hgv","ProductColorId":"","ProductConfigurationId":"","ProductSizeId":"","ProductStyleId":""}</t>
  </si>
  <si>
    <t>{"ItemNumber":"101284","ProductName":"V-Kimchi UITL/UITP","InventoryWarehouseId":"HF","OnHandQuantity":0,"TotalAvailableQuantity":0,"AvailableOnHandQuantity":0,"InventorySiteId":"VEN","dataAreaId":"hgv","ProductColorId":"","ProductConfigurationId":"","ProductSizeId":"","ProductStyleId":""}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</si>
  <si>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{"ItemNumber":"101286","ProductName":"V-GM Aardzoet.Paprika Rood.Broccoli","InventoryWarehouseId":"HF","OnHandQuantity":17.377,"TotalAvailableQuantity":17.377,"AvailableOnHandQuantity":17.377,"InventorySiteId":"VEN","dataAreaId":"hgv","ProductColorId":"","ProductConfigurationId":"","ProductSizeId":"","ProductStyleId":""}</t>
  </si>
  <si>
    <t>{"ItemNumber":"101287","ProductName":"V-Aard zoet BL-20x20","InventoryWarehouseId":"HF","OnHandQuantity":0,"TotalAvailableQuantity":0,"AvailableOnHandQuantity":0,"InventorySiteId":"VEN","dataAreaId":"hgv","ProductColorId":"","ProductConfigurationId":"","ProductSizeId":"","ProductStyleId":""}</t>
  </si>
  <si>
    <t>{"ItemNumber":"101289","ProductName":"V-Uien rood BL-20x20","InventoryWarehouseId":"HF","OnHandQuantity":0,"TotalAvailableQuantity":0,"AvailableOnHandQuantity":0,"InventorySiteId":"VEN","dataAreaId":"hgv","ProductColorId":"","ProductConfigurationId":"","ProductSizeId":"","ProductStyleId":""}</t>
  </si>
  <si>
    <t>{"ItemNumber":"101290","ProductName":"V-GM Prei.Peengeel.Kastanjechamp.Broccoli.Papr.Ui","InventoryWarehouseId":"HF","OnHandQuantity":0,"TotalAvailableQuantity":0,"AvailableOnHandQuantity":0,"InventorySiteId":"VEN","dataAreaId":"hgv","ProductColorId":"","ProductConfigurationId":"","ProductSizeId":"","ProductStyleId":""}</t>
  </si>
  <si>
    <t>{"ItemNumber":"101291","ProductName":"V-Winterpeen geel PL-05","InventoryWarehouseId":"HF","OnHandQuantity":36.324,"TotalAvailableQuantity":36.324,"AvailableOnHandQuantity":36.324,"InventorySiteId":"VEN","dataAreaId":"hgv","ProductColorId":"","ProductConfigurationId":"","ProductSizeId":"","ProductStyleId":""}</t>
  </si>
  <si>
    <t>{"ItemNumber":"101297","ProductName":"V-IJsberg naturel EN-13","InventoryWarehouseId":"HF","OnHandQuantity":82.6,"TotalAvailableQuantity":82.6,"AvailableOnHandQuantity":82.6,"InventorySiteId":"VEN","dataAreaId":"hgv","ProductColorId":"","ProductConfigurationId":"","ProductSizeId":"","ProductStyleId":""}</t>
  </si>
  <si>
    <t>{"ItemNumber":"101301","ProductName":"V-SM BLLRosso.Veldsla","InventoryWarehouseId":"HF","OnHandQuantity":22.2,"TotalAvailableQuantity":22.2,"AvailableOnHandQuantity":22.2,"InventorySiteId":"VEN","dataAreaId":"hgv","ProductColorId":"","ProductConfigurationId":"","ProductSizeId":"","ProductStyleId":""}</t>
  </si>
  <si>
    <t>{"ItemNumber":"101302","ProductName":"V-SM BLLRosso.BLLBionda.RedChard.Rucola","InventoryWarehouseId":"HF","OnHandQuantity":41.2,"TotalAvailableQuantity":41.2,"AvailableOnHandQuantity":41.2,"InventorySiteId":"VEN","dataAreaId":"hgv","ProductColorId":"","ProductConfigurationId":"","ProductSizeId":"","ProductStyleId":""}</t>
  </si>
  <si>
    <t>{"ItemNumber":"101303","ProductName":"V-SM BLLRosso.Rucola.SalNov Gr","InventoryWarehouseId":"HF","OnHandQuantity":23.8,"TotalAvailableQuantity":23.8,"AvailableOnHandQuantity":23.8,"InventorySiteId":"VEN","dataAreaId":"hgv","ProductColorId":"","ProductConfigurationId":"","ProductSizeId":"","ProductStyleId":""}</t>
  </si>
  <si>
    <t>{"ItemNumber":"10131","ProductName":"Rucola babyleaf kg HSV","InventoryWarehouseId":"GR","OnHandQuantity":2473,"TotalAvailableQuantity":12902.999,"AvailableOnHandQuantity":2473,"InventorySiteId":"VEN","dataAreaId":"hgv","ProductColorId":"","ProductConfigurationId":"","ProductSizeId":"","ProductStyleId":""}</t>
  </si>
  <si>
    <t>{"ItemNumber":"101310","ProductName":"V-GM Bieten.Ui.Appel","InventoryWarehouseId":"HF","OnHandQuantity":0.75,"TotalAvailableQuantity":0.75,"AvailableOnHandQuantity":0.75,"InventorySiteId":"VEN","dataAreaId":"hgv","ProductColorId":"","ProductConfigurationId":"","ProductSizeId":"","ProductStyleId":""}</t>
  </si>
  <si>
    <t>{"ItemNumber":"101315","ProductName":"V-GM Uien Rood.Paprika Rood","InventoryWarehouseId":"HF","OnHandQuantity":72.6,"TotalAvailableQuantity":72.6,"AvailableOnHandQuantity":72.6,"InventorySiteId":"VEN","dataAreaId":"hgv","ProductColorId":"","ProductConfigurationId":"","ProductSizeId":"","ProductStyleId":""}</t>
  </si>
  <si>
    <t>{"ItemNumber":"101321","ProductName":"V-Bloemkool RO-20","InventoryWarehouseId":"HF","OnHandQuantity":11.24,"TotalAvailableQuantity":11.24,"AvailableOnHandQuantity":11.24,"InventorySiteId":"VEN","dataAreaId":"hgv","ProductColorId":"","ProductConfigurationId":"","ProductSizeId":"","ProductStyleId":""}</t>
  </si>
  <si>
    <t>{"ItemNumber":"101332","ProductName":"V-GM WitteKool.Peen 73/27","InventoryWarehouseId":"HF","OnHandQuantity":507.55,"TotalAvailableQuantity":507.55,"AvailableOnHandQuantity":507.55,"InventorySiteId":"VEN","dataAreaId":"hgv","ProductColorId":"","ProductConfigurationId":"","ProductSizeId":"","ProductStyleId":""}</t>
  </si>
  <si>
    <t>{"ItemNumber":"101345","ProductName":"V-Druif blauw gerist tbv HC UITP","InventoryWarehouseId":"HF","OnHandQuantity":13.94,"TotalAvailableQuantity":13.94,"AvailableOnHandQuantity":13.94,"InventorySiteId":"VEN","dataAreaId":"hgv","ProductColorId":"","ProductConfigurationId":"","ProductSizeId":"","ProductStyleId":""}</t>
  </si>
  <si>
    <t>{"ItemNumber":"10135","ProductName":"Penne Volkoren pasta kg","InventoryWarehouseId":"GR","OnHandQuantity":1760,"TotalAvailableQuantity":2960,"AvailableOnHandQuantity":1760,"InventorySiteId":"VEN","dataAreaId":"hgv","ProductColorId":"","ProductConfigurationId":"","ProductSizeId":"","ProductStyleId":""}</t>
  </si>
  <si>
    <t>{"ItemNumber":"101353","ProductName":"V-SM Frisee.Radicchio.Veldsla 80-20","InventoryWarehouseId":"HF","OnHandQuantity":171.7,"TotalAvailableQuantity":171.7,"AvailableOnHandQuantity":171.7,"InventorySiteId":"VEN","dataAreaId":"hgv","ProductColorId":"","ProductConfigurationId":"","ProductSizeId":"","ProductStyleId":""}</t>
  </si>
  <si>
    <t>{"ItemNumber":"101354","ProductName":"V-Kaas Reep (5x5x30) 5x2 UITP","InventoryWarehouseId":"HF","OnHandQuantity":15.41,"TotalAvailableQuantity":15.41,"AvailableOnHandQuantity":15.41,"InventorySiteId":"VEN","dataAreaId":"hgv","ProductColorId":"","ProductConfigurationId":"","ProductSizeId":"","ProductStyleId":""}</t>
  </si>
  <si>
    <t>{"ItemNumber":"101357","ProductName":"V-Spitskool EN-04","InventoryWarehouseId":"HF","OnHandQuantity":1652.6,"TotalAvailableQuantity":1123.504,"AvailableOnHandQuantity":1652.6,"InventorySiteId":"VEN","dataAreaId":"hgv","ProductColorId":"","ProductConfigurationId":"","ProductSizeId":"","ProductStyleId":""}</t>
  </si>
  <si>
    <t>{"ItemNumber":"10136","ProductName":"Leccino olijf heel z\\pit kg","InventoryWarehouseId":"GR","OnHandQuantity":48,"TotalAvailableQuantity":48,"AvailableOnHandQuantity":48,"InventorySiteId":"VEN","dataAreaId":"hgv","ProductColorId":"","ProductConfigurationId":"","ProductSizeId":"","ProductStyleId":""}</t>
  </si>
  <si>
    <t>{"ItemNumber":"101360","ProductName":"V-Bio Veldsla gewassen","InventoryWarehouseId":"HF","OnHandQuantity":6.6,"TotalAvailableQuantity":6.6,"AvailableOnHandQuantity":6.6,"InventorySiteId":"VEN","dataAreaId":"hgv","ProductColorId":"","ProductConfigurationId":"","ProductSizeId":"","ProductStyleId":""}</t>
  </si>
  <si>
    <t>{"ItemNumber":"101361","ProductName":"V-HM Paprika rood.Olijf Ring 50 50","InventoryWarehouseId":"HF","OnHandQuantity":12.2,"TotalAvailableQuantity":12.2,"AvailableOnHandQuantity":12.2,"InventorySiteId":"VEN","dataAreaId":"hgv","ProductColorId":"","ProductConfigurationId":"","ProductSizeId":"","ProductStyleId":""}</t>
  </si>
  <si>
    <t>{"ItemNumber":"101364","ProductName":"V-IJsberg naturel EN-05","InventoryWarehouseId":"HF","OnHandQuantity":15.2,"TotalAvailableQuantity":-4.68,"AvailableOnHandQuantity":15.2,"InventorySiteId":"VEN","dataAreaId":"hgv","ProductColorId":"","ProductConfigurationId":"","ProductSizeId":"","ProductStyleId":""}</t>
  </si>
  <si>
    <t>{"ItemNumber":"101365","ProductName":"V-Romaine sla BS-25x25","InventoryWarehouseId":"HF","OnHandQuantity":96.6,"TotalAvailableQuantity":96.6,"AvailableOnHandQuantity":96.6,"InventorySiteId":"VEN","dataAreaId":"hgv","ProductColorId":"","ProductConfigurationId":"","ProductSizeId":"","ProductStyleId":""}</t>
  </si>
  <si>
    <t>{"ItemNumber":"101398","ProductName":"V-SM Frisee.Radicchio 89-11","InventoryWarehouseId":"HF","OnHandQuantity":40.2,"TotalAvailableQuantity":40.2,"AvailableOnHandQuantity":40.2,"InventorySiteId":"VEN","dataAreaId":"hgv","ProductColorId":"","ProductConfigurationId":"","ProductSizeId":"","ProductStyleId":""}</t>
  </si>
  <si>
    <t>{"ItemNumber":"101403","ProductName":"V-SM Hydro Lollo rosso, Lollo bionda z\\kluit+meng","InventoryWarehouseId":"HF","OnHandQuantity":0,"TotalAvailableQuantity":0,"AvailableOnHandQuantity":0,"InventorySiteId":"VEN","dataAreaId":"hgv","ProductColorId":"","ProductConfigurationId":"","ProductSizeId":"","ProductStyleId":""}</t>
  </si>
  <si>
    <t>{"ItemNumber":"101410","ProductName":"V-SM Hydro Romaine.Crispy Gr.Crispy Rd, z\\kluit+meng","InventoryWarehouseId":"HF","OnHandQuantity":0,"TotalAvailableQuantity":0,"AvailableOnHandQuantity":0,"InventorySiteId":"VEN","dataAreaId":"hgv","ProductColorId":"","ProductConfigurationId":"","ProductSizeId":"","ProductStyleId":""}</t>
  </si>
  <si>
    <t>{"ItemNumber":"101416","ProductName":"V-Uien wit 1/4 RI-06","InventoryWarehouseId":"HF","OnHandQuantity":2221.26,"TotalAvailableQuantity":1350.66,"AvailableOnHandQuantity":2217.9,"InventorySiteId":"VEN","dataAreaId":"hgv","ProductColorId":"","ProductConfigurationId":"","ProductSizeId":"","ProductStyleId":""}</t>
  </si>
  <si>
    <t>{"ItemNumber":"101417","ProductName":"V-Broccoli RO-30","InventoryWarehouseId":"HF","OnHandQuantity":745.17,"TotalAvailableQuantity":689.598,"AvailableOnHandQuantity":745.17,"InventorySiteId":"VEN","dataAreaId":"hgv","ProductColorId":"","ProductConfigurationId":"","ProductSizeId":"","ProductStyleId":""}</t>
  </si>
  <si>
    <t>{"ItemNumber":"101420","ProductName":"V-Bloemkool RO-30","InventoryWarehouseId":"HF","OnHandQuantity":275.301,"TotalAvailableQuantity":275.301,"AvailableOnHandQuantity":275.301,"InventorySiteId":"VEN","dataAreaId":"hgv","ProductColorId":"","ProductConfigurationId":"","ProductSizeId":"","ProductStyleId":""}</t>
  </si>
  <si>
    <t>{"ItemNumber":"101432","ProductName":"V-Winterpeen BL-05x05","InventoryWarehouseId":"HF","OnHandQuantity":0,"TotalAvailableQuantity":0,"AvailableOnHandQuantity":0,"InventorySiteId":"VEN","dataAreaId":"hgv","ProductColorId":"","ProductConfigurationId":"","ProductSizeId":"","ProductStyleId":""}</t>
  </si>
  <si>
    <t>{"ItemNumber":"101433","ProductName":"V-GM WitteKool.RodeKool.Peen.Boerenkool","InventoryWarehouseId":"HF","OnHandQuantity":0,"TotalAvailableQuantity":0,"AvailableOnHandQuantity":0,"InventorySiteId":"VEN","dataAreaId":"hgv","ProductColorId":"","ProductConfigurationId":"","ProductSizeId":"","ProductStyleId":""}</t>
  </si>
  <si>
    <t>{"ItemNumber":"101434","ProductName":"V-Bloemkool BL-13x13","InventoryWarehouseId":"HF","OnHandQuantity":0,"TotalAvailableQuantity":0,"AvailableOnHandQuantity":0,"InventorySiteId":"VEN","dataAreaId":"hgv","ProductColorId":"","ProductConfigurationId":"","ProductSizeId":"","ProductStyleId":""}</t>
  </si>
  <si>
    <t>{"ItemNumber":"101437","ProductName":"V-Koolraap ST-07","InventoryWarehouseId":"HF","OnHandQuantity":63.437,"TotalAvailableQuantity":63.437,"AvailableOnHandQuantity":63.437,"InventorySiteId":"VEN","dataAreaId":"hgv","ProductColorId":"","ProductConfigurationId":"","ProductSizeId":"","ProductStyleId":""}</t>
  </si>
  <si>
    <t>{"ItemNumber":"101439","ProductName":"V-Groene kool EN-05","InventoryWarehouseId":"HF","OnHandQuantity":11.527,"TotalAvailableQuantity":11.527,"AvailableOnHandQuantity":11.527,"InventorySiteId":"VEN","dataAreaId":"hgv","ProductColorId":"","ProductConfigurationId":"","ProductSizeId":"","ProductStyleId":""}</t>
  </si>
  <si>
    <t>{"ItemNumber":"101441","ProductName":"V-Prei EN-06","InventoryWarehouseId":"HF","OnHandQuantity":1819.58,"TotalAvailableQuantity":1735.279,"AvailableOnHandQuantity":1811.8,"InventorySiteId":"VEN","dataAreaId":"hgv","ProductColorId":"","ProductConfigurationId":"","ProductSizeId":"","ProductStyleId":""}</t>
  </si>
  <si>
    <t>{"ItemNumber":"101442","ProductName":"V-Bladselderij EN-07","InventoryWarehouseId":"HF","OnHandQuantity":5.1,"TotalAvailableQuantity":5.1,"AvailableOnHandQuantity":5.1,"InventorySiteId":"VEN","dataAreaId":"hgv","ProductColorId":"","ProductConfigurationId":"","ProductSizeId":"","ProductStyleId":""}</t>
  </si>
  <si>
    <t>{"ItemNumber":"101444","ProductName":"V-Winterpeen BL-08x08","InventoryWarehouseId":"HF","OnHandQuantity":0,"TotalAvailableQuantity":0,"AvailableOnHandQuantity":0,"InventorySiteId":"VEN","dataAreaId":"hgv","ProductColorId":"","ProductConfigurationId":"","ProductSizeId":"","ProductStyleId":""}</t>
  </si>
  <si>
    <t>{"ItemNumber":"101446","ProductName":"V-Snackwortel UITP","InventoryWarehouseId":"HF","OnHandQuantity":462.093,"TotalAvailableQuantity":462.093,"AvailableOnHandQuantity":462.093,"InventorySiteId":"VEN","dataAreaId":"hgv","ProductColorId":"","ProductConfigurationId":"","ProductSizeId":"","ProductStyleId":""}</t>
  </si>
  <si>
    <t>{"ItemNumber":"101452","ProductName":"V-Winterpeen B PL-05","InventoryWarehouseId":"HF","OnHandQuantity":171.81,"TotalAvailableQuantity":171.81,"AvailableOnHandQuantity":171.81,"InventorySiteId":"VEN","dataAreaId":"hgv","ProductColorId":"","ProductConfigurationId":"","ProductSizeId":"","ProductStyleId":""}</t>
  </si>
  <si>
    <t>{"ItemNumber":"101454","ProductName":"V-GM KoolG.Peen.Koolraap.Prei.Spruit.Bleek","InventoryWarehouseId":"HF","OnHandQuantity":0,"TotalAvailableQuantity":0,"AvailableOnHandQuantity":0,"InventorySiteId":"VEN","dataAreaId":"hgv","ProductColorId":"","ProductConfigurationId":"","ProductSizeId":"","ProductStyleId":""}</t>
  </si>
  <si>
    <t>{"ItemNumber":"101467","ProductName":"V-Aard zoet ST-10","InventoryWarehouseId":"HF","OnHandQuantity":381.224,"TotalAvailableQuantity":-1.936,"AvailableOnHandQuantity":381.224,"InventorySiteId":"VEN","dataAreaId":"hgv","ProductColorId":"","ProductConfigurationId":"","ProductSizeId":"","ProductStyleId":""}</t>
  </si>
  <si>
    <t>{"ItemNumber":"101469","ProductName":"V-Winterpeen ST-02","InventoryWarehouseId":"HF","OnHandQuantity":2027.292,"TotalAvailableQuantity":1998.53,"AvailableOnHandQuantity":2027.292,"InventorySiteId":"VEN","dataAreaId":"hgv","ProductColorId":"","ProductConfigurationId":"","ProductSizeId":"","ProductStyleId":""}</t>
  </si>
  <si>
    <t>{"ItemNumber":"10147","ProductName":"Aardappel zoet rood kg","InventoryWarehouseId":"GR","OnHandQuantity":2367,"TotalAvailableQuantity":7433.212,"AvailableOnHandQuantity":2367,"InventorySiteId":"VEN","dataAreaId":"hgv","ProductColorId":"","ProductConfigurationId":"","ProductSizeId":"","ProductStyleId":""}</t>
  </si>
  <si>
    <t>{"ItemNumber":"101480","ProductName":"V-Witte kool EN-04","InventoryWarehouseId":"HF","OnHandQuantity":563.815,"TotalAvailableQuantity":556.364,"AvailableOnHandQuantity":563.815,"InventorySiteId":"VEN","dataAreaId":"hgv","ProductColorId":"","ProductConfigurationId":"","ProductSizeId":"","ProductStyleId":""}</t>
  </si>
  <si>
    <t>{"ItemNumber":"101485","ProductName":"V-Winterpeen geel BL-05x05","InventoryWarehouseId":"HF","OnHandQuantity":19.777,"TotalAvailableQuantity":19.777,"AvailableOnHandQuantity":19.777,"InventorySiteId":"VEN","dataAreaId":"hgv","ProductColorId":"","ProductConfigurationId":"","ProductSizeId":"","ProductStyleId":""}</t>
  </si>
  <si>
    <t>{"ItemNumber":"101501","ProductName":"V-Sperziebonen Gebr UITLEZEN/UITP","InventoryWarehouseId":"HF","OnHandQuantity":0,"TotalAvailableQuantity":0,"AvailableOnHandQuantity":0,"InventorySiteId":"VEN","dataAreaId":"hgv","ProductColorId":"","ProductConfigurationId":"","ProductSizeId":"","ProductStyleId":""}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</si>
  <si>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{"ItemNumber":"101504","ProductName":"V-Parcel Geschrapt UITP","InventoryWarehouseId":"HF","OnHandQuantity":1383.13,"TotalAvailableQuantity":1383.13,"AvailableOnHandQuantity":1383.13,"InventorySiteId":"VEN","dataAreaId":"hgv","ProductColorId":"","ProductConfigurationId":"","ProductSizeId":"","ProductStyleId":""}</t>
  </si>
  <si>
    <t>{"ItemNumber":"101505","ProductName":"V-Waspeen fijn geschrapt UITP","InventoryWarehouseId":"HF","OnHandQuantity":306.2,"TotalAvailableQuantity":175.22,"AvailableOnHandQuantity":306.2,"InventorySiteId":"VEN","dataAreaId":"hgv","ProductColorId":"","ProductConfigurationId":"","ProductSizeId":"","ProductStyleId":""}</t>
  </si>
  <si>
    <t>{"ItemNumber":"101520","ProductName":"V-Champignons PL-05","InventoryWarehouseId":"HF","OnHandQuantity":16.976,"TotalAvailableQuantity":16.976,"AvailableOnHandQuantity":16.976,"InventorySiteId":"VEN","dataAreaId":"hgv","ProductColorId":"","ProductConfigurationId":"","ProductSizeId":"","ProductStyleId":""}</t>
  </si>
  <si>
    <t>{"ItemNumber":"101553","ProductName":"V-Snijbonen EN-04","InventoryWarehouseId":"HF","OnHandQuantity":814.085,"TotalAvailableQuantity":104.504,"AvailableOnHandQuantity":814.085,"InventorySiteId":"VEN","dataAreaId":"hgv","ProductColorId":"","ProductConfigurationId":"","ProductSizeId":"","ProductStyleId":""}</t>
  </si>
  <si>
    <t>{"ItemNumber":"101584","ProductName":"V-Aard zoet BL-15x20 ONTD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</si>
  <si>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{"ItemNumber":"101585","ProductName":" V-Aard zoet BL-15x20 ONTD","InventoryWarehouseId":"GR","OnHandQuantity":0,"TotalAvailableQuantity":0,"AvailableOnHandQuantity":0,"InventorySiteId":"VEN","dataAreaId":"hgv","ProductColorId":"","ProductConfigurationId":"","ProductSizeId":"","ProductStyleId":""}</t>
  </si>
  <si>
    <t>{"ItemNumber":"10160","ProductName":"Zilveruitjes kg Kesbeke","InventoryWarehouseId":"GR","OnHandQuantity":1035,"TotalAvailableQuantity":1035,"AvailableOnHandQuantity":1035,"InventorySiteId":"VEN","dataAreaId":"hgv","ProductColorId":"","ProductConfigurationId":"","ProductSizeId":"","ProductStyleId":""}</t>
  </si>
  <si>
    <t>{"ItemNumber":"10161","ProductName":"Tauge kg","InventoryWarehouseId":"GR","OnHandQuantity":4263,"TotalAvailableQuantity":45863,"AvailableOnHandQuantity":4263,"InventorySiteId":"VEN","dataAreaId":"hgv","ProductColorId":"","ProductConfigurationId":"","ProductSizeId":"","ProductStyleId":""}</t>
  </si>
  <si>
    <t>{"ItemNumber":"101625","ProductName":"V-GMS Prei-10.Peen.PaprR.Bladseld.Bloemkool","InventoryWarehouseId":"HF","OnHandQuantity":13.8,"TotalAvailableQuantity":13.8,"AvailableOnHandQuantity":13.8,"InventorySiteId":"VEN","dataAreaId":"hgv","ProductColorId":"","ProductConfigurationId":"","ProductSizeId":"","ProductStyleId":""}</t>
  </si>
  <si>
    <t>{"ItemNumber":"10163","ProductName":"Rozijnen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</si>
  <si>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{"ItemNumber":"101647","ProductName":"V-GMS Prei-10.Bleek.Bloemk.PeenG,O.Selderij.PaprR","InventoryWarehouseId":"HF","OnHandQuantity":0,"TotalAvailableQuantity":0,"AvailableOnHandQuantity":0,"InventorySiteId":"VEN","dataAreaId":"hgv","ProductColorId":"","ProductConfigurationId":"","ProductSizeId":"","ProductStyleId":""}</t>
  </si>
  <si>
    <t>{"ItemNumber":"101649","ProductName":"V-GMS Prei-06.Peen.Bloemkool.Bladselderij","InventoryWarehouseId":"HF","OnHandQuantity":117.1,"TotalAvailableQuantity":117.1,"AvailableOnHandQuantity":117.1,"InventorySiteId":"VEN","dataAreaId":"hgv","ProductColorId":"","ProductConfigurationId":"","ProductSizeId":"","ProductStyleId":""}</t>
  </si>
  <si>
    <t>{"ItemNumber":"101671","ProductName":"V-SM LRosso.Rucola.RedChard","InventoryWarehouseId":"HF","OnHandQuantity":599.6,"TotalAvailableQuantity":599.6,"AvailableOnHandQuantity":599.6,"InventorySiteId":"VEN","dataAreaId":"hgv","ProductColorId":"","ProductConfigurationId":"","ProductSizeId":"","ProductStyleId":""}</t>
  </si>
  <si>
    <t>{"ItemNumber":"101688","ProductName":"V-GM UienWit.Peen.Knolseld.Bladseld","InventoryWarehouseId":"HF","OnHandQuantity":0,"TotalAvailableQuantity":0,"AvailableOnHandQuantity":0,"InventorySiteId":"VEN","dataAreaId":"hgv","ProductColorId":"","ProductConfigurationId":"","ProductSizeId":"","ProductStyleId":""}</t>
  </si>
  <si>
    <t>{"ItemNumber":"101693","ProductName":"V-GMS Prei-03.Peen.Bloemkool.Selderij (50-28-21)","InventoryWarehouseId":"HF","OnHandQuantity":461.4,"TotalAvailableQuantity":461.4,"AvailableOnHandQuantity":461.4,"InventorySiteId":"VEN","dataAreaId":"hgv","ProductColorId":"","ProductConfigurationId":"","ProductSizeId":"","ProductStyleId":""}</t>
  </si>
  <si>
    <t>{"ItemNumber":"101704","ProductName":"V-GM UienWit Peen Bladselderij","InventoryWarehouseId":"HF","OnHandQuantity":0,"TotalAvailableQuantity":0,"AvailableOnHandQuantity":0,"InventorySiteId":"VEN","dataAreaId":"hgv","ProductColorId":"","ProductConfigurationId":"","ProductSizeId":"","ProductStyleId":""}</t>
  </si>
  <si>
    <t>{"ItemNumber":"101705","ProductName":"V-GM Peen.Prei.Bleekselderij","InventoryWarehouseId":"HF","OnHandQuantity":0,"TotalAvailableQuantity":0,"AvailableOnHandQuantity":0,"InventorySiteId":"VEN","dataAreaId":"hgv","ProductColorId":"","ProductConfigurationId":"","ProductSizeId":"","ProductStyleId":""}</t>
  </si>
  <si>
    <t>{"ItemNumber":"101707","ProductName":"V-GM KoolW.PaprR.UiR.Broccoli.Courg","InventoryWarehouseId":"HF","OnHandQuantity":0,"TotalAvailableQuantity":0,"AvailableOnHandQuantity":0,"InventorySiteId":"VEN","dataAreaId":"hgv","ProductColorId":"","ProductConfigurationId":"","ProductSizeId":"","ProductStyleId":""}</t>
  </si>
  <si>
    <t>{"ItemNumber":"101734","ProductName":"V-SM IJsberg.Radicchio.Frisee.Veldsla","InventoryWarehouseId":"HF","OnHandQuantity":25.1,"TotalAvailableQuantity":25.1,"AvailableOnHandQuantity":25.1,"InventorySiteId":"VEN","dataAreaId":"hgv","ProductColorId":"","ProductConfigurationId":"","ProductSizeId":"","ProductStyleId":""}</t>
  </si>
  <si>
    <t>{"ItemNumber":"101736","ProductName":"V-GM Prei.Ui Rood.Peterselie","InventoryWarehouseId":"HF","OnHandQuantity":0,"TotalAvailableQuantity":0,"AvailableOnHandQuantity":0,"InventorySiteId":"VEN","dataAreaId":"hgv","ProductColorId":"","ProductConfigurationId":"","ProductSizeId":"","ProductStyleId":""}</t>
  </si>
  <si>
    <t>{"ItemNumber":"101737","ProductName":"V-GM PeenB.PeenG.Broc.Courg.PaprR.UiRood","InventoryWarehouseId":"HF","OnHandQuantity":0,"TotalAvailableQuantity":0,"AvailableOnHandQuantity":0,"InventorySiteId":"VEN","dataAreaId":"hgv","ProductColorId":"","ProductConfigurationId":"","ProductSizeId":"","ProductStyleId":""}</t>
  </si>
  <si>
    <t>{"ItemNumber":"101748","ProductName":"V-GM Mais.Sperzi.PaprR.WitteKool.Prei","InventoryWarehouseId":"HF","OnHandQuantity":230.375,"TotalAvailableQuantity":230.375,"AvailableOnHandQuantity":230.375,"InventorySiteId":"VEN","dataAreaId":"hgv","ProductColorId":"","ProductConfigurationId":"","ProductSizeId":"","ProductStyleId":""}</t>
  </si>
  <si>
    <t>{"ItemNumber":"101751","ProductName":"V-GM Witte Kool.Prei.Mais.PaprRood","InventoryWarehouseId":"HF","OnHandQuantity":0,"TotalAvailableQuantity":0,"AvailableOnHandQuantity":0,"InventorySiteId":"VEN","dataAreaId":"hgv","ProductColorId":"","ProductConfigurationId":"","ProductSizeId":"","ProductStyleId":""}</t>
  </si>
  <si>
    <t>{"ItemNumber":"101758","ProductName":"V-GM UienW.Bosui","InventoryWarehouseId":"HF","OnHandQuantity":14.414,"TotalAvailableQuantity":14.414,"AvailableOnHandQuantity":14.414,"InventorySiteId":"VEN","dataAreaId":"hgv","ProductColorId":"","ProductConfigurationId":"","ProductSizeId":"","ProductStyleId":""}</t>
  </si>
  <si>
    <t>{"ItemNumber":"101761","ProductName":"V-GM Komkommer.WitteKool.PaprR","InventoryWarehouseId":"HF","OnHandQuantity":0,"TotalAvailableQuantity":0,"AvailableOnHandQuantity":0,"InventorySiteId":"VEN","dataAreaId":"hgv","ProductColorId":"","ProductConfigurationId":"","ProductSizeId":"","ProductStyleId":""}</t>
  </si>
  <si>
    <t>{"ItemNumber":"101764","ProductName":"V-GM Radijs.Bleekseld.WitteKool.UienRood","InventoryWarehouseId":"HF","OnHandQuantity":66.713,"TotalAvailableQuantity":66.713,"AvailableOnHandQuantity":66.713,"InventorySiteId":"VEN","dataAreaId":"hgv","ProductColorId":"","ProductConfigurationId":"","ProductSizeId":"","ProductStyleId":""}</t>
  </si>
  <si>
    <t>{"ItemNumber":"101770","ProductName":"V-GM Prei.Spitskool.Paprika Rood","InventoryWarehouseId":"HF","OnHandQuantity":0,"TotalAvailableQuantity":0,"AvailableOnHandQuantity":0,"InventorySiteId":"VEN","dataAreaId":"hgv","ProductColorId":"","ProductConfigurationId":"","ProductSizeId":"","ProductStyleId":""}</t>
  </si>
  <si>
    <t>{"ItemNumber":"101776","ProductName":"V-Peper rood EN-02","InventoryWarehouseId":"HF","OnHandQuantity":10.77,"TotalAvailableQuantity":10.77,"AvailableOnHandQuantity":10.77,"InventorySiteId":"VEN","dataAreaId":"hgv","ProductColorId":"","ProductConfigurationId":"","ProductSizeId":"","ProductStyleId":""}</t>
  </si>
  <si>
    <t>{"ItemNumber":"10178","ProductName":"Batavia groen kg","InventoryWarehouseId":"GR","OnHandQuantity":276,"TotalAvailableQuantity":876,"AvailableOnHandQuantity":276,"InventorySiteId":"VEN","dataAreaId":"hgv","ProductColorId":"","ProductConfigurationId":"","ProductSizeId":"","ProductStyleId":""}</t>
  </si>
  <si>
    <t>{"ItemNumber":"101786","ProductName":"V-GM UiR.Paksoi.PaprR.KoolW.Sojaboon","InventoryWarehouseId":"HF","OnHandQuantity":269.155,"TotalAvailableQuantity":269.155,"AvailableOnHandQuantity":269.155,"InventorySiteId":"VEN","dataAreaId":"hgv","ProductColorId":"","ProductConfigurationId":"","ProductSizeId":"","ProductStyleId":""}</t>
  </si>
  <si>
    <t>{"ItemNumber":"101796","ProductName":"V-Ei gek BL1-EI1 UITL/UITP","InventoryWarehouseId":"HF","OnHandQuantity":306.48,"TotalAvailableQuantity":283.672,"AvailableOnHandQuantity":306.48,"InventorySiteId":"VEN","dataAreaId":"hgv","ProductColorId":"","ProductConfigurationId":"","ProductSizeId":"","ProductStyleId":""}</t>
  </si>
  <si>
    <t>{"ItemNumber":"101797","ProductName":"V-HM Kipdij BL1-K1 Pesto Marinade","InventoryWarehouseId":"HF","OnHandQuantity":0,"TotalAvailableQuantity":0,"AvailableOnHandQuantity":0,"InventorySiteId":"VEN","dataAreaId":"hgv","ProductColorId":"","ProductConfigurationId":"","ProductSizeId":"","ProductStyleId":""}</t>
  </si>
  <si>
    <t>{"ItemNumber":"101816","ProductName":"V-HM Cousc.Kikker.RodUi.Tom. Mix","InventoryWarehouseId":"HF","OnHandQuantity":0,"TotalAvailableQuantity":0,"AvailableOnHandQuantity":0,"InventorySiteId":"VEN","dataAreaId":"hgv","ProductColorId":"","ProductConfigurationId":"","ProductSizeId":"","ProductStyleId":""}</t>
  </si>
  <si>
    <t>{"ItemNumber":"101826","ProductName":"V-GM Broccoli.Paprika R.Ui rood.PeenGeel","InventoryWarehouseId":"HF","OnHandQuantity":0,"TotalAvailableQuantity":208.158,"AvailableOnHandQuantity":0,"InventorySiteId":"VEN","dataAreaId":"hgv","ProductColorId":"","ProductConfigurationId":"","ProductSizeId":"","ProductStyleId":""}</t>
  </si>
  <si>
    <t>{"ItemNumber":"101827","ProductName":"V-GM Courg.PaprikaR.PeenG.UienR","InventoryWarehouseId":"HF","OnHandQuantity":0,"TotalAvailableQuantity":0,"AvailableOnHandQuantity":0,"InventorySiteId":"VEN","dataAreaId":"hgv","ProductColorId":"","ProductConfigurationId":"","ProductSizeId":"","ProductStyleId":""}</t>
  </si>
  <si>
    <t>{"ItemNumber":"10183","ProductName":"Paprika rood kg HSV","InventoryWarehouseId":"GR","OnHandQuantity":22642.6,"TotalAvailableQuantity":139428.16,"AvailableOnHandQuantity":22642.6,"InventorySiteId":"VEN","dataAreaId":"hgv","ProductColorId":"","ProductConfigurationId":"","ProductSizeId":"","ProductStyleId":""}</t>
  </si>
  <si>
    <t>{"ItemNumber":"101835","ProductName":"V-Linguine volkoren 3.5cm UITP","InventoryWarehouseId":"HF","OnHandQuantity":694.85,"TotalAvailableQuantity":694.85,"AvailableOnHandQuantity":694.85,"InventorySiteId":"VEN","dataAreaId":"hgv","ProductColorId":"","ProductConfigurationId":"","ProductSizeId":"","ProductStyleId":""}</t>
  </si>
  <si>
    <t>{"ItemNumber":"101843","ProductName":"V-GM Prei.UienR.Paksoi.PaprR.WKool","InventoryWarehouseId":"HF","OnHandQuantity":0,"TotalAvailableQuantity":0,"AvailableOnHandQuantity":0,"InventorySiteId":"VEN","dataAreaId":"hgv","ProductColorId":"","ProductConfigurationId":"","ProductSizeId":"","ProductStyleId":""}</t>
  </si>
  <si>
    <t>{"ItemNumber":"101844","ProductName":"V-GM Prei.Peen.PaprR.KoolW.ChKool","InventoryWarehouseId":"HF","OnHandQuantity":0,"TotalAvailableQuantity":0,"AvailableOnHandQuantity":0,"InventorySiteId":"VEN","dataAreaId":"hgv","ProductColorId":"","ProductConfigurationId":"","ProductSizeId":"","ProductStyleId":""}</t>
  </si>
  <si>
    <t>{"ItemNumber":"10185","ProductName":"Paprika groen kg HSV","InventoryWarehouseId":"GR","OnHandQuantity":7738.5,"TotalAvailableQuantity":19398.5,"AvailableOnHandQuantity":7738.5,"InventorySiteId":"VEN","dataAreaId":"hgv","ProductColorId":"","ProductConfigurationId":"","ProductSizeId":"","ProductStyleId":""}</t>
  </si>
  <si>
    <t>{"ItemNumber":"101855","ProductName":"V-Lollo Bionda v krop gesn.","InventoryWarehouseId":"HF","OnHandQuantity":40.1,"TotalAvailableQuantity":40.1,"AvailableOnHandQuantity":40.1,"InventorySiteId":"VEN","dataAreaId":"hgv","ProductColorId":"","ProductConfigurationId":"","ProductSizeId":"","ProductStyleId":""}</t>
  </si>
  <si>
    <t>{"ItemNumber":"101860","ProductName":"V-GM Spitskool.Prei.Peen (47-31-21)","InventoryWarehouseId":"HF","OnHandQuantity":10.199,"TotalAvailableQuantity":10.199,"AvailableOnHandQuantity":10.199,"InventorySiteId":"VEN","dataAreaId":"hgv","ProductColorId":"","ProductConfigurationId":"","ProductSizeId":"","ProductStyleId":""}</t>
  </si>
  <si>
    <t>{"ItemNumber":"101864","ProductName":"V-Pepers rood GEW/UITP","InventoryWarehouseId":"HF","OnHandQuantity":0,"TotalAvailableQuantity":0,"AvailableOnHandQuantity":0,"InventorySiteId":"VEN","dataAreaId":"hgv","ProductColorId":"","ProductConfigurationId":"","ProductSizeId":"","ProductStyleId":""}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</si>
  <si>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{"ItemNumber":"10187","ProductName":"Paprika geel kg HSV","InventoryWarehouseId":"GR","OnHandQuantity":1868,"TotalAvailableQuantity":5618,"AvailableOnHandQuantity":1868,"InventorySiteId":"VEN","dataAreaId":"hgv","ProductColorId":"","ProductConfigurationId":"","ProductSizeId":"","ProductStyleId":""}</t>
  </si>
  <si>
    <t>{"ItemNumber":"101871","ProductName":"V-GM PeenO.Prei.UiW.PeenG.PaprR,G","InventoryWarehouseId":"HF","OnHandQuantity":0,"TotalAvailableQuantity":0,"AvailableOnHandQuantity":0,"InventorySiteId":"VEN","dataAreaId":"hgv","ProductColorId":"","ProductConfigurationId":"","ProductSizeId":"","ProductStyleId":""}</t>
  </si>
  <si>
    <t>{"ItemNumber":"101872","ProductName":"V-Gramigna Volkoren Gez UITP","InventoryWarehouseId":"HF","OnHandQuantity":1534.59,"TotalAvailableQuantity":1534.59,"AvailableOnHandQuantity":1534.59,"InventorySiteId":"VEN","dataAreaId":"hgv","ProductColorId":"","ProductConfigurationId":"","ProductSizeId":"","ProductStyleId":""}</t>
  </si>
  <si>
    <t>{"ItemNumber":"101879","ProductName":"V-HM Bieten Salade","InventoryWarehouseId":"HF","OnHandQuantity":19.35,"TotalAvailableQuantity":19.35,"AvailableOnHandQuantity":19.35,"InventorySiteId":"VEN","dataAreaId":"hgv","ProductColorId":"","ProductConfigurationId":"","ProductSizeId":"","ProductStyleId":""}</t>
  </si>
  <si>
    <t>{"ItemNumber":"101881","ProductName":"V-HM Komkommer Ei Salade","InventoryWarehouseId":"HF","OnHandQuantity":0.1,"TotalAvailableQuantity":0.1,"AvailableOnHandQuantity":0.1,"InventorySiteId":"VEN","dataAreaId":"hgv","ProductColorId":"","ProductConfigurationId":"","ProductSizeId":"","ProductStyleId":""}</t>
  </si>
  <si>
    <t>{"ItemNumber":"101882","ProductName":"V-HM Waldorf Salade","InventoryWarehouseId":"HF","OnHandQuantity":16.9,"TotalAvailableQuantity":16.9,"AvailableOnHandQuantity":16.9,"InventorySiteId":"VEN","dataAreaId":"hgv","ProductColorId":"","ProductConfigurationId":"","ProductSizeId":"","ProductStyleId":""}</t>
  </si>
  <si>
    <t>{"ItemNumber":"101883","ProductName":"V-HM Coleslawsalade","InventoryWarehouseId":"HF","OnHandQuantity":66.3,"TotalAvailableQuantity":64.2,"AvailableOnHandQuantity":66.3,"InventorySiteId":"VEN","dataAreaId":"hgv","ProductColorId":"","ProductConfigurationId":"","ProductSizeId":"","ProductStyleId":""}</t>
  </si>
  <si>
    <t>{"ItemNumber":"101884","ProductName":"V-GM PaprikaR,Gr.G BL-13x13","InventoryWarehouseId":"HF","OnHandQuantity":10.923,"TotalAvailableQuantity":10.923,"AvailableOnHandQuantity":10.923,"InventorySiteId":"VEN","dataAreaId":"hgv","ProductColorId":"","ProductConfigurationId":"","ProductSizeId":"","ProductStyleId":""}</t>
  </si>
  <si>
    <t>{"ItemNumber":"101901","ProductName":"V-GM Broccoli.ChinKool.Peen.PaprikaR.Ui","InventoryWarehouseId":"HF","OnHandQuantity":0,"TotalAvailableQuantity":0,"AvailableOnHandQuantity":0,"InventorySiteId":"VEN","dataAreaId":"hgv","ProductColorId":"","ProductConfigurationId":"","ProductSizeId":"","ProductStyleId":""}</t>
  </si>
  <si>
    <t>{"ItemNumber":"101908","ProductName":"V-Ger kip plak 6mm BL1-K1 UITP","InventoryWarehouseId":"HF","OnHandQuantity":267.68,"TotalAvailableQuantity":253.405,"AvailableOnHandQuantity":267.68,"InventorySiteId":"VEN","dataAreaId":"hgv","ProductColorId":"","ProductConfigurationId":"","ProductSizeId":"","ProductStyleId":""}</t>
  </si>
  <si>
    <t>{"ItemNumber":"101910","ProductName":"V-HM Volk.Cousc.Doperwt.Bosui.Abrikoos","InventoryWarehouseId":"HF","OnHandQuantity":519.65,"TotalAvailableQuantity":519.65,"AvailableOnHandQuantity":519.65,"InventorySiteId":"VEN","dataAreaId":"hgv","ProductColorId":"","ProductConfigurationId":"","ProductSizeId":"","ProductStyleId":""}</t>
  </si>
  <si>
    <t>{"ItemNumber":"101913","ProductName":"V-HM Spitskool Paars.Appel.Peterselie","InventoryWarehouseId":"HF","OnHandQuantity":20.15,"TotalAvailableQuantity":20.15,"AvailableOnHandQuantity":20.15,"InventorySiteId":"VEN","dataAreaId":"hgv","ProductColorId":"","ProductConfigurationId":"","ProductSizeId":"","ProductStyleId":""}</t>
  </si>
  <si>
    <t>{"ItemNumber":"101920","ProductName":"V-Champ kast Fijn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</si>
  <si>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{"ItemNumber":"101924","ProductName":"V-GM Rettich.Ui rood.Bleekselderij","InventoryWarehouseId":"HF","OnHandQuantity":438.2,"TotalAvailableQuantity":438.2,"AvailableOnHandQuantity":438.2,"InventorySiteId":"VEN","dataAreaId":"hgv","ProductColorId":"","ProductConfigurationId":"","ProductSizeId":"","ProductStyleId":""}</t>
  </si>
  <si>
    <t>{"ItemNumber":"101938","ProductName":"V-Hamblokje 8*8*18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</si>
  <si>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{"ItemNumber":"10194","ProductName":"Witlof Grof kg","InventoryWarehouseId":"GR","OnHandQuantity":1133,"TotalAvailableQuantity":3083,"AvailableOnHandQuantity":1133,"InventorySiteId":"VEN","dataAreaId":"hgv","ProductColorId":"","ProductConfigurationId":"","ProductSizeId":"","ProductStyleId":""}</t>
  </si>
  <si>
    <t>{"ItemNumber":"101948","ProductName":"V-Courgette Fijn PL-08","InventoryWarehouseId":"HF","OnHandQuantity":8.08,"TotalAvailableQuantity":8.08,"AvailableOnHandQuantity":8.08,"InventorySiteId":"VEN","dataAreaId":"hgv","ProductColorId":"","ProductConfigurationId":"","ProductSizeId":"","ProductStyleId":""}</t>
  </si>
  <si>
    <t>{"ItemNumber":"101952","ProductName":"V-GM Peengeel.Uien.Prei","InventoryWarehouseId":"HF","OnHandQuantity":0,"TotalAvailableQuantity":0,"AvailableOnHandQuantity":0,"InventorySiteId":"VEN","dataAreaId":"hgv","ProductColorId":"","ProductConfigurationId":"","ProductSizeId":"","ProductStyleId":""}</t>
  </si>
  <si>
    <t>{"ItemNumber":"101953","ProductName":"V-Volk fusilli aangezuurd pasta UITP","InventoryWarehouseId":"HF","OnHandQuantity":500.3,"TotalAvailableQuantity":500.3,"AvailableOnHandQuantity":500.3,"InventorySiteId":"VEN","dataAreaId":"hgv","ProductColorId":"","ProductConfigurationId":"","ProductSizeId":"","ProductStyleId":""}</t>
  </si>
  <si>
    <t>{"ItemNumber":"101957","ProductName":"V-B Witte kool EN-02","InventoryWarehouseId":"GR","OnHandQuantity":167,"TotalAvailableQuantity":167,"AvailableOnHandQuantity":167,"InventorySiteId":"VEN","dataAreaId":"hgv","ProductColorId":"","ProductConfigurationId":"","ProductSizeId":"","ProductStyleId":""}</t>
  </si>
  <si>
    <t>{"ItemNumber":"101970","ProductName":"V-B Prei EN-10","InventoryWarehouseId":"GR","OnHandQuantity":0,"TotalAvailableQuantity":780,"AvailableOnHandQuantity":0,"InventorySiteId":"VEN","dataAreaId":"hgv","ProductColorId":"","ProductConfigurationId":"","ProductSizeId":"","ProductStyleId":""}</t>
  </si>
  <si>
    <t>{"ItemNumber":"101975","ProductName":"V-B Winterpeen BL-08x08","InventoryWarehouseId":"GR","OnHandQuantity":264,"TotalAvailableQuantity":264,"AvailableOnHandQuantity":264,"InventorySiteId":"VEN","dataAreaId":"hgv","ProductColorId":"","ProductConfigurationId":"","ProductSizeId":"","ProductStyleId":""}</t>
  </si>
  <si>
    <t>{"ItemNumber":"101993","ProductName":"V-B Winterpeen ST-03","InventoryWarehouseId":"GR","OnHandQuantity":0,"TotalAvailableQuantity":-10.618,"AvailableOnHandQuantity":0,"InventorySiteId":"VEN","dataAreaId":"hgv","ProductColorId":"","ProductConfigurationId":"","ProductSizeId":"","ProductStyleId":""}</t>
  </si>
  <si>
    <t>{"ItemNumber":"102","ProductName":"CBL 8","InventoryWarehouseId":"EMB3","OnHandQuantity":0,"TotalAvailableQuantity":-5720,"AvailableOnHandQuantity":0,"InventorySiteId":"VEN","dataAreaId":"hgv","ProductColorId":"","ProductConfigurationId":"","ProductSizeId":"","ProductStyleId":""}</t>
  </si>
  <si>
    <t>{"ItemNumber":"102","ProductName":"CBL 8","InventoryWarehouseId":"EP","OnHandQuantity":131499,"TotalAvailableQuantity":545484,"AvailableOnHandQuantity":131499,"InventorySiteId":"VEN","dataAreaId":"hgv","ProductColorId":"","ProductConfigurationId":"","ProductSizeId":"","ProductStyleId":""}</t>
  </si>
  <si>
    <t>{"ItemNumber":"102","ProductName":"CBL 8","InventoryWarehouseId":"GR","OnHandQuantity":-30066,"TotalAvailableQuantity":-36566,"AvailableOnHandQuantity":-30066,"InventorySiteId":"VEN","dataAreaId":"hgv","ProductColorId":"","ProductConfigurationId":"","ProductSizeId":"","ProductStyleId":""}</t>
  </si>
  <si>
    <t>{"ItemNumber":"102005","ProductName":"V-B Paprika rood BL-20x20","InventoryWarehouseId":"GR","OnHandQuantity":0,"TotalAvailableQuantity":0,"AvailableOnHandQuantity":0,"InventorySiteId":"VEN","dataAreaId":"hgv","ProductColorId":"","ProductConfigurationId":"","ProductSizeId":"","ProductStyleId":""}</t>
  </si>
  <si>
    <t>{"ItemNumber":"102014","ProductName":"V-GM Courgette.PaprikaR.PeenG","InventoryWarehouseId":"HF","OnHandQuantity":0,"TotalAvailableQuantity":0,"AvailableOnHandQuantity":0,"InventorySiteId":"VEN","dataAreaId":"hgv","ProductColorId":"","ProductConfigurationId":"","ProductSizeId":"","ProductStyleId":""}</t>
  </si>
  <si>
    <t>{"ItemNumber":"102028","ProductName":"V-B Bleekselderij EN-07","InventoryWarehouseId":"GR","OnHandQuantity":0,"TotalAvailableQuantity":0,"AvailableOnHandQuantity":0,"InventorySiteId":"VEN","dataAreaId":"hgv","ProductColorId":"","ProductConfigurationId":"","ProductSizeId":"","ProductStyleId":""}</t>
  </si>
  <si>
    <t>{"ItemNumber":"102063","ProductName":"V-GM Spruit.Pompoen.Ui Rood","InventoryWarehouseId":"HF","OnHandQuantity":0,"TotalAvailableQuantity":0,"AvailableOnHandQuantity":0,"InventorySiteId":"VEN","dataAreaId":"hgv","ProductColorId":"","ProductConfigurationId":"","ProductSizeId":"","ProductStyleId":""}</t>
  </si>
  <si>
    <t>{"ItemNumber":"102073","ProductName":"V-HM Kipdij BL1-K1 Tomaat Gemarineerd","InventoryWarehouseId":"HF","OnHandQuantity":11.8,"TotalAvailableQuantity":11.8,"AvailableOnHandQuantity":11.8,"InventorySiteId":"VEN","dataAreaId":"hgv","ProductColorId":"","ProductConfigurationId":"","ProductSizeId":"","ProductStyleId":""}</t>
  </si>
  <si>
    <t>{"ItemNumber":"102074","ProductName":"V-B Winterpeen ST-07","InventoryWarehouseId":"GR","OnHandQuantity":0,"TotalAvailableQuantity":0,"AvailableOnHandQuantity":0,"InventorySiteId":"VEN","dataAreaId":"hgv","ProductColorId":"","ProductConfigurationId":"","ProductSizeId":"","ProductStyleId":""}</t>
  </si>
  <si>
    <t>{"ItemNumber":"102075","ProductName":"V-B Winterpeen geel ST-07","InventoryWarehouseId":"GR","OnHandQuantity":0,"TotalAvailableQuantity":0,"AvailableOnHandQuantity":0,"InventorySiteId":"VEN","dataAreaId":"hgv","ProductColorId":"","ProductConfigurationId":"","ProductSizeId":"","ProductStyleId":""}</t>
  </si>
  <si>
    <t>{"ItemNumber":"102103","ProductName":"V-B Bloemkool BL-13x13","InventoryWarehouseId":"GR","OnHandQuantity":469,"TotalAvailableQuantity":464.691,"AvailableOnHandQuantity":469,"InventorySiteId":"VEN","dataAreaId":"hgv","ProductColorId":"","ProductConfigurationId":"","ProductSizeId":"","ProductStyleId":""}</t>
  </si>
  <si>
    <t>{"ItemNumber":"102128","ProductName":"V-Mango BL-10x10 UITP","InventoryWarehouseId":"HF","OnHandQuantity":36.02,"TotalAvailableQuantity":36.02,"AvailableOnHandQuantity":36.02,"InventorySiteId":"VEN","dataAreaId":"hgv","ProductColorId":"","ProductConfigurationId":"","ProductSizeId":"","ProductStyleId":""}</t>
  </si>
  <si>
    <t>{"ItemNumber":"102129","ProductName":"V-Rode ui zoetzuur 2mm UITL/UITP","InventoryWarehouseId":"HF","OnHandQuantity":16.9,"TotalAvailableQuantity":16.9,"AvailableOnHandQuantity":16.9,"InventorySiteId":"VEN","dataAreaId":"hgv","ProductColorId":"","ProductConfigurationId":"","ProductSizeId":"","ProductStyleId":""}</t>
  </si>
  <si>
    <t>{"ItemNumber":"102130","ProductName":"V-HM Garnaal.Thai adventure marinade","InventoryWarehouseId":"HF","OnHandQuantity":19.8,"TotalAvailableQuantity":19.8,"AvailableOnHandQuantity":19.8,"InventorySiteId":"VEN","dataAreaId":"hgv","ProductColorId":"","ProductConfigurationId":"","ProductSizeId":"","ProductStyleId":""}</t>
  </si>
  <si>
    <t>{"ItemNumber":"102131","ProductName":"V-Nigella zaad kg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</si>
  <si>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{"ItemNumber":"10214","ProductName":"Trio Grillgroenten IQF","InventoryWarehouseId":"GR","OnHandQuantity":340,"TotalAvailableQuantity":252,"AvailableOnHandQuantity":332,"InventorySiteId":"VEN","dataAreaId":"hgv","ProductColorId":"","ProductConfigurationId":"","ProductSizeId":"","ProductStyleId":""}</t>
  </si>
  <si>
    <t>{"ItemNumber":"10215","ProductName":"Rode Quinoa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</si>
  <si>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{"ItemNumber":"10216","ProductName":"Kikkererwten gekookt vers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</si>
  <si>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{"ItemNumber":"102173","ProductName":"V-GM UienR.Paksoi.Prei.Peen.Sugarsnap","InventoryWarehouseId":"HF","OnHandQuantity":0,"TotalAvailableQuantity":0,"AvailableOnHandQuantity":0,"InventorySiteId":"VEN","dataAreaId":"hgv","ProductColorId":"","ProductConfigurationId":"","ProductSizeId":"","ProductStyleId":""}</t>
  </si>
  <si>
    <t>{"ItemNumber":"102174","ProductName":"V-GM Peen.PeenGeel.Broccoli.Paprika R","InventoryWarehouseId":"HF","OnHandQuantity":0,"TotalAvailableQuantity":0,"AvailableOnHandQuantity":0,"InventorySiteId":"VEN","dataAreaId":"hgv","ProductColorId":"","ProductConfigurationId":"","ProductSizeId":"","ProductStyleId":""}</t>
  </si>
  <si>
    <t>{"ItemNumber":"102175","ProductName":"V-GM WitteKool.Prei.Peen.Tauge (28-28-28-16)","InventoryWarehouseId":"HF","OnHandQuantity":33.441,"TotalAvailableQuantity":33.441,"AvailableOnHandQuantity":33.441,"InventorySiteId":"VEN","dataAreaId":"hgv","ProductColorId":"","ProductConfigurationId":"","ProductSizeId":"","ProductStyleId":""}</t>
  </si>
  <si>
    <t>{"ItemNumber":"10218","ProductName":"Linzen bruingroen gekookt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</si>
  <si>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{"ItemNumber":"102180","ProductName":"V-GM WKool.Prei.Peen.Tauge","InventoryWarehouseId":"HF","OnHandQuantity":0,"TotalAvailableQuantity":508.416,"AvailableOnHandQuantity":0,"InventorySiteId":"VEN","dataAreaId":"hgv","ProductColorId":"","ProductConfigurationId":"","ProductSizeId":"","ProductStyleId":""}</t>
  </si>
  <si>
    <t>{"ItemNumber":"102187","ProductName":"V-HM Kipfilet BL-K1 Hot and spicy marinade","InventoryWarehouseId":"HF","OnHandQuantity":4.7,"TotalAvailableQuantity":4.7,"AvailableOnHandQuantity":4.7,"InventorySiteId":"VEN","dataAreaId":"hgv","ProductColorId":"","ProductConfigurationId":"","ProductSizeId":"","ProductStyleId":""}</t>
  </si>
  <si>
    <t>{"ItemNumber":"102188","ProductName":"V-Komkommer Zoet Zuur UITL/UITP","InventoryWarehouseId":"HF","OnHandQuantity":3.3,"TotalAvailableQuantity":3.3,"AvailableOnHandQuantity":3.3,"InventorySiteId":"VEN","dataAreaId":"hgv","ProductColorId":"","ProductConfigurationId":"","ProductSizeId":"","ProductStyleId":""}</t>
  </si>
  <si>
    <t>{"ItemNumber":"102192","ProductName":"V-GM Spitskool.Peen.Prei 6mm.Ui Rood.Tauge","InventoryWarehouseId":"HF","OnHandQuantity":30.995,"TotalAvailableQuantity":30.995,"AvailableOnHandQuantity":30.995,"InventorySiteId":"VEN","dataAreaId":"hgv","ProductColorId":"","ProductConfigurationId":"","ProductSizeId":"","ProductStyleId":""}</t>
  </si>
  <si>
    <t>{"ItemNumber":"102199","ProductName":"V-M3- Uien rood 1/4 RI-06","InventoryWarehouseId":"HF","OnHandQuantity":67.4,"TotalAvailableQuantity":67.4,"AvailableOnHandQuantity":67.4,"InventorySiteId":"VEN","dataAreaId":"hgv","ProductColorId":"","ProductConfigurationId":"","ProductSizeId":"","ProductStyleId":""}</t>
  </si>
  <si>
    <t>{"ItemNumber":"102201","ProductName":"V-M3-Paprika rood BL-13x13","InventoryWarehouseId":"HF","OnHandQuantity":956.022,"TotalAvailableQuantity":947.929,"AvailableOnHandQuantity":947.998,"InventorySiteId":"VEN","dataAreaId":"hgv","ProductColorId":"","ProductConfigurationId":"","ProductSizeId":"","ProductStyleId":""}</t>
  </si>
  <si>
    <t>{"ItemNumber":"102206","ProductName":"V-GM Peen.PaprR.Bladseld.Bloemkool.BlSelder. kg","InventoryWarehouseId":"HF","OnHandQuantity":128.066,"TotalAvailableQuantity":128.066,"AvailableOnHandQuantity":128.066,"InventorySiteId":"VEN","dataAreaId":"hgv","ProductColorId":"","ProductConfigurationId":"","ProductSizeId":"","ProductStyleId":""}</t>
  </si>
  <si>
    <t>{"ItemNumber":"102213","ProductName":"V-M3-Paprika rood BL-20x20","InventoryWarehouseId":"HF","OnHandQuantity":0,"TotalAvailableQuantity":-47.184,"AvailableOnHandQuantity":0,"InventorySiteId":"VEN","dataAreaId":"hgv","ProductColorId":"","ProductConfigurationId":"","ProductSizeId":"","ProductStyleId":""}</t>
  </si>
  <si>
    <t>{"ItemNumber":"102214","ProductName":"V-M3-Paksoi EN-20","InventoryWarehouseId":"HF","OnHandQuantity":32.84,"TotalAvailableQuantity":32.84,"AvailableOnHandQuantity":32.84,"InventorySiteId":"VEN","dataAreaId":"hgv","ProductColorId":"","ProductConfigurationId":"","ProductSizeId":"","ProductStyleId":""}</t>
  </si>
  <si>
    <t>{"ItemNumber":"102218","ProductName":"V-M3-Tauge UITP","InventoryWarehouseId":"HF","OnHandQuantity":544.212,"TotalAvailableQuantity":544.212,"AvailableOnHandQuantity":544.212,"InventorySiteId":"VEN","dataAreaId":"hgv","ProductColorId":"","ProductConfigurationId":"","ProductSizeId":"","ProductStyleId":""}</t>
  </si>
  <si>
    <t>{"ItemNumber":"102226","ProductName":"V-M3-Witte kool BL-10x10","InventoryWarehouseId":"HF","OnHandQuantity":21.36,"TotalAvailableQuantity":21.36,"AvailableOnHandQuantity":21.36,"InventorySiteId":"VEN","dataAreaId":"hgv","ProductColorId":"","ProductConfigurationId":"","ProductSizeId":"","ProductStyleId":""}</t>
  </si>
  <si>
    <t>{"ItemNumber":"102227","ProductName":"V-M3-Winterpeen geel ST-07","InventoryWarehouseId":"HF","OnHandQuantity":17.26,"TotalAvailableQuantity":17.26,"AvailableOnHandQuantity":17.26,"InventorySiteId":"VEN","dataAreaId":"hgv","ProductColorId":"","ProductConfigurationId":"","ProductSizeId":"","ProductStyleId":""}</t>
  </si>
  <si>
    <t>{"ItemNumber":"102228","ProductName":"V-M3-Sperziebonen EN-05","InventoryWarehouseId":"HF","OnHandQuantity":24.16,"TotalAvailableQuantity":160.93,"AvailableOnHandQuantity":24.16,"InventorySiteId":"VEN","dataAreaId":"hgv","ProductColorId":"","ProductConfigurationId":"","ProductSizeId":"","ProductStyleId":""}</t>
  </si>
  <si>
    <t>{"ItemNumber":"102230","ProductName":"V-M3-Winterpeen BL-08x08","InventoryWarehouseId":"HF","OnHandQuantity":2116.542,"TotalAvailableQuantity":2116.542,"AvailableOnHandQuantity":2116.542,"InventorySiteId":"VEN","dataAreaId":"hgv","ProductColorId":"","ProductConfigurationId":"","ProductSizeId":"","ProductStyleId":""}</t>
  </si>
  <si>
    <t>{"ItemNumber":"102232","ProductName":"V-M3-Uien rood BL-20x20","InventoryWarehouseId":"HF","OnHandQuantity":4280.264,"TotalAvailableQuantity":4280.264,"AvailableOnHandQuantity":4280.264,"InventorySiteId":"VEN","dataAreaId":"hgv","ProductColorId":"","ProductConfigurationId":"","ProductSizeId":"","ProductStyleId":""}</t>
  </si>
  <si>
    <t>{"ItemNumber":"102235","ProductName":"V-M3-Peulen GEW/UITP","InventoryWarehouseId":"HF","OnHandQuantity":20.36,"TotalAvailableQuantity":20.36,"AvailableOnHandQuantity":20.36,"InventorySiteId":"VEN","dataAreaId":"hgv","ProductColorId":"","ProductConfigurationId":"","ProductSizeId":"","ProductStyleId":""}</t>
  </si>
  <si>
    <t>{"ItemNumber":"102236","ProductName":"V-M3-Uien rood ST-20","InventoryWarehouseId":"HF","OnHandQuantity":0,"TotalAvailableQuantity":-3.87,"AvailableOnHandQuantity":0,"InventorySiteId":"VEN","dataAreaId":"hgv","ProductColorId":"","ProductConfigurationId":"","ProductSizeId":"","ProductStyleId":""}</t>
  </si>
  <si>
    <t>{"ItemNumber":"102242","ProductName":"V-M3-Courgette 1/2 PL-08","InventoryWarehouseId":"HF","OnHandQuantity":7.796,"TotalAvailableQuantity":7.796,"AvailableOnHandQuantity":7.796,"InventorySiteId":"VEN","dataAreaId":"hgv","ProductColorId":"","ProductConfigurationId":"","ProductSizeId":"","ProductStyleId":""}</t>
  </si>
  <si>
    <t>{"ItemNumber":"102243","ProductName":"V-M3-Witte kool BL-20x20","InventoryWarehouseId":"HF","OnHandQuantity":168.564,"TotalAvailableQuantity":168.564,"AvailableOnHandQuantity":168.564,"InventorySiteId":"VEN","dataAreaId":"hgv","ProductColorId":"","ProductConfigurationId":"","ProductSizeId":"","ProductStyleId":""}</t>
  </si>
  <si>
    <t>{"ItemNumber":"102249","ProductName":"V-M3-Chinese kool EN-20","InventoryWarehouseId":"HF","OnHandQuantity":0,"TotalAvailableQuantity":0,"AvailableOnHandQuantity":0,"InventorySiteId":"VEN","dataAreaId":"hgv","ProductColorId":"","ProductConfigurationId":"","ProductSizeId":"","ProductStyleId":""}</t>
  </si>
  <si>
    <t>{"ItemNumber":"102250","ProductName":"V-M3-Sugarsnaps GEW/UITP","InventoryWarehouseId":"HF","OnHandQuantity":0,"TotalAvailableQuantity":0,"AvailableOnHandQuantity":0,"InventorySiteId":"VEN","dataAreaId":"hgv","ProductColorId":"","ProductConfigurationId":"","ProductSizeId":"","ProductStyleId":""}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</si>
  <si>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{"ItemNumber":"102254","ProductName":"V- Gegaarde hokkaido pompoen 10x10 UITL/UITP","InventoryWarehouseId":"HF","OnHandQuantity":5.78,"TotalAvailableQuantity":5.78,"AvailableOnHandQuantity":5.78,"InventorySiteId":"VEN","dataAreaId":"hgv","ProductColorId":"","ProductConfigurationId":"","ProductSizeId":"","ProductStyleId":""}</t>
  </si>
  <si>
    <t>{"ItemNumber":"102256","ProductName":"V-HM R.Kool.Mosterd UITL","InventoryWarehouseId":"HF","OnHandQuantity":228.2,"TotalAvailableQuantity":228.2,"AvailableOnHandQuantity":228.2,"InventorySiteId":"VEN","dataAreaId":"hgv","ProductColorId":"","ProductConfigurationId":"","ProductSizeId":"","ProductStyleId":""}</t>
  </si>
  <si>
    <t>{"ItemNumber":"102257","ProductName":"V-M3-Rozijnen UITP","InventoryWarehouseId":"HF","OnHandQuantity":17.75,"TotalAvailableQuantity":17.75,"AvailableOnHandQuantity":17.75,"InventorySiteId":"VEN","dataAreaId":"hgv","ProductColorId":"","ProductConfigurationId":"","ProductSizeId":"","ProductStyleId":""}</t>
  </si>
  <si>
    <t>{"ItemNumber":"102258","ProductName":"V-M3-Zilverui GECE/UITL/UITP","InventoryWarehouseId":"HF","OnHandQuantity":0,"TotalAvailableQuantity":0,"AvailableOnHandQuantity":0,"InventorySiteId":"VEN","dataAreaId":"hgv","ProductColorId":"","ProductConfigurationId":"","ProductSizeId":"","ProductStyleId":""}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</si>
  <si>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{"ItemNumber":"102261","ProductName":"V-M3-Sperziebonen Gebr UITLEZEN/UITP","InventoryWarehouseId":"HF","OnHandQuantity":0,"TotalAvailableQuantity":0,"AvailableOnHandQuantity":0,"InventorySiteId":"VEN","dataAreaId":"hgv","ProductColorId":"","ProductConfigurationId":"","ProductSizeId":"","ProductStyleId":""}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</si>
  <si>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{"ItemNumber":"102262","ProductName":"V-M3-Winterpeen B WA-05","InventoryWarehouseId":"HF","OnHandQuantity":0,"TotalAvailableQuantity":0,"AvailableOnHandQuantity":0,"InventorySiteId":"VEN","dataAreaId":"hgv","ProductColorId":"","ProductConfigurationId":"","ProductSizeId":"","ProductStyleId":""}</t>
  </si>
  <si>
    <t>{"ItemNumber":"102263","ProductName":"V-M3-Peterselie EN-02","InventoryWarehouseId":"HF","OnHandQuantity":12.816,"TotalAvailableQuantity":-5.205,"AvailableOnHandQuantity":12.816,"InventorySiteId":"VEN","dataAreaId":"hgv","ProductColorId":"","ProductConfigurationId":"","ProductSizeId":"","ProductStyleId":""}</t>
  </si>
  <si>
    <t>{"ItemNumber":"102264","ProductName":"V-GM Prei.KoolW.PaprR.Rozijn.UiZ","InventoryWarehouseId":"HF","OnHandQuantity":0,"TotalAvailableQuantity":0,"AvailableOnHandQuantity":0,"InventorySiteId":"VEN","dataAreaId":"hgv","ProductColorId":"","ProductConfigurationId":"","ProductSizeId":"","ProductStyleId":""}</t>
  </si>
  <si>
    <t>{"ItemNumber":"102268","ProductName":"V-GM PeenB.Broccoli.UiRood.Bloemk.Prei","InventoryWarehouseId":"HF","OnHandQuantity":120.062,"TotalAvailableQuantity":120.062,"AvailableOnHandQuantity":120.062,"InventorySiteId":"VEN","dataAreaId":"hgv","ProductColorId":"","ProductConfigurationId":"","ProductSizeId":"","ProductStyleId":""}</t>
  </si>
  <si>
    <t>{"ItemNumber":"102269","ProductName":"V-GM PaprR.Peen.Courgette.Prei","InventoryWarehouseId":"HF","OnHandQuantity":0,"TotalAvailableQuantity":0,"AvailableOnHandQuantity":0,"InventorySiteId":"VEN","dataAreaId":"hgv","ProductColorId":"","ProductConfigurationId":"","ProductSizeId":"","ProductStyleId":""}</t>
  </si>
  <si>
    <t>{"ItemNumber":"102270","ProductName":"V-GM Paksoi.UiRood.ChKool.SugarSnap.Tauge","InventoryWarehouseId":"HF","OnHandQuantity":106.223,"TotalAvailableQuantity":106.223,"AvailableOnHandQuantity":106.223,"InventorySiteId":"VEN","dataAreaId":"hgv","ProductColorId":"","ProductConfigurationId":"","ProductSizeId":"","ProductStyleId":""}</t>
  </si>
  <si>
    <t>{"ItemNumber":"102271","ProductName":"V-GM Peul.PaprikaR.PeenG.Tauge","InventoryWarehouseId":"HF","OnHandQuantity":0,"TotalAvailableQuantity":0,"AvailableOnHandQuantity":0,"InventorySiteId":"VEN","dataAreaId":"hgv","ProductColorId":"","ProductConfigurationId":"","ProductSizeId":"","ProductStyleId":""}</t>
  </si>
  <si>
    <t>{"ItemNumber":"102272","ProductName":"V-GM Peen.PaprR,G.Sperz.Bloemk.Broc.Blkseld","InventoryWarehouseId":"HF","OnHandQuantity":46.26,"TotalAvailableQuantity":46.26,"AvailableOnHandQuantity":46.26,"InventorySiteId":"VEN","dataAreaId":"hgv","ProductColorId":"","ProductConfigurationId":"","ProductSizeId":"","ProductStyleId":""}</t>
  </si>
  <si>
    <t>{"ItemNumber":"102275","ProductName":"V-GM Ui Rood.PaprR.G.GR.Prei","InventoryWarehouseId":"HF","OnHandQuantity":398.488,"TotalAvailableQuantity":798.454,"AvailableOnHandQuantity":398.488,"InventorySiteId":"VEN","dataAreaId":"hgv","ProductColorId":"","ProductConfigurationId":"","ProductSizeId":"","ProductStyleId":""}</t>
  </si>
  <si>
    <t>{"ItemNumber":"102276","ProductName":"V-GM Peen.UiW.PaprR.Courgette.Prei","InventoryWarehouseId":"HF","OnHandQuantity":481.423,"TotalAvailableQuantity":3740.998,"AvailableOnHandQuantity":481.423,"InventorySiteId":"VEN","dataAreaId":"hgv","ProductColorId":"","ProductConfigurationId":"","ProductSizeId":"","ProductStyleId":""}</t>
  </si>
  <si>
    <t>{"ItemNumber":"102277","ProductName":"V-GM Spitskool.Prei 6mm.Peen (43-29-28)","InventoryWarehouseId":"HF","OnHandQuantity":590.104,"TotalAvailableQuantity":728.537,"AvailableOnHandQuantity":590.104,"InventorySiteId":"VEN","dataAreaId":"hgv","ProductColorId":"","ProductConfigurationId":"","ProductSizeId":"","ProductStyleId":""}</t>
  </si>
  <si>
    <t>{"ItemNumber":"102279","ProductName":"V-GM UienR.PaprikaR.Courgette.Prei","InventoryWarehouseId":"HF","OnHandQuantity":60.964,"TotalAvailableQuantity":60.964,"AvailableOnHandQuantity":60.964,"InventorySiteId":"VEN","dataAreaId":"hgv","ProductColorId":"","ProductConfigurationId":"","ProductSizeId":"","ProductStyleId":""}</t>
  </si>
  <si>
    <t>{"ItemNumber":"102280","ProductName":"V-GM WitteKool.Peen.UienRo.Prei","InventoryWarehouseId":"HF","OnHandQuantity":39.748,"TotalAvailableQuantity":39.748,"AvailableOnHandQuantity":39.748,"InventorySiteId":"VEN","dataAreaId":"hgv","ProductColorId":"","ProductConfigurationId":"","ProductSizeId":"","ProductStyleId":""}</t>
  </si>
  <si>
    <t>{"ItemNumber":"102281","ProductName":"V-SM Ijsberg.Radicchio 13mm.Peen.W.kool","InventoryWarehouseId":"HF","OnHandQuantity":921.3,"TotalAvailableQuantity":921.3,"AvailableOnHandQuantity":921.3,"InventorySiteId":"VEN","dataAreaId":"hgv","ProductColorId":"","ProductConfigurationId":"","ProductSizeId":"","ProductStyleId":""}</t>
  </si>
  <si>
    <t>{"ItemNumber":"102282","ProductName":"V-GM WitteKool.Prei.PaprikaG.UienR.PeperR","InventoryWarehouseId":"HF","OnHandQuantity":0,"TotalAvailableQuantity":0,"AvailableOnHandQuantity":0,"InventorySiteId":"VEN","dataAreaId":"hgv","ProductColorId":"","ProductConfigurationId":"","ProductSizeId":"","ProductStyleId":""}</t>
  </si>
  <si>
    <t>{"ItemNumber":"102283","ProductName":"V-GM Prei,Spitskool.Peen.Ui Rood","InventoryWarehouseId":"HF","OnHandQuantity":46.392,"TotalAvailableQuantity":721.862,"AvailableOnHandQuantity":46.392,"InventorySiteId":"VEN","dataAreaId":"hgv","ProductColorId":"","ProductConfigurationId":"","ProductSizeId":"","ProductStyleId":""}</t>
  </si>
  <si>
    <t>{"ItemNumber":"102284","ProductName":"V-GM Spitskool.Peen.Prei 6mm.Ui Rood.Tauge","InventoryWarehouseId":"HF","OnHandQuantity":0,"TotalAvailableQuantity":0,"AvailableOnHandQuantity":0,"InventorySiteId":"VEN","dataAreaId":"hgv","ProductColorId":"","ProductConfigurationId":"","ProductSizeId":"","ProductStyleId":""}</t>
  </si>
  <si>
    <t>{"ItemNumber":"102285","ProductName":"V-GM Prei.WitteKool.PaprikaRood.Sperzi.Tauge","InventoryWarehouseId":"HF","OnHandQuantity":273.327,"TotalAvailableQuantity":273.327,"AvailableOnHandQuantity":273.327,"InventorySiteId":"VEN","dataAreaId":"hgv","ProductColorId":"","ProductConfigurationId":"","ProductSizeId":"","ProductStyleId":""}</t>
  </si>
  <si>
    <t>{"ItemNumber":"102287","ProductName":"V-Paprika rood ST-20","InventoryWarehouseId":"HF","OnHandQuantity":3.555,"TotalAvailableQuantity":3.555,"AvailableOnHandQuantity":3.555,"InventorySiteId":"VEN","dataAreaId":"hgv","ProductColorId":"","ProductConfigurationId":"","ProductSizeId":"","ProductStyleId":""}</t>
  </si>
  <si>
    <t>{"ItemNumber":"102288","ProductName":"V-M3-Spruiten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</si>
  <si>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{"ItemNumber":"102291","ProductName":"V-GM Knolseld.Peen,UienW.Bladselderij,Prei","InventoryWarehouseId":"HF","OnHandQuantity":75.657,"TotalAvailableQuantity":75.657,"AvailableOnHandQuantity":75.657,"InventorySiteId":"VEN","dataAreaId":"hgv","ProductColorId":"","ProductConfigurationId":"","ProductSizeId":"","ProductStyleId":""}</t>
  </si>
  <si>
    <t>{"ItemNumber":"102293","ProductName":"V-M3-Prei EN-20","InventoryWarehouseId":"HF","OnHandQuantity":31.4,"TotalAvailableQuantity":31.4,"AvailableOnHandQuantity":31.4,"InventorySiteId":"VEN","dataAreaId":"hgv","ProductColorId":"","ProductConfigurationId":"","ProductSizeId":"","ProductStyleId":""}</t>
  </si>
  <si>
    <t>{"ItemNumber":"102295","ProductName":"V-Krielen UITP","InventoryWarehouseId":"HF","OnHandQuantity":40.54,"TotalAvailableQuantity":40.54,"AvailableOnHandQuantity":40.54,"InventorySiteId":"VEN","dataAreaId":"hgv","ProductColorId":"","ProductConfigurationId":"","ProductSizeId":"","ProductStyleId":""}</t>
  </si>
  <si>
    <t>{"ItemNumber":"102300","ProductName":"V-Sushirijst V20M UITP","InventoryWarehouseId":"HF","OnHandQuantity":216.21,"TotalAvailableQuantity":216.21,"AvailableOnHandQuantity":216.21,"InventorySiteId":"VEN","dataAreaId":"hgv","ProductColorId":"","ProductConfigurationId":"","ProductSizeId":"","ProductStyleId":""}</t>
  </si>
  <si>
    <t>{"ItemNumber":"102301","ProductName":"V-Wakame zeewier ONTD","InventoryWarehouseId":"GR","OnHandQuantity":0,"TotalAvailableQuantity":-3,"AvailableOnHandQuantity":0,"InventorySiteId":"VEN","dataAreaId":"hgv","ProductColorId":"","ProductConfigurationId":"","ProductSizeId":"","ProductStyleId":""}</t>
  </si>
  <si>
    <t>{"ItemNumber":"102303","ProductName":"V-GM Ui Rood.PaprR.G.GR (25-25-50)","InventoryWarehouseId":"HF","OnHandQuantity":39.714,"TotalAvailableQuantity":39.714,"AvailableOnHandQuantity":39.714,"InventorySiteId":"VEN","dataAreaId":"hgv","ProductColorId":"","ProductConfigurationId":"","ProductSizeId":"","ProductStyleId":""}</t>
  </si>
  <si>
    <t>{"ItemNumber":"102304","ProductName":"V-Kikkererwten UITL/UITP","InventoryWarehouseId":"HF","OnHandQuantity":0,"TotalAvailableQuantity":-11.34,"AvailableOnHandQuantity":0,"InventorySiteId":"VEN","dataAreaId":"hgv","ProductColorId":"","ProductConfigurationId":"","ProductSizeId":"","ProductStyleId":""}</t>
  </si>
  <si>
    <t>{"ItemNumber":"102307","ProductName":"V-Linzen bruin UITL/UITP","InventoryWarehouseId":"HF","OnHandQuantity":0,"TotalAvailableQuantity":-17.904,"AvailableOnHandQuantity":0,"InventorySiteId":"VEN","dataAreaId":"hgv","ProductColorId":"","ProductConfigurationId":"","ProductSizeId":"","ProductStyleId":""}</t>
  </si>
  <si>
    <t>{"ItemNumber":"102309","ProductName":"V-GM WKool.Peen oranje/geel. Mais","InventoryWarehouseId":"HF","OnHandQuantity":12.356,"TotalAvailableQuantity":12.356,"AvailableOnHandQuantity":12.356,"InventorySiteId":"VEN","dataAreaId":"hgv","ProductColorId":"","ProductConfigurationId":"","ProductSizeId":"","ProductStyleId":""}</t>
  </si>
  <si>
    <t>{"ItemNumber":"102310","ProductName":"V-Orzo aangezuurd UITP","InventoryWarehouseId":"HF","OnHandQuantity":21.89,"TotalAvailableQuantity":21.89,"AvailableOnHandQuantity":21.89,"InventorySiteId":"VEN","dataAreaId":"hgv","ProductColorId":"","ProductConfigurationId":"","ProductSizeId":"","ProductStyleId":""}</t>
  </si>
  <si>
    <t>{"ItemNumber":"102312","ProductName":"V-Rode Quinoa aangezuurd UITP","InventoryWarehouseId":"HF","OnHandQuantity":14.88,"TotalAvailableQuantity":14.88,"AvailableOnHandQuantity":14.88,"InventorySiteId":"VEN","dataAreaId":"hgv","ProductColorId":"","ProductConfigurationId":"","ProductSizeId":"","ProductStyleId":""}</t>
  </si>
  <si>
    <t>{"ItemNumber":"102313","ProductName":"V-Pompoen wortel zoeteaardappel puree vadouvan UITP","InventoryWarehouseId":"HF","OnHandQuantity":56.36,"TotalAvailableQuantity":56.36,"AvailableOnHandQuantity":56.36,"InventorySiteId":"VEN","dataAreaId":"hgv","ProductColorId":"","ProductConfigurationId":"","ProductSizeId":"","ProductStyleId":""}</t>
  </si>
  <si>
    <t>{"ItemNumber":"10234","ProductName":"Orig.Ital.kaas 32+ sachet 30g","InventoryWarehouseId":"GR","OnHandQuantity":3200,"TotalAvailableQuantity":17600,"AvailableOnHandQuantity":3200,"InventorySiteId":"VEN","dataAreaId":"hgv","ProductColorId":"","ProductConfigurationId":"","ProductSizeId":"","ProductStyleId":""}</t>
  </si>
  <si>
    <t>{"ItemNumber":"10250","ProductName":"Dress Yoghurt CL 50ml Jadico","InventoryWarehouseId":"GR","OnHandQuantity":25350,"TotalAvailableQuantity":36150,"AvailableOnHandQuantity":25350,"InventorySiteId":"VEN","dataAreaId":"hgv","ProductColorId":"","ProductConfigurationId":"","ProductSizeId":"","ProductStyleId":""}</t>
  </si>
  <si>
    <t>{"ItemNumber":"10251","ProductName":"Dress Yoghurt CL 75ml Jadico","InventoryWarehouseId":"GR","OnHandQuantity":23875,"TotalAvailableQuantity":35875,"AvailableOnHandQuantity":23875,"InventorySiteId":"VEN","dataAreaId":"hgv","ProductColorId":"","ProductConfigurationId":"","ProductSizeId":"","ProductStyleId":""}</t>
  </si>
  <si>
    <t>{"ItemNumber":"10253","ProductName":"Dress Cocktail CL 50ml TFKC","InventoryWarehouseId":"GR","OnHandQuantity":16340,"TotalAvailableQuantity":16340,"AvailableOnHandQuantity":16340,"InventorySiteId":"VEN","dataAreaId":"hgv","ProductColorId":"","ProductConfigurationId":"","ProductSizeId":"","ProductStyleId":""}</t>
  </si>
  <si>
    <t>{"ItemNumber":"10254","ProductName":"Dress Vinaigrette CL 60ml TFKC","InventoryWarehouseId":"GR","OnHandQuantity":14352,"TotalAvailableQuantity":14050,"AvailableOnHandQuantity":14352,"InventorySiteId":"VEN","dataAreaId":"hgv","ProductColorId":"","ProductConfigurationId":"","ProductSizeId":"","ProductStyleId":""}</t>
  </si>
  <si>
    <t>{"ItemNumber":"10284","ProductName":"Dressing Pesto marinade kg","InventoryWarehouseId":"GR","OnHandQuantity":174.493,"TotalAvailableQuantity":229.493,"AvailableOnHandQuantity":174.493,"InventorySiteId":"VEN","dataAreaId":"hgv","ProductColorId":"","ProductConfigurationId":"","ProductSizeId":"","ProductStyleId":""}</t>
  </si>
  <si>
    <t>{"ItemNumber":"10290","ProductName":"Parmarella kaas zakje 20g","InventoryWarehouseId":"GR","OnHandQuantity":65800,"TotalAvailableQuantity":99400,"AvailableOnHandQuantity":65800,"InventorySiteId":"VEN","dataAreaId":"hgv","ProductColorId":"","ProductConfigurationId":"","ProductSizeId":"","ProductStyleId":""}</t>
  </si>
  <si>
    <t>{"ItemNumber":"103","ProductName":"CBL 11","InventoryWarehouseId":"EMB3","OnHandQuantity":0,"TotalAvailableQuantity":0,"AvailableOnHandQuantity":0,"InventorySiteId":"VEN","dataAreaId":"hgv","ProductColorId":"","ProductConfigurationId":"","ProductSizeId":"","ProductStyleId":""}</t>
  </si>
  <si>
    <t>{"ItemNumber":"103","ProductName":"CBL 11","InventoryWarehouseId":"EP","OnHandQuantity":55275,"TotalAvailableQuantity":229236,"AvailableOnHandQuantity":55275,"InventorySiteId":"VEN","dataAreaId":"hgv","ProductColorId":"","ProductConfigurationId":"","ProductSizeId":"","ProductStyleId":""}</t>
  </si>
  <si>
    <t>{"ItemNumber":"103","ProductName":"CBL 11","InventoryWarehouseId":"GR","OnHandQuantity":43864,"TotalAvailableQuantity":43871,"AvailableOnHandQuantity":43864,"InventorySiteId":"VEN","dataAreaId":"hgv","ProductColorId":"","ProductConfigurationId":"","ProductSizeId":"","ProductStyleId":""}</t>
  </si>
  <si>
    <t>{"ItemNumber":"103","ProductName":"CBL 11","InventoryWarehouseId":"RL","OnHandQuantity":64,"TotalAvailableQuantity":64,"AvailableOnHandQuantity":64,"InventorySiteId":"VEN","dataAreaId":"hgv","ProductColorId":"","ProductConfigurationId":"","ProductSizeId":"","ProductStyleId":""}</t>
  </si>
  <si>
    <t>{"ItemNumber":"10318","ProductName":"Geitenkaas Honing 7g kg","InventoryWarehouseId":"GR","OnHandQuantity":566.4,"TotalAvailableQuantity":1083.72,"AvailableOnHandQuantity":566.4,"InventorySiteId":"VEN","dataAreaId":"hgv","ProductColorId":"","ProductConfigurationId":"","ProductSizeId":"","ProductStyleId":""}</t>
  </si>
  <si>
    <t>{"ItemNumber":"10323","ProductName":"Croutons Garlic Herb 15x15 20g","InventoryWarehouseId":"GR","OnHandQuantity":19600,"TotalAvailableQuantity":33040,"AvailableOnHandQuantity":19600,"InventorySiteId":"VEN","dataAreaId":"hgv","ProductColorId":"","ProductConfigurationId":"","ProductSizeId":"","ProductStyleId":""}</t>
  </si>
  <si>
    <t>{"ItemNumber":"10324","ProductName":"Sesamzaad Zwart Wit zakje 4.5g","InventoryWarehouseId":"GR","OnHandQuantity":75000,"TotalAvailableQuantity":123000,"AvailableOnHandQuantity":75000,"InventorySiteId":"VEN","dataAreaId":"hgv","ProductColorId":"","ProductConfigurationId":"","ProductSizeId":"","ProductStyleId":""}</t>
  </si>
  <si>
    <t>{"ItemNumber":"10326","ProductName":"Dress Yoghurt Caesar CL 50g","InventoryWarehouseId":"GR","OnHandQuantity":26790,"TotalAvailableQuantity":47310,"AvailableOnHandQuantity":26790,"InventorySiteId":"VEN","dataAreaId":"hgv","ProductColorId":"","ProductConfigurationId":"","ProductSizeId":"","ProductStyleId":""}</t>
  </si>
  <si>
    <t>{"ItemNumber":"10327","ProductName":"Dress Yoghurt Caesar CL 75g","InventoryWarehouseId":"GR","OnHandQuantity":10250,"TotalAvailableQuantity":10250,"AvailableOnHandQuantity":10250,"InventorySiteId":"VEN","dataAreaId":"hgv","ProductColorId":"","ProductConfigurationId":"","ProductSizeId":"","ProductStyleId":""}</t>
  </si>
  <si>
    <t>{"ItemNumber":"10329","ProductName":"Dress Oosters Hessing 50g","InventoryWarehouseId":"GR","OnHandQuantity":19050,"TotalAvailableQuantity":40650,"AvailableOnHandQuantity":19050,"InventorySiteId":"VEN","dataAreaId":"hgv","ProductColorId":"","ProductConfigurationId":"","ProductSizeId":"","ProductStyleId":""}</t>
  </si>
  <si>
    <t>{"ItemNumber":"10333","ProductName":"Dress Balsamico 2-fase 50g","InventoryWarehouseId":"GR","OnHandQuantity":7410,"TotalAvailableQuantity":7410,"AvailableOnHandQuantity":7410,"InventorySiteId":"VEN","dataAreaId":"hgv","ProductColorId":"","ProductConfigurationId":"","ProductSizeId":"","ProductStyleId":""}</t>
  </si>
  <si>
    <t>{"ItemNumber":"10334","ProductName":"Falafel Schijfje IQF kg","InventoryWarehouseId":"GR","OnHandQuantity":720,"TotalAvailableQuantity":10,"AvailableOnHandQuantity":710,"InventorySiteId":"VEN","dataAreaId":"hgv","ProductColorId":"","ProductConfigurationId":"","ProductSizeId":"","ProductStyleId":""}</t>
  </si>
  <si>
    <t>{"ItemNumber":"10339","ProductName":"Tomaat Intense kg","InventoryWarehouseId":"GR","OnHandQuantity":1549,"TotalAvailableQuantity":2989,"AvailableOnHandQuantity":1549,"InventorySiteId":"VEN","dataAreaId":"hgv","ProductColorId":"","ProductConfigurationId":"","ProductSizeId":"","ProductStyleId":""}</t>
  </si>
  <si>
    <t>{"ItemNumber":"10345","ProductName":"Dressing Grieks CL 50ml Jadico","InventoryWarehouseId":"GR","OnHandQuantity":10070,"TotalAvailableQuantity":10070,"AvailableOnHandQuantity":10070,"InventorySiteId":"VEN","dataAreaId":"hgv","ProductColorId":"","ProductConfigurationId":"","ProductSizeId":"","ProductStyleId":""}</t>
  </si>
  <si>
    <t>{"ItemNumber":"10346","ProductName":"Dressing Ranch 30g Zak Solina","InventoryWarehouseId":"GR","OnHandQuantity":9000,"TotalAvailableQuantity":16200,"AvailableOnHandQuantity":9000,"InventorySiteId":"VEN","dataAreaId":"hgv","ProductColorId":"","ProductConfigurationId":"","ProductSizeId":"","ProductStyleId":""}</t>
  </si>
  <si>
    <t>{"ItemNumber":"10352","ProductName":"Bonen Black Cooked IQF","InventoryWarehouseId":"GR","OnHandQuantity":390,"TotalAvailableQuantity":330,"AvailableOnHandQuantity":370,"InventorySiteId":"VEN","dataAreaId":"hgv","ProductColorId":"","ProductConfigurationId":"","ProductSizeId":"","ProductStyleId":""}</t>
  </si>
  <si>
    <t>{"ItemNumber":"10355","ProductName":"Rogge Gekookt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</si>
  <si>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{"ItemNumber":"10364","ProductName":"Humus kg","InventoryWarehouseId":"GR","OnHandQuantity":165.443,"TotalAvailableQuantity":295.443,"AvailableOnHandQuantity":145.443,"InventorySiteId":"VEN","dataAreaId":"hgv","ProductColorId":"","ProductConfigurationId":"","ProductSizeId":"","ProductStyleId":""}</t>
  </si>
  <si>
    <t>{"ItemNumber":"10365","ProductName":"Rijst Wit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</si>
  <si>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{"ItemNumber":"10397","ProductName":"Gebakken Uitjes 10g","InventoryWarehouseId":"GR","OnHandQuantity":7600,"TotalAvailableQuantity":17200,"AvailableOnHandQuantity":7600,"InventorySiteId":"VEN","dataAreaId":"hgv","ProductColorId":"","ProductConfigurationId":"","ProductSizeId":"","ProductStyleId":""}</t>
  </si>
  <si>
    <t>{"ItemNumber":"10398","ProductName":"Orzo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</si>
  <si>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{"ItemNumber":"10399","ProductName":"Ital. mix+Ronde crouton 20g","InventoryWarehouseId":"GR","OnHandQuantity":4600,"TotalAvailableQuantity":9400,"AvailableOnHandQuantity":4600,"InventorySiteId":"VEN","dataAreaId":"hgv","ProductColorId":"","ProductConfigurationId":"","ProductSizeId":"","ProductStyleId":""}</t>
  </si>
  <si>
    <t>{"ItemNumber":"104","ProductName":"CBL 15","InventoryWarehouseId":"EP","OnHandQuantity":6195,"TotalAvailableQuantity":5235,"AvailableOnHandQuantity":6195,"InventorySiteId":"VEN","dataAreaId":"hgv","ProductColorId":"","ProductConfigurationId":"","ProductSizeId":"","ProductStyleId":""}</t>
  </si>
  <si>
    <t>{"ItemNumber":"104","ProductName":"CBL 15","InventoryWarehouseId":"GR","OnHandQuantity":899,"TotalAvailableQuantity":-2221,"AvailableOnHandQuantity":899,"InventorySiteId":"VEN","dataAreaId":"hgv","ProductColorId":"","ProductConfigurationId":"","ProductSizeId":"","ProductStyleId":""}</t>
  </si>
  <si>
    <t>{"ItemNumber":"10406","ProductName":"Broccoli kg","InventoryWarehouseId":"GR","OnHandQuantity":17439,"TotalAvailableQuantity":77916.967,"AvailableOnHandQuantity":17439,"InventorySiteId":"VEN","dataAreaId":"hgv","ProductColorId":"","ProductConfigurationId":"","ProductSizeId":"","ProductStyleId":""}</t>
  </si>
  <si>
    <t>{"ItemNumber":"10423","ProductName":"Marinade Mexican madness kg","InventoryWarehouseId":"GR","OnHandQuantity":29.781,"TotalAvailableQuantity":26.031,"AvailableOnHandQuantity":29.781,"InventorySiteId":"VEN","dataAreaId":"hgv","ProductColorId":"","ProductConfigurationId":"","ProductSizeId":"","ProductStyleId":""}</t>
  </si>
  <si>
    <t>{"ItemNumber":"10428","ProductName":"Dress Kerrie Appel 60g","InventoryWarehouseId":"GR","OnHandQuantity":4680,"TotalAvailableQuantity":4680,"AvailableOnHandQuantity":4680,"InventorySiteId":"VEN","dataAreaId":"hgv","ProductColorId":"","ProductConfigurationId":"","ProductSizeId":"","ProductStyleId":""}</t>
  </si>
  <si>
    <t>{"ItemNumber":"10434","ProductName":"Cashew crunch zakje 10g","InventoryWarehouseId":"GR","OnHandQuantity":10250,"TotalAvailableQuantity":10250,"AvailableOnHandQuantity":10250,"InventorySiteId":"VEN","dataAreaId":"hgv","ProductColorId":"","ProductConfigurationId":"","ProductSizeId":"","ProductStyleId":""}</t>
  </si>
  <si>
    <t>{"ItemNumber":"10449","ProductName":"Spruiten D&amp;M gesch.HSV","InventoryWarehouseId":"GR","OnHandQuantity":7312,"TotalAvailableQuantity":27637,"AvailableOnHandQuantity":7312,"InventorySiteId":"VEN","dataAreaId":"hgv","ProductColorId":"","ProductConfigurationId":"","ProductSizeId":"","ProductStyleId":""}</t>
  </si>
  <si>
    <t>{"ItemNumber":"10464","ProductName":"Baconzegels BL1-V1 kg","InventoryWarehouseId":"GR","OnHandQuantity":665,"TotalAvailableQuantity":605,"AvailableOnHandQuantity":625,"InventorySiteId":"VEN","dataAreaId":"hgv","ProductColorId":"","ProductConfigurationId":"","ProductSizeId":"","ProductStyleId":""}</t>
  </si>
  <si>
    <t>{"ItemNumber":"10465","ProductName":"Aardappel Part met schil kg","InventoryWarehouseId":"GR","OnHandQuantity":2170,"TotalAvailableQuantity":8890,"AvailableOnHandQuantity":2170,"InventorySiteId":"VEN","dataAreaId":"hgv","ProductColorId":"","ProductConfigurationId":"","ProductSizeId":"","ProductStyleId":""}</t>
  </si>
  <si>
    <t>{"ItemNumber":"10475","ProductName":"Rotelle Pasta","InventoryWarehouseId":"GR","OnHandQuantity":690,"TotalAvailableQuantity":1170,"AvailableOnHandQuantity":690,"InventorySiteId":"VEN","dataAreaId":"hgv","ProductColorId":"","ProductConfigurationId":"","ProductSizeId":"","ProductStyleId":""}</t>
  </si>
  <si>
    <t>{"ItemNumber":"10476","ProductName":"Wortel Julienne Vacuum Verpakt","InventoryWarehouseId":"GR","OnHandQuantity":3375.868,"TotalAvailableQuantity":3375.868,"AvailableOnHandQuantity":3375.868,"InventorySiteId":"VEN","dataAreaId":"hgv","ProductColorId":"","ProductConfigurationId":"","ProductSizeId":"","ProductStyleId":""}</t>
  </si>
  <si>
    <t>{"ItemNumber":"10477","ProductName":"Selderij Julien Vacuum Verpakt","InventoryWarehouseId":"GR","OnHandQuantity":3453.876,"TotalAvailableQuantity":3453.876,"AvailableOnHandQuantity":3453.876,"InventorySiteId":"VEN","dataAreaId":"hgv","ProductColorId":"","ProductConfigurationId":"","ProductSizeId":"","ProductStyleId":""}</t>
  </si>
  <si>
    <t>{"ItemNumber":"10478","ProductName":"Kidney Boon Vacuum Verpakt","InventoryWarehouseId":"GR","OnHandQuantity":540,"TotalAvailableQuantity":1890,"AvailableOnHandQuantity":540,"InventorySiteId":"VEN","dataAreaId":"hgv","ProductColorId":"","ProductConfigurationId":"","ProductSizeId":"","ProductStyleId":""}</t>
  </si>
  <si>
    <t>{"ItemNumber":"10479","ProductName":"Ananas Tidbit   Vacuum Verpakt","InventoryWarehouseId":"GR","OnHandQuantity":580,"TotalAvailableQuantity":580,"AvailableOnHandQuantity":580,"InventorySiteId":"VEN","dataAreaId":"hgv","ProductColorId":"","ProductConfigurationId":"","ProductSizeId":"","ProductStyleId":""}</t>
  </si>
  <si>
    <t>{"ItemNumber":"10481","ProductName":"Mozzarella Bol 5 gr VERS","InventoryWarehouseId":"GR","OnHandQuantity":160,"TotalAvailableQuantity":1760,"AvailableOnHandQuantity":160,"InventorySiteId":"VEN","dataAreaId":"hgv","ProductColorId":"","ProductConfigurationId":"","ProductSizeId":"","ProductStyleId":""}</t>
  </si>
  <si>
    <t>{"ItemNumber":"10487","ProductName":"Witte kaas kg         12x12x12","InventoryWarehouseId":"GR","OnHandQuantity":192,"TotalAvailableQuantity":1344,"AvailableOnHandQuantity":192,"InventorySiteId":"VEN","dataAreaId":"hgv","ProductColorId":"","ProductConfigurationId":"","ProductSizeId":"","ProductStyleId":""}</t>
  </si>
  <si>
    <t>{"ItemNumber":"10488","ProductName":"Yoghurt kg","InventoryWarehouseId":"GR","OnHandQuantity":309.122,"TotalAvailableQuantity":294.431,"AvailableOnHandQuantity":309.122,"InventorySiteId":"VEN","dataAreaId":"hgv","ProductColorId":"","ProductConfigurationId":"","ProductSizeId":"","ProductStyleId":""}</t>
  </si>
  <si>
    <t>{"ItemNumber":"10491","ProductName":"Azijn kg","InventoryWarehouseId":"GR","OnHandQuantity":430,"TotalAvailableQuantity":430,"AvailableOnHandQuantity":430,"InventorySiteId":"VEN","dataAreaId":"hgv","ProductColorId":"","ProductConfigurationId":"","ProductSizeId":"","ProductStyleId":""}</t>
  </si>
  <si>
    <t>{"ItemNumber":"10492","ProductName":"Sla Olie (RAAP) kg","InventoryWarehouseId":"GR","OnHandQuantity":540,"TotalAvailableQuantity":540,"AvailableOnHandQuantity":540,"InventorySiteId":"VEN","dataAreaId":"hgv","ProductColorId":"","ProductConfigurationId":"","ProductSizeId":"","ProductStyleId":""}</t>
  </si>
  <si>
    <t>{"ItemNumber":"10493","ProductName":"Roomland Slagroom kg","InventoryWarehouseId":"GR","OnHandQuantity":221.409,"TotalAvailableQuantity":217.353,"AvailableOnHandQuantity":221.409,"InventorySiteId":"VEN","dataAreaId":"hgv","ProductColorId":"","ProductConfigurationId":"","ProductSizeId":"","ProductStyleId":""}</t>
  </si>
  <si>
    <t>{"ItemNumber":"10496","ProductName":"Kaas Reep (5x5x30) 5x2 kg","InventoryWarehouseId":"GR","OnHandQuantity":160,"TotalAvailableQuantity":1840,"AvailableOnHandQuantity":160,"InventorySiteId":"VEN","dataAreaId":"hgv","ProductColorId":"","ProductConfigurationId":"","ProductSizeId":"","ProductStyleId":""}</t>
  </si>
  <si>
    <t>{"ItemNumber":"10497","ProductName":"Sperziebonen IQF","InventoryWarehouseId":"GR","OnHandQuantity":1670,"TotalAvailableQuantity":1060,"AvailableOnHandQuantity":1620,"InventorySiteId":"VEN","dataAreaId":"hgv","ProductColorId":"","ProductConfigurationId":"","ProductSizeId":"","ProductStyleId":""}</t>
  </si>
  <si>
    <t>{"ItemNumber":"105","ProductName":"CBL 17","InventoryWarehouseId":"EMB3","OnHandQuantity":0,"TotalAvailableQuantity":0,"AvailableOnHandQuantity":0,"InventorySiteId":"VEN","dataAreaId":"hgv","ProductColorId":"","ProductConfigurationId":"","ProductSizeId":"","ProductStyleId":""}</t>
  </si>
  <si>
    <t>{"ItemNumber":"105","ProductName":"CBL 17","InventoryWarehouseId":"EP","OnHandQuantity":-2507,"TotalAvailableQuantity":-2507,"AvailableOnHandQuantity":-2507,"InventorySiteId":"VEN","dataAreaId":"hgv","ProductColorId":"","ProductConfigurationId":"","ProductSizeId":"","ProductStyleId":""}</t>
  </si>
  <si>
    <t>{"ItemNumber":"105","ProductName":"CBL 17","InventoryWarehouseId":"GR","OnHandQuantity":12693,"TotalAvailableQuantity":9314,"AvailableOnHandQuantity":12693,"InventorySiteId":"VEN","dataAreaId":"hgv","ProductColorId":"","ProductConfigurationId":"","ProductSizeId":"","ProductStyleId":""}</t>
  </si>
  <si>
    <t>{"ItemNumber":"105","ProductName":"CBL 17","InventoryWarehouseId":"RL","OnHandQuantity":-451,"TotalAvailableQuantity":-451,"AvailableOnHandQuantity":-451,"InventorySiteId":"VEN","dataAreaId":"hgv","ProductColorId":"","ProductConfigurationId":"","ProductSizeId":"","ProductStyleId":""}</t>
  </si>
  <si>
    <t>{"ItemNumber":"10502","ProductName":"Dille Punten","InventoryWarehouseId":"GR","OnHandQuantity":81.949,"TotalAvailableQuantity":80.867,"AvailableOnHandQuantity":81.949,"InventorySiteId":"VEN","dataAreaId":"hgv","ProductColorId":"","ProductConfigurationId":"","ProductSizeId":"","ProductStyleId":""}</t>
  </si>
  <si>
    <t>{"ItemNumber":"10503","ProductName":"Emulgator kg","InventoryWarehouseId":"GR","OnHandQuantity":60,"TotalAvailableQuantity":58.754,"AvailableOnHandQuantity":60,"InventorySiteId":"VEN","dataAreaId":"hgv","ProductColorId":"","ProductConfigurationId":"","ProductSizeId":"","ProductStyleId":""}</t>
  </si>
  <si>
    <t>{"ItemNumber":"10504","ProductName":"Suiker kg","InventoryWarehouseId":"GR","OnHandQuantity":429.159,"TotalAvailableQuantity":416.979,"AvailableOnHandQuantity":429.159,"InventorySiteId":"VEN","dataAreaId":"hgv","ProductColorId":"","ProductConfigurationId":"","ProductSizeId":"","ProductStyleId":""}</t>
  </si>
  <si>
    <t>{"ItemNumber":"10505","ProductName":"Ui Gedroogd kg","InventoryWarehouseId":"GR","OnHandQuantity":207.722,"TotalAvailableQuantity":201.773,"AvailableOnHandQuantity":207.722,"InventorySiteId":"VEN","dataAreaId":"hgv","ProductColorId":"","ProductConfigurationId":"","ProductSizeId":"","ProductStyleId":""}</t>
  </si>
  <si>
    <t>{"ItemNumber":"10506","ProductName":"Zout kg","InventoryWarehouseId":"GR","OnHandQuantity":500,"TotalAvailableQuantity":499.607,"AvailableOnHandQuantity":500,"InventorySiteId":"VEN","dataAreaId":"hgv","ProductColorId":"","ProductConfigurationId":"","ProductSizeId":"","ProductStyleId":""}</t>
  </si>
  <si>
    <t>{"ItemNumber":"10510","ProductName":"Fusilli Pasta","InventoryWarehouseId":"GR","OnHandQuantity":1210,"TotalAvailableQuantity":2170,"AvailableOnHandQuantity":1210,"InventorySiteId":"VEN","dataAreaId":"hgv","ProductColorId":"","ProductConfigurationId":"","ProductSizeId":"","ProductStyleId":""}</t>
  </si>
  <si>
    <t>{"ItemNumber":"10511","ProductName":"Pennette Rigate Pasta","InventoryWarehouseId":"GR","OnHandQuantity":1570,"TotalAvailableQuantity":3010,"AvailableOnHandQuantity":1570,"InventorySiteId":"VEN","dataAreaId":"hgv","ProductColorId":"","ProductConfigurationId":"","ProductSizeId":"","ProductStyleId":""}</t>
  </si>
  <si>
    <t>{"ItemNumber":"10520","ProductName":"Mango Flakes IQF","InventoryWarehouseId":"GR","OnHandQuantity":0,"TotalAvailableQuantity":-140,"AvailableOnHandQuantity":0,"InventorySiteId":"VEN","dataAreaId":"hgv","ProductColorId":"","ProductConfigurationId":"","ProductSizeId":"","ProductStyleId":""}</t>
  </si>
  <si>
    <t>{"ItemNumber":"10523","ProductName":"Mix Sesamzaad Cocos Ui 18 gr","InventoryWarehouseId":"GR","OnHandQuantity":13800,"TotalAvailableQuantity":13800,"AvailableOnHandQuantity":13800,"InventorySiteId":"VEN","dataAreaId":"hgv","ProductColorId":"","ProductConfigurationId":"","ProductSizeId":"","ProductStyleId":""}</t>
  </si>
  <si>
    <t>{"ItemNumber":"10526","ProductName":"Kaas sachet 25g","InventoryWarehouseId":"GR","OnHandQuantity":8000,"TotalAvailableQuantity":17600,"AvailableOnHandQuantity":8000,"InventorySiteId":"VEN","dataAreaId":"hgv","ProductColorId":"","ProductConfigurationId":"","ProductSizeId":"","ProductStyleId":""}</t>
  </si>
  <si>
    <t>{"ItemNumber":"10536","ProductName":"Walnoten zakje 20g st","InventoryWarehouseId":"GR","OnHandQuantity":9750,"TotalAvailableQuantity":15750,"AvailableOnHandQuantity":9750,"InventorySiteId":"VEN","dataAreaId":"hgv","ProductColorId":"","ProductConfigurationId":"","ProductSizeId":"","ProductStyleId":""}</t>
  </si>
  <si>
    <t>{"ItemNumber":"10538","ProductName":"Amandelstiften 20g zakje st","InventoryWarehouseId":"GR","OnHandQuantity":14500,"TotalAvailableQuantity":26500,"AvailableOnHandQuantity":14500,"InventorySiteId":"VEN","dataAreaId":"hgv","ProductColorId":"","ProductConfigurationId":"","ProductSizeId":"","ProductStyleId":""}</t>
  </si>
  <si>
    <t>{"ItemNumber":"10542","ProductName":"Parmarella kaas zakje 30g st","InventoryWarehouseId":"GR","OnHandQuantity":7200,"TotalAvailableQuantity":12000,"AvailableOnHandQuantity":7200,"InventorySiteId":"VEN","dataAreaId":"hgv","ProductColorId":"","ProductConfigurationId":"","ProductSizeId":"","ProductStyleId":""}</t>
  </si>
  <si>
    <t>{"ItemNumber":"10544","ProductName":"Cranberry gedroogd","InventoryWarehouseId":"GR","OnHandQuantity":306.18,"TotalAvailableQuantity":532.98,"AvailableOnHandQuantity":306.18,"InventorySiteId":"VEN","dataAreaId":"hgv","ProductColorId":"","ProductConfigurationId":"","ProductSizeId":"","ProductStyleId":""}</t>
  </si>
  <si>
    <t>{"ItemNumber":"10545","ProductName":"Sachet augurk zilverui 40g","InventoryWarehouseId":"GR","OnHandQuantity":9600,"TotalAvailableQuantity":16800,"AvailableOnHandQuantity":9600,"InventorySiteId":"VEN","dataAreaId":"hgv","ProductColorId":"","ProductConfigurationId":"","ProductSizeId":"","ProductStyleId":""}</t>
  </si>
  <si>
    <t>{"ItemNumber":"10547","ProductName":"Ei Gekookt scharrel kg","InventoryWarehouseId":"GR","OnHandQuantity":1520,"TotalAvailableQuantity":3440,"AvailableOnHandQuantity":1520,"InventorySiteId":"VEN","dataAreaId":"hgv","ProductColorId":"","ProductConfigurationId":"","ProductSizeId":"","ProductStyleId":""}</t>
  </si>
  <si>
    <t>{"ItemNumber":"10549","ProductName":"Spruiten D IQF","InventoryWarehouseId":"GR","OnHandQuantity":680,"TotalAvailableQuantity":680,"AvailableOnHandQuantity":680,"InventorySiteId":"VEN","dataAreaId":"hgv","ProductColorId":"","ProductConfigurationId":"","ProductSizeId":"","ProductStyleId":""}</t>
  </si>
  <si>
    <t>{"ItemNumber":"10553","ProductName":"Croutons sachet 20g st","InventoryWarehouseId":"GR","OnHandQuantity":0,"TotalAvailableQuantity":0,"AvailableOnHandQuantity":0,"InventorySiteId":"VEN","dataAreaId":"hgv","ProductColorId":"","ProductConfigurationId":"","ProductSizeId":"","ProductStyleId":""}</t>
  </si>
  <si>
    <t>{"ItemNumber":"10554","ProductName":"Mediteraanse mix 20g st","InventoryWarehouseId":"GR","OnHandQuantity":9400,"TotalAvailableQuantity":14200,"AvailableOnHandQuantity":9400,"InventorySiteId":"VEN","dataAreaId":"hgv","ProductColorId":"","ProductConfigurationId":"","ProductSizeId":"","ProductStyleId":""}</t>
  </si>
  <si>
    <t>{"ItemNumber":"10562","ProductName":"Zoete Aardappel 15x20x25mm IQF","InventoryWarehouseId":"GR","OnHandQuantity":140,"TotalAvailableQuantity":140,"AvailableOnHandQuantity":140,"InventorySiteId":"VEN","dataAreaId":"hgv","ProductColorId":"","ProductConfigurationId":"","ProductSizeId":"","ProductStyleId":""}</t>
  </si>
  <si>
    <t>{"ItemNumber":"10566","ProductName":"Bulgur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</si>
  <si>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{"ItemNumber":"10569","ProductName":"Kappertjes kg","InventoryWarehouseId":"GR","OnHandQuantity":272,"TotalAvailableQuantity":476,"AvailableOnHandQuantity":272,"InventorySiteId":"VEN","dataAreaId":"hgv","ProductColorId":"","ProductConfigurationId":"","ProductSizeId":"","ProductStyleId":""}</t>
  </si>
  <si>
    <t>{"ItemNumber":"10579","ProductName":"Biet A kg","InventoryWarehouseId":"GR","OnHandQuantity":320,"TotalAvailableQuantity":320,"AvailableOnHandQuantity":320,"InventorySiteId":"VEN","dataAreaId":"hgv","ProductColorId":"","ProductConfigurationId":"","ProductSizeId":"","ProductStyleId":""}</t>
  </si>
  <si>
    <t>{"ItemNumber":"10581","ProductName":"Bleekselderij kg HSV","InventoryWarehouseId":"GR","OnHandQuantity":3279,"TotalAvailableQuantity":9141.662,"AvailableOnHandQuantity":3279,"InventorySiteId":"VEN","dataAreaId":"hgv","ProductColorId":"","ProductConfigurationId":"","ProductSizeId":"","ProductStyleId":""}</t>
  </si>
  <si>
    <t>{"ItemNumber":"10582","ProductName":"Winterpeen brok geschrapt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</si>
  <si>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{"ItemNumber":"10583","ProductName":"Bloemkool heel kg","InventoryWarehouseId":"GR","OnHandQuantity":49025.36,"TotalAvailableQuantity":91116.56,"AvailableOnHandQuantity":49025.36,"InventorySiteId":"VEN","dataAreaId":"hgv","ProductColorId":"","ProductConfigurationId":"","ProductSizeId":"","ProductStyleId":""}</t>
  </si>
  <si>
    <t>{"ItemNumber":"10587","ProductName":"Pastinaken kg","InventoryWarehouseId":"GR","OnHandQuantity":11.4,"TotalAvailableQuantity":11.4,"AvailableOnHandQuantity":11.4,"InventorySiteId":"VEN","dataAreaId":"hgv","ProductColorId":"","ProductConfigurationId":"","ProductSizeId":"","ProductStyleId":""}</t>
  </si>
  <si>
    <t>{"ItemNumber":"106","ProductName":"CBL 23","InventoryWarehouseId":"EMB3","OnHandQuantity":2525,"TotalAvailableQuantity":2525,"AvailableOnHandQuantity":2525,"InventorySiteId":"VEN","dataAreaId":"hgv","ProductColorId":"","ProductConfigurationId":"","ProductSizeId":"","ProductStyleId":""}</t>
  </si>
  <si>
    <t>{"ItemNumber":"106","ProductName":"CBL 23","InventoryWarehouseId":"EP","OnHandQuantity":7767,"TotalAvailableQuantity":7767,"AvailableOnHandQuantity":7767,"InventorySiteId":"VEN","dataAreaId":"hgv","ProductColorId":"","ProductConfigurationId":"","ProductSizeId":"","ProductStyleId":""}</t>
  </si>
  <si>
    <t>{"ItemNumber":"106","ProductName":"CBL 23","InventoryWarehouseId":"GR","OnHandQuantity":36203,"TotalAvailableQuantity":28428,"AvailableOnHandQuantity":36203,"InventorySiteId":"VEN","dataAreaId":"hgv","ProductColorId":"","ProductConfigurationId":"","ProductSizeId":"","ProductStyleId":""}</t>
  </si>
  <si>
    <t>{"ItemNumber":"106","ProductName":"CBL 23","InventoryWarehouseId":"RL","OnHandQuantity":469,"TotalAvailableQuantity":334,"AvailableOnHandQuantity":469,"InventorySiteId":"VEN","dataAreaId":"hgv","ProductColorId":"","ProductConfigurationId":"","ProductSizeId":"","ProductStyleId":""}</t>
  </si>
  <si>
    <t>{"ItemNumber":"10603","ProductName":"Pompoen Fles kg","InventoryWarehouseId":"GR","OnHandQuantity":11890.7,"TotalAvailableQuantity":46090.7,"AvailableOnHandQuantity":11890.7,"InventorySiteId":"VEN","dataAreaId":"hgv","ProductColorId":"","ProductConfigurationId":"","ProductSizeId":"","ProductStyleId":""}</t>
  </si>
  <si>
    <t>{"ItemNumber":"10613","ProductName":"Komkommer fijn kg HSV","InventoryWarehouseId":"GR","OnHandQuantity":12095.65,"TotalAvailableQuantity":36470.65,"AvailableOnHandQuantity":12095.65,"InventorySiteId":"VEN","dataAreaId":"hgv","ProductColorId":"","ProductConfigurationId":"","ProductSizeId":"","ProductStyleId":""}</t>
  </si>
  <si>
    <t>{"ItemNumber":"10622","ProductName":"Ei gekookt BL2-EI2 kg","InventoryWarehouseId":"GR","OnHandQuantity":419.42,"TotalAvailableQuantity":695.036,"AvailableOnHandQuantity":419.42,"InventorySiteId":"VEN","dataAreaId":"hgv","ProductColorId":"","ProductConfigurationId":"","ProductSizeId":"","ProductStyleId":""}</t>
  </si>
  <si>
    <t>{"ItemNumber":"10634","ProductName":"Witte kool 1/4 kg","InventoryWarehouseId":"RL","OnHandQuantity":8100,"TotalAvailableQuantity":-2700,"AvailableOnHandQuantity":0,"InventorySiteId":"VEN","dataAreaId":"hgv","ProductColorId":"","ProductConfigurationId":"","ProductSizeId":"","ProductStyleId":""}</t>
  </si>
  <si>
    <t>{"ItemNumber":"10635","ProductName":"Radijs geschoond kg","InventoryWarehouseId":"GR","OnHandQuantity":572.5,"TotalAvailableQuantity":663.512,"AvailableOnHandQuantity":572.5,"InventorySiteId":"VEN","dataAreaId":"hgv","ProductColorId":"","ProductConfigurationId":"","ProductSizeId":"","ProductStyleId":""}</t>
  </si>
  <si>
    <t>{"ItemNumber":"10648","ProductName":"Witte kool heel kg","InventoryWarehouseId":"GR","OnHandQuantity":7930.5,"TotalAvailableQuantity":83588.616,"AvailableOnHandQuantity":7930.5,"InventorySiteId":"VEN","dataAreaId":"hgv","ProductColorId":"","ProductConfigurationId":"","ProductSizeId":"","ProductStyleId":""}</t>
  </si>
  <si>
    <t>{"ItemNumber":"10649","ProductName":"Witte kool geboord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</si>
  <si>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{"ItemNumber":"10653","ProductName":"Lollo bionda kg","InventoryWarehouseId":"GR","OnHandQuantity":2666,"TotalAvailableQuantity":5722,"AvailableOnHandQuantity":2666,"InventorySiteId":"VEN","dataAreaId":"hgv","ProductColorId":"","ProductConfigurationId":"","ProductSizeId":"","ProductStyleId":""}</t>
  </si>
  <si>
    <t>{"ItemNumber":"10654","ProductName":"Romania Sla langst koude gr.kg","InventoryWarehouseId":"GR","OnHandQuantity":9796,"TotalAvailableQuantity":41534,"AvailableOnHandQuantity":9796,"InventorySiteId":"VEN","dataAreaId":"hgv","ProductColorId":"","ProductConfigurationId":"","ProductSizeId":"","ProductStyleId":""}</t>
  </si>
  <si>
    <t>{"ItemNumber":"10673","ProductName":"Dress Dille Mierikswortel 55g","InventoryWarehouseId":"GR","OnHandQuantity":25500,"TotalAvailableQuantity":25500,"AvailableOnHandQuantity":25500,"InventorySiteId":"VEN","dataAreaId":"hgv","ProductColorId":"","ProductConfigurationId":"","ProductSizeId":"","ProductStyleId":""}</t>
  </si>
  <si>
    <t>{"ItemNumber":"10685","ProductName":"BIO Rucola kg","InventoryWarehouseId":"GR","OnHandQuantity":640,"TotalAvailableQuantity":1824,"AvailableOnHandQuantity":640,"InventorySiteId":"VEN","dataAreaId":"hgv","ProductColorId":"","ProductConfigurationId":"","ProductSizeId":"","ProductStyleId":""}</t>
  </si>
  <si>
    <t>{"ItemNumber":"10686","ProductName":"Babyleaf Lollo rosso kg","InventoryWarehouseId":"GR","OnHandQuantity":864.5,"TotalAvailableQuantity":2009.5,"AvailableOnHandQuantity":864.5,"InventorySiteId":"VEN","dataAreaId":"hgv","ProductColorId":"","ProductConfigurationId":"","ProductSizeId":"","ProductStyleId":""}</t>
  </si>
  <si>
    <t>{"ItemNumber":"10687","ProductName":"Babyleaf Lollo bionda kg","InventoryWarehouseId":"GR","OnHandQuantity":483,"TotalAvailableQuantity":1097,"AvailableOnHandQuantity":483,"InventorySiteId":"VEN","dataAreaId":"hgv","ProductColorId":"","ProductConfigurationId":"","ProductSizeId":"","ProductStyleId":""}</t>
  </si>
  <si>
    <t>{"ItemNumber":"10688","ProductName":"Babyleaf Red Chard kg","InventoryWarehouseId":"GR","OnHandQuantity":739,"TotalAvailableQuantity":2121,"AvailableOnHandQuantity":739,"InventorySiteId":"VEN","dataAreaId":"hgv","ProductColorId":"","ProductConfigurationId":"","ProductSizeId":"","ProductStyleId":""}</t>
  </si>
  <si>
    <t>{"ItemNumber":"10713","ProductName":"Kip ER Chili Paprika MP IQF kg","InventoryWarehouseId":"GR","OnHandQuantity":0,"TotalAvailableQuantity":-580,"AvailableOnHandQuantity":0,"InventorySiteId":"VEN","dataAreaId":"hgv","ProductColorId":"","ProductConfigurationId":"","ProductSizeId":"","ProductStyleId":""}</t>
  </si>
  <si>
    <t>{"ItemNumber":"10720","ProductName":"Eikenbladsla rood kg","InventoryWarehouseId":"GR","OnHandQuantity":997.5,"TotalAvailableQuantity":1837.5,"AvailableOnHandQuantity":997.5,"InventorySiteId":"VEN","dataAreaId":"hgv","ProductColorId":"","ProductConfigurationId":"","ProductSizeId":"","ProductStyleId":""}</t>
  </si>
  <si>
    <t>{"ItemNumber":"10724","ProductName":"Parcel Geschrapt kg","InventoryWarehouseId":"GR","OnHandQuantity":3100,"TotalAvailableQuantity":48100,"AvailableOnHandQuantity":3100,"InventorySiteId":"VEN","dataAreaId":"hgv","ProductColorId":"","ProductConfigurationId":"","ProductSizeId":"","ProductStyleId":""}</t>
  </si>
  <si>
    <t>{"ItemNumber":"10728","ProductName":"Koolraap geschoond kg","InventoryWarehouseId":"GR","OnHandQuantity":2607,"TotalAvailableQuantity":8007,"AvailableOnHandQuantity":2607,"InventorySiteId":"VEN","dataAreaId":"hgv","ProductColorId":"","ProductConfigurationId":"","ProductSizeId":"","ProductStyleId":""}</t>
  </si>
  <si>
    <t>{"ItemNumber":"10767","ProductName":"Specerijen bouillon 15g","InventoryWarehouseId":"GR","OnHandQuantity":0,"TotalAvailableQuantity":27000,"AvailableOnHandQuantity":0,"InventorySiteId":"VEN","dataAreaId":"hgv","ProductColorId":"","ProductConfigurationId":"","ProductSizeId":"","ProductStyleId":""}</t>
  </si>
  <si>
    <t>{"ItemNumber":"10772","ProductName":"Tomaten Oregano bouillonp.30g","InventoryWarehouseId":"GR","OnHandQuantity":0,"TotalAvailableQuantity":20250,"AvailableOnHandQuantity":0,"InventorySiteId":"VEN","dataAreaId":"hgv","ProductColorId":"","ProductConfigurationId":"","ProductSizeId":"","ProductStyleId":""}</t>
  </si>
  <si>
    <t>{"ItemNumber":"10773","ProductName":"Kaassaus Z.Red. KG","InventoryWarehouseId":"GR","OnHandQuantity":0,"TotalAvailableQuantity":-0.473,"AvailableOnHandQuantity":0,"InventorySiteId":"VEN","dataAreaId":"hgv","ProductColorId":"","ProductConfigurationId":"","ProductSizeId":"","ProductStyleId":""}</t>
  </si>
  <si>
    <t>{"ItemNumber":"10783","ProductName":"TortillaChips ChiliTriangle20g","InventoryWarehouseId":"GR","OnHandQuantity":19000,"TotalAvailableQuantity":33400,"AvailableOnHandQuantity":19000,"InventorySiteId":"VEN","dataAreaId":"hgv","ProductColorId":"","ProductConfigurationId":"","ProductSizeId":"","ProductStyleId":""}</t>
  </si>
  <si>
    <t>{"ItemNumber":"10792","ProductName":"Peen brok Hutspot kg","InventoryWarehouseId":"GR","OnHandQuantity":21889.5,"TotalAvailableQuantity":237788.208,"AvailableOnHandQuantity":21889.5,"InventorySiteId":"VEN","dataAreaId":"hgv","ProductColorId":"","ProductConfigurationId":"","ProductSizeId":"","ProductStyleId":""}</t>
  </si>
  <si>
    <t>{"ItemNumber":"10821","ProductName":"Geitenkaas Crumble Kg","InventoryWarehouseId":"GR","OnHandQuantity":328,"TotalAvailableQuantity":328,"AvailableOnHandQuantity":328,"InventorySiteId":"VEN","dataAreaId":"hgv","ProductColorId":"","ProductConfigurationId":"","ProductSizeId":"","ProductStyleId":""}</t>
  </si>
  <si>
    <t>{"ItemNumber":"10837","ProductName":"Eikenbladsla groen kg","InventoryWarehouseId":"GR","OnHandQuantity":1180,"TotalAvailableQuantity":3774,"AvailableOnHandQuantity":1180,"InventorySiteId":"VEN","dataAreaId":"hgv","ProductColorId":"","ProductConfigurationId":"","ProductSizeId":"","ProductStyleId":""}</t>
  </si>
  <si>
    <t>{"ItemNumber":"10845","ProductName":"Spitskool Paars kg","InventoryWarehouseId":"GR","OnHandQuantity":1383,"TotalAvailableQuantity":2383,"AvailableOnHandQuantity":1383,"InventorySiteId":"VEN","dataAreaId":"hgv","ProductColorId":"","ProductConfigurationId":"","ProductSizeId":"","ProductStyleId":""}</t>
  </si>
  <si>
    <t>{"ItemNumber":"10847","ProductName":"Ger Kip.Groenl BL1-K1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</si>
  <si>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{"ItemNumber":"10858","ProductName":"BIO Spinazie kg","InventoryWarehouseId":"GR","OnHandQuantity":1139,"TotalAvailableQuantity":9421,"AvailableOnHandQuantity":1139,"InventorySiteId":"VEN","dataAreaId":"hgv","ProductColorId":"","ProductConfigurationId":"","ProductSizeId":"","ProductStyleId":""}</t>
  </si>
  <si>
    <t>{"ItemNumber":"10859","ProductName":"Waspeen fijn geschrapt kg","InventoryWarehouseId":"GR","OnHandQuantity":1750,"TotalAvailableQuantity":20500,"AvailableOnHandQuantity":1750,"InventorySiteId":"VEN","dataAreaId":"hgv","ProductColorId":"","ProductConfigurationId":"","ProductSizeId":"","ProductStyleId":""}</t>
  </si>
  <si>
    <t>{"ItemNumber":"10874","ProductName":"Courgette groen kg HSV","InventoryWarehouseId":"GR","OnHandQuantity":1429.3,"TotalAvailableQuantity":25786.054,"AvailableOnHandQuantity":1429.3,"InventorySiteId":"VEN","dataAreaId":"hgv","ProductColorId":"","ProductConfigurationId":"","ProductSizeId":"","ProductStyleId":""}</t>
  </si>
  <si>
    <t>{"ItemNumber":"10891","ProductName":"Gerookte zalm Rodé Vis ASC KG","InventoryWarehouseId":"GR","OnHandQuantity":750,"TotalAvailableQuantity":1780,"AvailableOnHandQuantity":750,"InventorySiteId":"VEN","dataAreaId":"hgv","ProductColorId":"","ProductConfigurationId":"","ProductSizeId":"","ProductStyleId":""}</t>
  </si>
  <si>
    <t>{"ItemNumber":"10902","ProductName":"Dressing Frisse Kruidige 50g","InventoryWarehouseId":"GR","OnHandQuantity":6460,"TotalAvailableQuantity":13300,"AvailableOnHandQuantity":6460,"InventorySiteId":"VEN","dataAreaId":"hgv","ProductColorId":"","ProductConfigurationId":"","ProductSizeId":"","ProductStyleId":""}</t>
  </si>
  <si>
    <t>{"ItemNumber":"10903","ProductName":"Dressing Ketjap 50g","InventoryWarehouseId":"GR","OnHandQuantity":9500,"TotalAvailableQuantity":9500,"AvailableOnHandQuantity":9500,"InventorySiteId":"VEN","dataAreaId":"hgv","ProductColorId":"","ProductConfigurationId":"","ProductSizeId":"","ProductStyleId":""}</t>
  </si>
  <si>
    <t>{"ItemNumber":"10904","ProductName":"Dressing Balsamico V2 Hes 50g","InventoryWarehouseId":"GR","OnHandQuantity":12000,"TotalAvailableQuantity":17400,"AvailableOnHandQuantity":12000,"InventorySiteId":"VEN","dataAreaId":"hgv","ProductColorId":"","ProductConfigurationId":"","ProductSizeId":"","ProductStyleId":""}</t>
  </si>
  <si>
    <t>{"ItemNumber":"10905","ProductName":"Croutons Garlic Herb 15x15 15g","InventoryWarehouseId":"GR","OnHandQuantity":67520,"TotalAvailableQuantity":105920,"AvailableOnHandQuantity":67520,"InventorySiteId":"VEN","dataAreaId":"hgv","ProductColorId":"","ProductConfigurationId":"","ProductSizeId":"","ProductStyleId":""}</t>
  </si>
  <si>
    <t>{"ItemNumber":"10906","ProductName":"Italiaanse Kaas VG 15g","InventoryWarehouseId":"GR","OnHandQuantity":106000,"TotalAvailableQuantity":178000,"AvailableOnHandQuantity":106000,"InventorySiteId":"VEN","dataAreaId":"hgv","ProductColorId":"","ProductConfigurationId":"","ProductSizeId":"","ProductStyleId":""}</t>
  </si>
  <si>
    <t>{"ItemNumber":"10911","ProductName":"Dress Yoghurt Caesar 70g","InventoryWarehouseId":"GR","OnHandQuantity":12420,"TotalAvailableQuantity":18900,"AvailableOnHandQuantity":12420,"InventorySiteId":"VEN","dataAreaId":"hgv","ProductColorId":"","ProductConfigurationId":"","ProductSizeId":"","ProductStyleId":""}</t>
  </si>
  <si>
    <t>{"ItemNumber":"10913","ProductName":"Dress Sweet Chili 50g","InventoryWarehouseId":"GR","OnHandQuantity":20140,"TotalAvailableQuantity":20140,"AvailableOnHandQuantity":20140,"InventorySiteId":"VEN","dataAreaId":"hgv","ProductColorId":"","ProductConfigurationId":"","ProductSizeId":"","ProductStyleId":""}</t>
  </si>
  <si>
    <t>{"ItemNumber":"10916","ProductName":"Peen oranje brok fijn kg","InventoryWarehouseId":"GR","OnHandQuantity":30684,"TotalAvailableQuantity":38942.833,"AvailableOnHandQuantity":30684,"InventorySiteId":"VEN","dataAreaId":"hgv","ProductColorId":"","ProductConfigurationId":"","ProductSizeId":"","ProductStyleId":""}</t>
  </si>
  <si>
    <t>{"ItemNumber":"10919","ProductName":"Dres Caesar HK 20g cupje","InventoryWarehouseId":"GR","OnHandQuantity":9800,"TotalAvailableQuantity":9800,"AvailableOnHandQuantity":9800,"InventorySiteId":"VEN","dataAreaId":"hgv","ProductColorId":"","ProductConfigurationId":"","ProductSizeId":"","ProductStyleId":""}</t>
  </si>
  <si>
    <t>{"ItemNumber":"10920","ProductName":"Dress Caesar HK 70g","InventoryWarehouseId":"GR","OnHandQuantity":15525,"TotalAvailableQuantity":27000,"AvailableOnHandQuantity":15525,"InventorySiteId":"VEN","dataAreaId":"hgv","ProductColorId":"","ProductConfigurationId":"","ProductSizeId":"","ProductStyleId":""}</t>
  </si>
  <si>
    <t>{"ItemNumber":"10921","ProductName":"Dressing Yoghurt HK 75g","InventoryWarehouseId":"GR","OnHandQuantity":13125,"TotalAvailableQuantity":16125,"AvailableOnHandQuantity":13125,"InventorySiteId":"VEN","dataAreaId":"hgv","ProductColorId":"","ProductConfigurationId":"","ProductSizeId":"","ProductStyleId":""}</t>
  </si>
  <si>
    <t>{"ItemNumber":"10923","ProductName":"Kip Filet BL1-K1 Voss IQF","InventoryWarehouseId":"GR","OnHandQuantity":3220,"TotalAvailableQuantity":850,"AvailableOnHandQuantity":2740,"InventorySiteId":"VEN","dataAreaId":"hgv","ProductColorId":"","ProductConfigurationId":"","ProductSizeId":"","ProductStyleId":""}</t>
  </si>
  <si>
    <t>{"ItemNumber":"10924","ProductName":"Amandel Cashew Walnoot 40g","InventoryWarehouseId":"GR","OnHandQuantity":3800,"TotalAvailableQuantity":3800,"AvailableOnHandQuantity":3800,"InventorySiteId":"VEN","dataAreaId":"hgv","ProductColorId":"","ProductConfigurationId":"","ProductSizeId":"","ProductStyleId":""}</t>
  </si>
  <si>
    <t>{"ItemNumber":"10925","ProductName":"Kipfilet CL IQF Vossko Zuur","InventoryWarehouseId":"GR","OnHandQuantity":6750,"TotalAvailableQuantity":3250,"AvailableOnHandQuantity":6310,"InventorySiteId":"VEN","dataAreaId":"hgv","ProductColorId":"","ProductConfigurationId":"","ProductSizeId":"","ProductStyleId":""}</t>
  </si>
  <si>
    <t>{"ItemNumber":"10946","ProductName":"Witte kidney bonen IQF","InventoryWarehouseId":"GR","OnHandQuantity":250,"TotalAvailableQuantity":140,"AvailableOnHandQuantity":240,"InventorySiteId":"VEN","dataAreaId":"hgv","ProductColorId":"","ProductConfigurationId":"","ProductSizeId":"","ProductStyleId":""}</t>
  </si>
  <si>
    <t>{"ItemNumber":"10947","ProductName":"KipDij BL1-K1 Voss IQF","InventoryWarehouseId":"GR","OnHandQuantity":4620,"TotalAvailableQuantity":-3120,"AvailableOnHandQuantity":3910,"InventorySiteId":"VEN","dataAreaId":"hgv","ProductColorId":"","ProductConfigurationId":"","ProductSizeId":"","ProductStyleId":""}</t>
  </si>
  <si>
    <t>{"ItemNumber":"10948","ProductName":"KipDij Gemar. BL1-K1 Vos IQF","InventoryWarehouseId":"GR","OnHandQuantity":1300,"TotalAvailableQuantity":810,"AvailableOnHandQuantity":1160,"InventorySiteId":"VEN","dataAreaId":"hgv","ProductColorId":"","ProductConfigurationId":"","ProductSizeId":"","ProductStyleId":""}</t>
  </si>
  <si>
    <t>{"ItemNumber":"10950","ProductName":"Marinade Indian Mystery kg V2","InventoryWarehouseId":"GR","OnHandQuantity":60.308,"TotalAvailableQuantity":115.308,"AvailableOnHandQuantity":60.308,"InventorySiteId":"VEN","dataAreaId":"hgv","ProductColorId":"","ProductConfigurationId":"","ProductSizeId":"","ProductStyleId":""}</t>
  </si>
  <si>
    <t>{"ItemNumber":"10953","ProductName":"Couscous LP kg V2","InventoryWarehouseId":"GR","OnHandQuantity":210,"TotalAvailableQuantity":210,"AvailableOnHandQuantity":210,"InventorySiteId":"VEN","dataAreaId":"hgv","ProductColorId":"","ProductConfigurationId":"","ProductSizeId":"","ProductStyleId":""}</t>
  </si>
  <si>
    <t>{"ItemNumber":"10954","ProductName":"Winterp. geel brok/geschr Fijn","InventoryWarehouseId":"GR","OnHandQuantity":812,"TotalAvailableQuantity":4120.51,"AvailableOnHandQuantity":812,"InventorySiteId":"VEN","dataAreaId":"hgv","ProductColorId":"","ProductConfigurationId":"","ProductSizeId":"","ProductStyleId":""}</t>
  </si>
  <si>
    <t>{"ItemNumber":"10955","ProductName":"Winterp. geel brok/geschr Grof","InventoryWarehouseId":"GR","OnHandQuantity":2640,"TotalAvailableQuantity":9040,"AvailableOnHandQuantity":2640,"InventorySiteId":"VEN","dataAreaId":"hgv","ProductColorId":"","ProductConfigurationId":"","ProductSizeId":"","ProductStyleId":""}</t>
  </si>
  <si>
    <t>{"ItemNumber":"10957","ProductName":"Dress Yoghurt BL3-Z3 50g","InventoryWarehouseId":"GR","OnHandQuantity":19190,"TotalAvailableQuantity":26030,"AvailableOnHandQuantity":19190,"InventorySiteId":"VEN","dataAreaId":"hgv","ProductColorId":"","ProductConfigurationId":"","ProductSizeId":"","ProductStyleId":""}</t>
  </si>
  <si>
    <t>{"ItemNumber":"10958","ProductName":"Walnoot Rozijnen mix 25g","InventoryWarehouseId":"GR","OnHandQuantity":7500,"TotalAvailableQuantity":13500,"AvailableOnHandQuantity":7500,"InventorySiteId":"VEN","dataAreaId":"hgv","ProductColorId":"","ProductConfigurationId":"","ProductSizeId":"","ProductStyleId":""}</t>
  </si>
  <si>
    <t>{"ItemNumber":"10959","ProductName":"Dressing Baharat 60g Vegan","InventoryWarehouseId":"GR","OnHandQuantity":6200,"TotalAvailableQuantity":6200,"AvailableOnHandQuantity":6200,"InventorySiteId":"VEN","dataAreaId":"hgv","ProductColorId":"","ProductConfigurationId":"","ProductSizeId":"","ProductStyleId":""}</t>
  </si>
  <si>
    <t>{"ItemNumber":"10969","ProductName":"Linguine 3.5cm Pasta kg","InventoryWarehouseId":"GR","OnHandQuantity":1380,"TotalAvailableQuantity":2540,"AvailableOnHandQuantity":1380,"InventorySiteId":"VEN","dataAreaId":"hgv","ProductColorId":"","ProductConfigurationId":"","ProductSizeId":"","ProductStyleId":""}</t>
  </si>
  <si>
    <t>{"ItemNumber":"10970","ProductName":"Tomaat Gemarineerd kg V2","InventoryWarehouseId":"GR","OnHandQuantity":460,"TotalAvailableQuantity":700,"AvailableOnHandQuantity":460,"InventorySiteId":"VEN","dataAreaId":"hgv","ProductColorId":"","ProductConfigurationId":"","ProductSizeId":"","ProductStyleId":""}</t>
  </si>
  <si>
    <t>{"ItemNumber":"10971","ProductName":"Emvel-ASEB50 kg","InventoryWarehouseId":"GR","OnHandQuantity":528,"TotalAvailableQuantity":528,"AvailableOnHandQuantity":528,"InventorySiteId":"VEN","dataAreaId":"hgv","ProductColorId":"","ProductConfigurationId":"","ProductSizeId":"","ProductStyleId":""}</t>
  </si>
  <si>
    <t>{"ItemNumber":"10972","ProductName":"Cashewcrunch 15g","InventoryWarehouseId":"GR","OnHandQuantity":2000,"TotalAvailableQuantity":8000,"AvailableOnHandQuantity":2000,"InventorySiteId":"VEN","dataAreaId":"hgv","ProductColorId":"","ProductConfigurationId":"","ProductSizeId":"","ProductStyleId":""}</t>
  </si>
  <si>
    <t>{"ItemNumber":"10974","ProductName":"Dressing pittige Yoghurt 50g","InventoryWarehouseId":"GR","OnHandQuantity":5890,"TotalAvailableQuantity":12730,"AvailableOnHandQuantity":5890,"InventorySiteId":"VEN","dataAreaId":"hgv","ProductColorId":"","ProductConfigurationId":"","ProductSizeId":"","ProductStyleId":""}</t>
  </si>
  <si>
    <t>{"ItemNumber":"10975","ProductName":"KipSpicy BL1-K1 Voss IQF","InventoryWarehouseId":"GR","OnHandQuantity":890,"TotalAvailableQuantity":800,"AvailableOnHandQuantity":850,"InventorySiteId":"VEN","dataAreaId":"hgv","ProductColorId":"","ProductConfigurationId":"","ProductSizeId":"","ProductStyleId":""}</t>
  </si>
  <si>
    <t>{"ItemNumber":"10976","ProductName":"Garnaal ASC V2 KG","InventoryWarehouseId":"GR","OnHandQuantity":980,"TotalAvailableQuantity":2400,"AvailableOnHandQuantity":980,"InventorySiteId":"VEN","dataAreaId":"hgv","ProductColorId":"","ProductConfigurationId":"","ProductSizeId":"","ProductStyleId":""}</t>
  </si>
  <si>
    <t>{"ItemNumber":"10977","ProductName":"Cashewnoten 20g Qualino","InventoryWarehouseId":"GR","OnHandQuantity":30000,"TotalAvailableQuantity":30000,"AvailableOnHandQuantity":30000,"InventorySiteId":"VEN","dataAreaId":"hgv","ProductColorId":"","ProductConfigurationId":"","ProductSizeId":"","ProductStyleId":""}</t>
  </si>
  <si>
    <t>{"ItemNumber":"10980","ProductName":"Maiskorrels kg V2","InventoryWarehouseId":"GR","OnHandQuantity":3697.2,"TotalAvailableQuantity":6583.2,"AvailableOnHandQuantity":3697.2,"InventorySiteId":"VEN","dataAreaId":"hgv","ProductColorId":"","ProductConfigurationId":"","ProductSizeId":"","ProductStyleId":""}</t>
  </si>
  <si>
    <t>{"ItemNumber":"10988","ProductName":"Kip Kebab BL1-K1 IQF kg","InventoryWarehouseId":"GR","OnHandQuantity":0,"TotalAvailableQuantity":-176,"AvailableOnHandQuantity":0,"InventorySiteId":"VEN","dataAreaId":"hgv","ProductColorId":"","ProductConfigurationId":"","ProductSizeId":"","ProductStyleId":""}</t>
  </si>
  <si>
    <t>{"ItemNumber":"110","ProductName":"KF EPS 10404 Zwart","InventoryWarehouseId":"EMB3","OnHandQuantity":0,"TotalAvailableQuantity":0,"AvailableOnHandQuantity":0,"InventorySiteId":"VEN","dataAreaId":"hgv","ProductColorId":"","ProductConfigurationId":"","ProductSizeId":"","ProductStyleId":""}</t>
  </si>
  <si>
    <t>{"ItemNumber":"110","ProductName":"KF EPS 10404 Zwart","InventoryWarehouseId":"EP","OnHandQuantity":25929,"TotalAvailableQuantity":54009,"AvailableOnHandQuantity":25929,"InventorySiteId":"VEN","dataAreaId":"hgv","ProductColorId":"","ProductConfigurationId":"","ProductSizeId":"","ProductStyleId":""}</t>
  </si>
  <si>
    <t>{"ItemNumber":"110","ProductName":"KF EPS 10404 Zwart","InventoryWarehouseId":"GR","OnHandQuantity":92,"TotalAvailableQuantity":92,"AvailableOnHandQuantity":92,"InventorySiteId":"VEN","dataAreaId":"hgv","ProductColorId":"","ProductConfigurationId":"","ProductSizeId":"","ProductStyleId":""}</t>
  </si>
  <si>
    <t>{"ItemNumber":"11006","ProductName":"Zoete Aardappel SVGaar Kg","InventoryWarehouseId":"GR","OnHandQuantity":0,"TotalAvailableQuantity":96,"AvailableOnHandQuantity":0,"InventorySiteId":"VEN","dataAreaId":"hgv","ProductColorId":"","ProductConfigurationId":"","ProductSizeId":"","ProductStyleId":""}</t>
  </si>
  <si>
    <t>{"ItemNumber":"11008","ProductName":"Yoghurt dressing 50g sach 2020","InventoryWarehouseId":"GR","OnHandQuantity":6840,"TotalAvailableQuantity":6840,"AvailableOnHandQuantity":6840,"InventorySiteId":"VEN","dataAreaId":"hgv","ProductColorId":"","ProductConfigurationId":"","ProductSizeId":"","ProductStyleId":""}</t>
  </si>
  <si>
    <t>{"ItemNumber":"11012","ProductName":"Witte kaas 30g V2","InventoryWarehouseId":"GR","OnHandQuantity":2800,"TotalAvailableQuantity":7600,"AvailableOnHandQuantity":2800,"InventorySiteId":"VEN","dataAreaId":"hgv","ProductColorId":"","ProductConfigurationId":"","ProductSizeId":"","ProductStyleId":""}</t>
  </si>
  <si>
    <t>{"ItemNumber":"11013","ProductName":"Bio Belegen Kaasblok zakje 25g","InventoryWarehouseId":"GR","OnHandQuantity":26200,"TotalAvailableQuantity":40600,"AvailableOnHandQuantity":26200,"InventorySiteId":"VEN","dataAreaId":"hgv","ProductColorId":"","ProductConfigurationId":"","ProductSizeId":"","ProductStyleId":""}</t>
  </si>
  <si>
    <t>{"ItemNumber":"11014","ProductName":"Mozzarella bol 5g V2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</si>
  <si>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{"ItemNumber":"11022","ProductName":"Dressing Caesar 50g sach HK v4","InventoryWarehouseId":"GR","OnHandQuantity":9880,"TotalAvailableQuantity":15200,"AvailableOnHandQuantity":9880,"InventorySiteId":"VEN","dataAreaId":"hgv","ProductColorId":"","ProductConfigurationId":"","ProductSizeId":"","ProductStyleId":""}</t>
  </si>
  <si>
    <t>{"ItemNumber":"11026","ProductName":"Saladesaus Hessing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</si>
  <si>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{"ItemNumber":"11049","ProductName":"Pulled chicken Nat.  BLK-K1 IQF kg","InventoryWarehouseId":"GR","OnHandQuantity":0,"TotalAvailableQuantity":-306,"AvailableOnHandQuantity":0,"InventorySiteId":"VEN","dataAreaId":"hgv","ProductColorId":"","ProductConfigurationId":"","ProductSizeId":"","ProductStyleId":""}</t>
  </si>
  <si>
    <t>{"ItemNumber":"11068","ProductName":"Opgiet voor rode kool Kg","InventoryWarehouseId":"GR","OnHandQuantity":80.321,"TotalAvailableQuantity":471.015,"AvailableOnHandQuantity":80.321,"InventorySiteId":"VEN","dataAreaId":"hgv","ProductColorId":"","ProductConfigurationId":"","ProductSizeId":"","ProductStyleId":""}</t>
  </si>
  <si>
    <t>{"ItemNumber":"111","ProductName":"KF EPS 15404 Zwart","InventoryWarehouseId":"EMB3","OnHandQuantity":0,"TotalAvailableQuantity":0,"AvailableOnHandQuantity":0,"InventorySiteId":"VEN","dataAreaId":"hgv","ProductColorId":"","ProductConfigurationId":"","ProductSizeId":"","ProductStyleId":""}</t>
  </si>
  <si>
    <t>{"ItemNumber":"111","ProductName":"KF EPS 15404 Zwart","InventoryWarehouseId":"EP","OnHandQuantity":4739,"TotalAvailableQuantity":4739,"AvailableOnHandQuantity":4739,"InventorySiteId":"VEN","dataAreaId":"hgv","ProductColorId":"","ProductConfigurationId":"","ProductSizeId":"","ProductStyleId":""}</t>
  </si>
  <si>
    <t>{"ItemNumber":"111","ProductName":"KF EPS 15404 Zwart","InventoryWarehouseId":"GR","OnHandQuantity":3124,"TotalAvailableQuantity":3124,"AvailableOnHandQuantity":3124,"InventorySiteId":"VEN","dataAreaId":"hgv","ProductColorId":"","ProductConfigurationId":"","ProductSizeId":"","ProductStyleId":""}</t>
  </si>
  <si>
    <t>{"ItemNumber":"11128","ProductName":"IJsbergsla kg","InventoryWarehouseId":"GR","OnHandQuantity":26406,"TotalAvailableQuantity":162239.463,"AvailableOnHandQuantity":26406,"InventorySiteId":"VEN","dataAreaId":"hgv","ProductColorId":"","ProductConfigurationId":"","ProductSizeId":"","ProductStyleId":""}</t>
  </si>
  <si>
    <t>{"ItemNumber":"11129","ProductName":"Andijvie kg","InventoryWarehouseId":"GR","OnHandQuantity":52932,"TotalAvailableQuantity":159305.669,"AvailableOnHandQuantity":52932,"InventorySiteId":"VEN","dataAreaId":"hgv","ProductColorId":"","ProductConfigurationId":"","ProductSizeId":"","ProductStyleId":""}</t>
  </si>
  <si>
    <t>{"ItemNumber":"11132","ProductName":"Boerenkool kg","InventoryWarehouseId":"GR","OnHandQuantity":44025,"TotalAvailableQuantity":121666.692,"AvailableOnHandQuantity":44025,"InventorySiteId":"VEN","dataAreaId":"hgv","ProductColorId":"","ProductConfigurationId":"","ProductSizeId":"","ProductStyleId":""}</t>
  </si>
  <si>
    <t>{"ItemNumber":"11182","ProductName":"Uien wit geschoond KG","InventoryWarehouseId":"GR","OnHandQuantity":10793.2,"TotalAvailableQuantity":77943.2,"AvailableOnHandQuantity":10443.2,"InventorySiteId":"VEN","dataAreaId":"hgv","ProductColorId":"","ProductConfigurationId":"","ProductSizeId":"","ProductStyleId":""}</t>
  </si>
  <si>
    <t>{"ItemNumber":"11187","ProductName":"Pulled beef BL2-K2 kg IQF","InventoryWarehouseId":"GR","OnHandQuantity":0,"TotalAvailableQuantity":-8,"AvailableOnHandQuantity":0,"InventorySiteId":"VEN","dataAreaId":"hgv","ProductColorId":"","ProductConfigurationId":"","ProductSizeId":"","ProductStyleId":""}</t>
  </si>
  <si>
    <t>{"ItemNumber":"11189","ProductName":"Warmgerookte zalmflakes ASC kg IQF","InventoryWarehouseId":"GR","OnHandQuantity":223,"TotalAvailableQuantity":295,"AvailableOnHandQuantity":203,"InventorySiteId":"VEN","dataAreaId":"hgv","ProductColorId":"","ProductConfigurationId":"","ProductSizeId":"","ProductStyleId":""}</t>
  </si>
  <si>
    <t>{"ItemNumber":"11192","ProductName":"Knolselderij heel kg VP","InventoryWarehouseId":"GR","OnHandQuantity":6284,"TotalAvailableQuantity":9883.8,"AvailableOnHandQuantity":6284,"InventorySiteId":"VEN","dataAreaId":"hgv","ProductColorId":"","ProductConfigurationId":"","ProductSizeId":"","ProductStyleId":""}</t>
  </si>
  <si>
    <t>{"ItemNumber":"11193","ProductName":"Pompoenpitten 15g","InventoryWarehouseId":"GR","OnHandQuantity":12000,"TotalAvailableQuantity":12000,"AvailableOnHandQuantity":12000,"InventorySiteId":"VEN","dataAreaId":"hgv","ProductColorId":"","ProductConfigurationId":"","ProductSizeId":"","ProductStyleId":""}</t>
  </si>
  <si>
    <t>{"ItemNumber":"112","ProductName":"KF EPS 10604 Zwart","InventoryWarehouseId":"EMB3","OnHandQuantity":0,"TotalAvailableQuantity":0,"AvailableOnHandQuantity":0,"InventorySiteId":"VEN","dataAreaId":"hgv","ProductColorId":"","ProductConfigurationId":"","ProductSizeId":"","ProductStyleId":""}</t>
  </si>
  <si>
    <t>{"ItemNumber":"112","ProductName":"KF EPS 10604 Zwart","InventoryWarehouseId":"EP","OnHandQuantity":18947,"TotalAvailableQuantity":31547,"AvailableOnHandQuantity":18947,"InventorySiteId":"VEN","dataAreaId":"hgv","ProductColorId":"","ProductConfigurationId":"","ProductSizeId":"","ProductStyleId":""}</t>
  </si>
  <si>
    <t>{"ItemNumber":"112","ProductName":"KF EPS 10604 Zwart","InventoryWarehouseId":"GR","OnHandQuantity":19,"TotalAvailableQuantity":19,"AvailableOnHandQuantity":19,"InventorySiteId":"VEN","dataAreaId":"hgv","ProductColorId":"","ProductConfigurationId":"","ProductSizeId":"","ProductStyleId":""}</t>
  </si>
  <si>
    <t>{"ItemNumber":"11237","ProductName":"Sushirijst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</si>
  <si>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{"ItemNumber":"11238","ProductName":"Teriyaki dressing CL 60g","InventoryWarehouseId":"GR","OnHandQuantity":5890,"TotalAvailableQuantity":5890,"AvailableOnHandQuantity":5890,"InventorySiteId":"VEN","dataAreaId":"hgv","ProductColorId":"","ProductConfigurationId":"","ProductSizeId":"","ProductStyleId":""}</t>
  </si>
  <si>
    <t>{"ItemNumber":"11241","ProductName":"Bloemkoolroosjes zoet zuur KG","InventoryWarehouseId":"GR","OnHandQuantity":42,"TotalAvailableQuantity":102,"AvailableOnHandQuantity":42,"InventorySiteId":"VEN","dataAreaId":"hgv","ProductColorId":"","ProductConfigurationId":"","ProductSizeId":"","ProductStyleId":""}</t>
  </si>
  <si>
    <t>{"ItemNumber":"11255","ProductName":"Wakame IQF kg","InventoryWarehouseId":"GR","OnHandQuantity":851,"TotalAvailableQuantity":1651,"AvailableOnHandQuantity":851,"InventorySiteId":"VEN","dataAreaId":"hgv","ProductColorId":"","ProductConfigurationId":"","ProductSizeId":"","ProductStyleId":""}</t>
  </si>
  <si>
    <t>{"ItemNumber":"11262","ProductName":"Rode ui  zoetzuur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</si>
  <si>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{"ItemNumber":"11287","ProductName":"Spinazie kg","InventoryWarehouseId":"GR","OnHandQuantity":22835.5,"TotalAvailableQuantity":121624.875,"AvailableOnHandQuantity":22835.5,"InventorySiteId":"VEN","dataAreaId":"hgv","ProductColorId":"","ProductConfigurationId":"","ProductSizeId":"","ProductStyleId":""}</t>
  </si>
  <si>
    <t>{"ItemNumber":"113","ProductName":"KF EPS 13604 Zwart","InventoryWarehouseId":"EP","OnHandQuantity":13061,"TotalAvailableQuantity":13061,"AvailableOnHandQuantity":13061,"InventorySiteId":"VEN","dataAreaId":"hgv","ProductColorId":"","ProductConfigurationId":"","ProductSizeId":"","ProductStyleId":""}</t>
  </si>
  <si>
    <t>{"ItemNumber":"113","ProductName":"KF EPS 13604 Zwart","InventoryWarehouseId":"GR","OnHandQuantity":0,"TotalAvailableQuantity":0,"AvailableOnHandQuantity":0,"InventorySiteId":"VEN","dataAreaId":"hgv","ProductColorId":"","ProductConfigurationId":"","ProductSizeId":"","ProductStyleId":""}</t>
  </si>
  <si>
    <t>{"ItemNumber":"11312","ProductName":"Oosterse dressing cup 25g","InventoryWarehouseId":"GR","OnHandQuantity":10500,"TotalAvailableQuantity":10500,"AvailableOnHandQuantity":10500,"InventorySiteId":"VEN","dataAreaId":"hgv","ProductColorId":"","ProductConfigurationId":"","ProductSizeId":"","ProductStyleId":""}</t>
  </si>
  <si>
    <t>{"ItemNumber":"11319","ProductName":"Tzatziki dressing 50g","InventoryWarehouseId":"GR","OnHandQuantity":8832,"TotalAvailableQuantity":20608,"AvailableOnHandQuantity":8832,"InventorySiteId":"VEN","dataAreaId":"hgv","ProductColorId":"","ProductConfigurationId":"","ProductSizeId":"","ProductStyleId":""}</t>
  </si>
  <si>
    <t>{"ItemNumber":"11320","ProductName":"Basis groenten bouillon 10g (TFKC)","InventoryWarehouseId":"GR","OnHandQuantity":20000,"TotalAvailableQuantity":84000,"AvailableOnHandQuantity":20000,"InventorySiteId":"VEN","dataAreaId":"hgv","ProductColorId":"","ProductConfigurationId":"","ProductSizeId":"","ProductStyleId":""}</t>
  </si>
  <si>
    <t>{"ItemNumber":"11321","ProductName":"Dressing Munt Citroen 50g","InventoryWarehouseId":"GR","OnHandQuantity":31540,"TotalAvailableQuantity":31540,"AvailableOnHandQuantity":31540,"InventorySiteId":"VEN","dataAreaId":"hgv","ProductColorId":"","ProductConfigurationId":"","ProductSizeId":"","ProductStyleId":""}</t>
  </si>
  <si>
    <t>{"ItemNumber":"11323","ProductName":"Dressing yoghurt Caesar 25g cup","InventoryWarehouseId":"GR","OnHandQuantity":5200,"TotalAvailableQuantity":12400,"AvailableOnHandQuantity":5200,"InventorySiteId":"VEN","dataAreaId":"hgv","ProductColorId":"","ProductConfigurationId":"","ProductSizeId":"","ProductStyleId":""}</t>
  </si>
  <si>
    <t>{"ItemNumber":"11325","ProductName":"Ketjap dressing 50g, nieuwe variant","InventoryWarehouseId":"GR","OnHandQuantity":18430,"TotalAvailableQuantity":18430,"AvailableOnHandQuantity":18430,"InventorySiteId":"VEN","dataAreaId":"hgv","ProductColorId":"","ProductConfigurationId":"","ProductSizeId":"","ProductStyleId":""}</t>
  </si>
  <si>
    <t>{"ItemNumber":"11330","ProductName":"Volkoren gramigna Dragon-basilicum Deliva kg","InventoryWarehouseId":"GR","OnHandQuantity":285,"TotalAvailableQuantity":2685,"AvailableOnHandQuantity":285,"InventorySiteId":"VEN","dataAreaId":"hgv","ProductColorId":"","ProductConfigurationId":"","ProductSizeId":"","ProductStyleId":""}</t>
  </si>
  <si>
    <t>{"ItemNumber":"11331","ProductName":"Truffel dressing 40g","InventoryWarehouseId":"GR","OnHandQuantity":4000,"TotalAvailableQuantity":4000,"AvailableOnHandQuantity":4000,"InventorySiteId":"VEN","dataAreaId":"hgv","ProductColorId":"","ProductConfigurationId":"","ProductSizeId":"","ProductStyleId":""}</t>
  </si>
  <si>
    <t>{"ItemNumber":"11332","ProductName":"Groene spelt KG","InventoryWarehouseId":"GR","OnHandQuantity":198,"TotalAvailableQuantity":342,"AvailableOnHandQuantity":198,"InventorySiteId":"VEN","dataAreaId":"hgv","ProductColorId":"","ProductConfigurationId":"","ProductSizeId":"","ProductStyleId":""}</t>
  </si>
  <si>
    <t>{"ItemNumber":"11333","ProductName":"Dressing Honing Tijm (75% minder suiker) 50g","InventoryWarehouseId":"GR","OnHandQuantity":9690,"TotalAvailableQuantity":9690,"AvailableOnHandQuantity":9690,"InventorySiteId":"VEN","dataAreaId":"hgv","ProductColorId":"","ProductConfigurationId":"","ProductSizeId":"","ProductStyleId":""}</t>
  </si>
  <si>
    <t>{"ItemNumber":"11334","ProductName":"Kip gyros BL1-K1 kg IQF","InventoryWarehouseId":"GR","OnHandQuantity":394.9,"TotalAvailableQuantity":860.9,"AvailableOnHandQuantity":344.9,"InventorySiteId":"VEN","dataAreaId":"hgv","ProductColorId":"","ProductConfigurationId":"","ProductSizeId":"","ProductStyleId":""}</t>
  </si>
  <si>
    <t>{"ItemNumber":"11339","ProductName":"Volkoren Couscous (geel) kg","InventoryWarehouseId":"GR","OnHandQuantity":1275,"TotalAvailableQuantity":4635,"AvailableOnHandQuantity":1275,"InventorySiteId":"VEN","dataAreaId":"hgv","ProductColorId":"","ProductConfigurationId":"","ProductSizeId":"","ProductStyleId":""}</t>
  </si>
  <si>
    <t>{"ItemNumber":"11342","ProductName":"Tahin yoghurt dressing 50g","InventoryWarehouseId":"GR","OnHandQuantity":15390,"TotalAvailableQuantity":15390,"AvailableOnHandQuantity":15390,"InventorySiteId":"VEN","dataAreaId":"hgv","ProductColorId":"","ProductConfigurationId":"","ProductSizeId":"","ProductStyleId":""}</t>
  </si>
  <si>
    <t>{"ItemNumber":"11344","ProductName":"Doperwt yoghurt dressing 25g cup","InventoryWarehouseId":"GR","OnHandQuantity":36300,"TotalAvailableQuantity":36300,"AvailableOnHandQuantity":36300,"InventorySiteId":"VEN","dataAreaId":"hgv","ProductColorId":"","ProductConfigurationId":"","ProductSizeId":"","ProductStyleId":""}</t>
  </si>
  <si>
    <t>{"ItemNumber":"11345","ProductName":"Za'atar kruidenmelange KG","InventoryWarehouseId":"GR","OnHandQuantity":14.64,"TotalAvailableQuantity":14.64,"AvailableOnHandQuantity":14.64,"InventorySiteId":"VEN","dataAreaId":"hgv","ProductColorId":"","ProductConfigurationId":"","ProductSizeId":"","ProductStyleId":""}</t>
  </si>
  <si>
    <t>{"ItemNumber":"11346","ProductName":"Treccine aangezuurd KG","InventoryWarehouseId":"GR","OnHandQuantity":90,"TotalAvailableQuantity":150,"AvailableOnHandQuantity":90,"InventorySiteId":"VEN","dataAreaId":"hgv","ProductColorId":"","ProductConfigurationId":"","ProductSizeId":"","ProductStyleId":""}</t>
  </si>
  <si>
    <t>{"ItemNumber":"11350","ProductName":"Mix van rijst en wilde rijst aangezuurd (RDR00844) Kg","InventoryWarehouseId":"GR","OnHandQuantity":42,"TotalAvailableQuantity":154,"AvailableOnHandQuantity":42,"InventorySiteId":"VEN","dataAreaId":"hgv","ProductColorId":"","ProductConfigurationId":"","ProductSizeId":"","ProductStyleId":""}</t>
  </si>
  <si>
    <t>{"ItemNumber":"11353","ProductName":"Italiaanse stijl shaving Kg","InventoryWarehouseId":"GR","OnHandQuantity":420,"TotalAvailableQuantity":900,"AvailableOnHandQuantity":420,"InventorySiteId":"VEN","dataAreaId":"hgv","ProductColorId":"","ProductConfigurationId":"","ProductSizeId":"","ProductStyleId":""}</t>
  </si>
  <si>
    <t>{"ItemNumber":"11354","ProductName":"Eiersalade BL2-E2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</si>
  <si>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{"ItemNumber":"11356","ProductName":"Citroengras gember dressing 50g","InventoryWarehouseId":"GR","OnHandQuantity":2850,"TotalAvailableQuantity":2850,"AvailableOnHandQuantity":2850,"InventorySiteId":"VEN","dataAreaId":"hgv","ProductColorId":"","ProductConfigurationId":"","ProductSizeId":"","ProductStyleId":""}</t>
  </si>
  <si>
    <t>{"ItemNumber":"11357","ProductName":"Citroengras gember dressing 25g","InventoryWarehouseId":"GR","OnHandQuantity":10200,"TotalAvailableQuantity":17400,"AvailableOnHandQuantity":10200,"InventorySiteId":"VEN","dataAreaId":"hgv","ProductColorId":"","ProductConfigurationId":"","ProductSizeId":"","ProductStyleId":""}</t>
  </si>
  <si>
    <t>{"ItemNumber":"11358","ProductName":"Kruidendressing Duitsland 50g","InventoryWarehouseId":"GR","OnHandQuantity":0,"TotalAvailableQuantity":0,"AvailableOnHandQuantity":0,"InventorySiteId":"VEN","dataAreaId":"hgv","ProductColorId":"","ProductConfigurationId":"","ProductSizeId":"","ProductStyleId":""}</t>
  </si>
  <si>
    <t>{"ItemNumber":"11359","ProductName":"Ras El Hanout dressing vegan 45g","InventoryWarehouseId":"GR","OnHandQuantity":11198,"TotalAvailableQuantity":11198,"AvailableOnHandQuantity":11198,"InventorySiteId":"VEN","dataAreaId":"hgv","ProductColorId":"","ProductConfigurationId":"","ProductSizeId":"","ProductStyleId":""}</t>
  </si>
  <si>
    <t>{"ItemNumber":"11371","ProductName":"Sesam dressing La Place 25g","InventoryWarehouseId":"GR","OnHandQuantity":4800,"TotalAvailableQuantity":4800,"AvailableOnHandQuantity":4800,"InventorySiteId":"VEN","dataAreaId":"hgv","ProductColorId":"","ProductConfigurationId":"","ProductSizeId":"","ProductStyleId":""}</t>
  </si>
  <si>
    <t>{"ItemNumber":"11372","ProductName":"Erwten scheuten groen kg","InventoryWarehouseId":"GR","OnHandQuantity":0,"TotalAvailableQuantity":-0.173,"AvailableOnHandQuantity":0,"InventorySiteId":"VEN","dataAreaId":"hgv","ProductColorId":"","ProductConfigurationId":"","ProductSizeId":"","ProductStyleId":""}</t>
  </si>
  <si>
    <t>{"ItemNumber":"11373","ProductName":"Soja gember dressing 25g cup","InventoryWarehouseId":"GR","OnHandQuantity":39000,"TotalAvailableQuantity":39000,"AvailableOnHandQuantity":39000,"InventorySiteId":"VEN","dataAreaId":"hgv","ProductColorId":"","ProductConfigurationId":"","ProductSizeId":"","ProductStyleId":""}</t>
  </si>
  <si>
    <t>{"ItemNumber":"11375","ProductName":"Pistache amandel 15g sachet","InventoryWarehouseId":"GR","OnHandQuantity":8000,"TotalAvailableQuantity":26000,"AvailableOnHandQuantity":8000,"InventorySiteId":"VEN","dataAreaId":"hgv","ProductColorId":"","ProductConfigurationId":"","ProductSizeId":"","ProductStyleId":""}</t>
  </si>
  <si>
    <t>{"ItemNumber":"11376","ProductName":"Cherry tomaten gekruid met zonnebloemolie","InventoryWarehouseId":"GR","OnHandQuantity":90,"TotalAvailableQuantity":180,"AvailableOnHandQuantity":90,"InventorySiteId":"VEN","dataAreaId":"hgv","ProductColorId":"","ProductConfigurationId":"","ProductSizeId":"","ProductStyleId":""}</t>
  </si>
  <si>
    <t>{"ItemNumber":"11377","ProductName":"Tonijn MSC kg HP","InventoryWarehouseId":"GR","OnHandQuantity":4680,"TotalAvailableQuantity":4680,"AvailableOnHandQuantity":4680,"InventorySiteId":"VEN","dataAreaId":"hgv","ProductColorId":"","ProductConfigurationId":"","ProductSizeId":"","ProductStyleId":""}</t>
  </si>
  <si>
    <t>{"ItemNumber":"11378","ProductName":"Dress. Avocado 80g","InventoryWarehouseId":"GR","OnHandQuantity":3960,"TotalAvailableQuantity":3960,"AvailableOnHandQuantity":3960,"InventorySiteId":"VEN","dataAreaId":"hgv","ProductColorId":"","ProductConfigurationId":"","ProductSizeId":"","ProductStyleId":""}</t>
  </si>
  <si>
    <t>{"ItemNumber":"11379","ProductName":"Hazelnoot stukjes &amp; zonnenbloempitten 40g","InventoryWarehouseId":"GR","OnHandQuantity":7000,"TotalAvailableQuantity":7000,"AvailableOnHandQuantity":7000,"InventorySiteId":"VEN","dataAreaId":"hgv","ProductColorId":"","ProductConfigurationId":"","ProductSizeId":"","ProductStyleId":""}</t>
  </si>
  <si>
    <t>{"ItemNumber":"11380","ProductName":"Tarwekiemen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</si>
  <si>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{"ItemNumber":"11381","ProductName":"Witte quinoa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</si>
  <si>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{"ItemNumber":"11382","ProductName":"Kikkererwt kiemen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</si>
  <si>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{"ItemNumber":"11383","ProductName":"Creamy Dressing 55g (330361)","InventoryWarehouseId":"GR","OnHandQuantity":7350,"TotalAvailableQuantity":7350,"AvailableOnHandQuantity":7350,"InventorySiteId":"VEN","dataAreaId":"hgv","ProductColorId":"","ProductConfigurationId":"","ProductSizeId":"","ProductStyleId":""}</t>
  </si>
  <si>
    <t>{"ItemNumber":"11384","ProductName":"dress. Terijaki 50g (102061)","InventoryWarehouseId":"GR","OnHandQuantity":2880,"TotalAvailableQuantity":9360,"AvailableOnHandQuantity":2880,"InventorySiteId":"VEN","dataAreaId":"hgv","ProductColorId":"","ProductConfigurationId":"","ProductSizeId":"","ProductStyleId":""}</t>
  </si>
  <si>
    <t>{"ItemNumber":"11386","ProductName":"Rasberry Dressing 50g (330341)","InventoryWarehouseId":"GR","OnHandQuantity":2700,"TotalAvailableQuantity":8100,"AvailableOnHandQuantity":2700,"InventorySiteId":"VEN","dataAreaId":"hgv","ProductColorId":"","ProductConfigurationId":"","ProductSizeId":"","ProductStyleId":""}</t>
  </si>
  <si>
    <t>{"ItemNumber":"11387","ProductName":"Coleslawdressing 100g (330332)","InventoryWarehouseId":"GR","OnHandQuantity":18200,"TotalAvailableQuantity":29000,"AvailableOnHandQuantity":18200,"InventorySiteId":"VEN","dataAreaId":"hgv","ProductColorId":"","ProductConfigurationId":"","ProductSizeId":"","ProductStyleId":""}</t>
  </si>
  <si>
    <t>{"ItemNumber":"11388","ProductName":"Yoghurtdressing 50g (330102)","InventoryWarehouseId":"GR","OnHandQuantity":0,"TotalAvailableQuantity":0,"AvailableOnHandQuantity":0,"InventorySiteId":"VEN","dataAreaId":"hgv","ProductColorId":"","ProductConfigurationId":"","ProductSizeId":"","ProductStyleId":""}</t>
  </si>
  <si>
    <t>{"ItemNumber":"11389","ProductName":"dress. griekse vinaigrette 50g","InventoryWarehouseId":"GR","OnHandQuantity":1350,"TotalAvailableQuantity":1350,"AvailableOnHandQuantity":1350,"InventorySiteId":"VEN","dataAreaId":"hgv","ProductColorId":"","ProductConfigurationId":"","ProductSizeId":"","ProductStyleId":""}</t>
  </si>
  <si>
    <t>{"ItemNumber":"11391","ProductName":"Tonijnsaus MSC kg","InventoryWarehouseId":"GR","OnHandQuantity":250,"TotalAvailableQuantity":250,"AvailableOnHandQuantity":250,"InventorySiteId":"VEN","dataAreaId":"hgv","ProductColorId":"","ProductConfigurationId":"","ProductSizeId":"","ProductStyleId":""}</t>
  </si>
  <si>
    <t>{"ItemNumber":"11392","ProductName":"Hydro Lollo rosso kg","InventoryWarehouseId":"GR","OnHandQuantity":320,"TotalAvailableQuantity":320,"AvailableOnHandQuantity":320,"InventorySiteId":"VEN","dataAreaId":"hgv","ProductColorId":"","ProductConfigurationId":"","ProductSizeId":"","ProductStyleId":""}</t>
  </si>
  <si>
    <t>{"ItemNumber":"11393","ProductName":"Hydro Lollo biondo Kg","InventoryWarehouseId":"GR","OnHandQuantity":327,"TotalAvailableQuantity":327,"AvailableOnHandQuantity":327,"InventorySiteId":"VEN","dataAreaId":"hgv","ProductColorId":"","ProductConfigurationId":"","ProductSizeId":"","ProductStyleId":""}</t>
  </si>
  <si>
    <t>{"ItemNumber":"11394","ProductName":"Hydro Crispy groen Kg","InventoryWarehouseId":"GR","OnHandQuantity":150,"TotalAvailableQuantity":150,"AvailableOnHandQuantity":150,"InventorySiteId":"VEN","dataAreaId":"hgv","ProductColorId":"","ProductConfigurationId":"","ProductSizeId":"","ProductStyleId":""}</t>
  </si>
  <si>
    <t>{"ItemNumber":"11395","ProductName":"Hydro Crispy rood Kg","InventoryWarehouseId":"GR","OnHandQuantity":193,"TotalAvailableQuantity":193,"AvailableOnHandQuantity":193,"InventorySiteId":"VEN","dataAreaId":"hgv","ProductColorId":"","ProductConfigurationId":"","ProductSizeId":"","ProductStyleId":""}</t>
  </si>
  <si>
    <t>{"ItemNumber":"11397","ProductName":"Hydro Romania Kg","InventoryWarehouseId":"GR","OnHandQuantity":290,"TotalAvailableQuantity":290,"AvailableOnHandQuantity":290,"InventorySiteId":"VEN","dataAreaId":"hgv","ProductColorId":"","ProductConfigurationId":"","ProductSizeId":"","ProductStyleId":""}</t>
  </si>
  <si>
    <t>{"ItemNumber":"114","ProductName":"KF EPS 18604 Zwart","InventoryWarehouseId":"EP","OnHandQuantity":-3393,"TotalAvailableQuantity":5967,"AvailableOnHandQuantity":-3393,"InventorySiteId":"VEN","dataAreaId":"hgv","ProductColorId":"","ProductConfigurationId":"","ProductSizeId":"","ProductStyleId":""}</t>
  </si>
  <si>
    <t>{"ItemNumber":"114","ProductName":"KF EPS 18604 Zwart","InventoryWarehouseId":"GR","OnHandQuantity":16348,"TotalAvailableQuantity":16348,"AvailableOnHandQuantity":16348,"InventorySiteId":"VEN","dataAreaId":"hgv","ProductColorId":"","ProductConfigurationId":"","ProductSizeId":"","ProductStyleId":""}</t>
  </si>
  <si>
    <t>{"ItemNumber":"11400","ProductName":"Hummus Indian Curry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</si>
  <si>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{"ItemNumber":"11401","ProductName":"Dressing RasElHanout Vegan cup20g","InventoryWarehouseId":"GR","OnHandQuantity":11700,"TotalAvailableQuantity":30900,"AvailableOnHandQuantity":11700,"InventorySiteId":"VEN","dataAreaId":"hgv","ProductColorId":"","ProductConfigurationId":"","ProductSizeId":"","ProductStyleId":""}</t>
  </si>
  <si>
    <t>{"ItemNumber":"11402","ProductName":"Citric Acid Monohydrate kg","InventoryWarehouseId":"GR","OnHandQuantity":4950,"TotalAvailableQuantity":4950,"AvailableOnHandQuantity":4950,"InventorySiteId":"VEN","dataAreaId":"hgv","ProductColorId":"","ProductConfigurationId":"","ProductSizeId":"","ProductStyleId":""}</t>
  </si>
  <si>
    <t>{"ItemNumber":"11404","ProductName":"Labneh kg","InventoryWarehouseId":"GR","OnHandQuantity":65.976,"TotalAvailableQuantity":161.976,"AvailableOnHandQuantity":65.976,"InventorySiteId":"VEN","dataAreaId":"hgv","ProductColorId":"","ProductConfigurationId":"","ProductSizeId":"","ProductStyleId":""}</t>
  </si>
  <si>
    <t>{"ItemNumber":"11423","ProductName":"dressing Coleslaw Organic 100g","InventoryWarehouseId":"GR","OnHandQuantity":11000,"TotalAvailableQuantity":29000,"AvailableOnHandQuantity":11000,"InventorySiteId":"VEN","dataAreaId":"hgv","ProductColorId":"","ProductConfigurationId":"","ProductSizeId":"","ProductStyleId":""}</t>
  </si>
  <si>
    <t>{"ItemNumber":"11426","ProductName":"Yoghurt dressing sachet 100g (330105)","InventoryWarehouseId":"GR","OnHandQuantity":14100,"TotalAvailableQuantity":27600,"AvailableOnHandQuantity":14100,"InventorySiteId":"VEN","dataAreaId":"hgv","ProductColorId":"","ProductConfigurationId":"","ProductSizeId":"","ProductStyleId":""}</t>
  </si>
  <si>
    <t>{"ItemNumber":"11427","ProductName":"Caesar dressing sachet 100 ml (330202)","InventoryWarehouseId":"GR","OnHandQuantity":7300,"TotalAvailableQuantity":23299,"AvailableOnHandQuantity":7300,"InventorySiteId":"VEN","dataAreaId":"hgv","ProductColorId":"","ProductConfigurationId":"","ProductSizeId":"","ProductStyleId":""}</t>
  </si>
  <si>
    <t>{"ItemNumber":"11429","ProductName":"Mosterd dressing sachet 100 ml (330175)","InventoryWarehouseId":"GR","OnHandQuantity":17700,"TotalAvailableQuantity":33900,"AvailableOnHandQuantity":17700,"InventorySiteId":"VEN","dataAreaId":"hgv","ProductColorId":"","ProductConfigurationId":"","ProductSizeId":"","ProductStyleId":""}</t>
  </si>
  <si>
    <t>{"ItemNumber":"11430","ProductName":"Sylter-art dressing sachet 100 ml","InventoryWarehouseId":"GR","OnHandQuantity":4000,"TotalAvailableQuantity":9400,"AvailableOnHandQuantity":4000,"InventorySiteId":"VEN","dataAreaId":"hgv","ProductColorId":"","ProductConfigurationId":"","ProductSizeId":"","ProductStyleId":""}</t>
  </si>
  <si>
    <t>{"ItemNumber":"11432","ProductName":"Vinaigrette sachet 100 ml","InventoryWarehouseId":"GR","OnHandQuantity":1700,"TotalAvailableQuantity":4400,"AvailableOnHandQuantity":1700,"InventorySiteId":"VEN","dataAreaId":"hgv","ProductColorId":"","ProductConfigurationId":"","ProductSizeId":"","ProductStyleId":""}</t>
  </si>
  <si>
    <t>{"ItemNumber":"11438","ProductName":"Pulled Pork Naturel IQF KG","InventoryWarehouseId":"GR","OnHandQuantity":0,"TotalAvailableQuantity":-106,"AvailableOnHandQuantity":0,"InventorySiteId":"VEN","dataAreaId":"hgv","ProductColorId":"","ProductConfigurationId":"","ProductSizeId":"","ProductStyleId":""}</t>
  </si>
  <si>
    <t>{"ItemNumber":"11439","ProductName":"Croutons 8*8*8 kg","InventoryWarehouseId":"GR","OnHandQuantity":1162.5,"TotalAvailableQuantity":1162.5,"AvailableOnHandQuantity":1162.5,"InventorySiteId":"VEN","dataAreaId":"hgv","ProductColorId":"","ProductConfigurationId":"","ProductSizeId":"","ProductStyleId":""}</t>
  </si>
  <si>
    <t>{"ItemNumber":"11440","ProductName":"HZM035 - Mustard Glaze Score C KG","InventoryWarehouseId":"GR","OnHandQuantity":1290,"TotalAvailableQuantity":2390,"AvailableOnHandQuantity":1290,"InventorySiteId":"VEN","dataAreaId":"hgv","ProductColorId":"","ProductConfigurationId":"","ProductSizeId":"","ProductStyleId":""}</t>
  </si>
  <si>
    <t>{"ItemNumber":"11441","ProductName":"Mediterranen Sprinkles 15g","InventoryWarehouseId":"GR","OnHandQuantity":18300,"TotalAvailableQuantity":18300,"AvailableOnHandQuantity":18300,"InventorySiteId":"VEN","dataAreaId":"hgv","ProductColorId":"","ProductConfigurationId":"","ProductSizeId":"","ProductStyleId":""}</t>
  </si>
  <si>
    <t>{"ItemNumber":"11455","ProductName":"Mango 15x15mm tbv HC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</si>
  <si>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{"ItemNumber":"11456","ProductName":"Ananas 20x20mm tbv HC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</si>
  <si>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{"ItemNumber":"11461","ProductName":"Dressing Cocktail CL 50g lager suiker/zout","InventoryWarehouseId":"GR","OnHandQuantity":8930,"TotalAvailableQuantity":21090,"AvailableOnHandQuantity":8930,"InventorySiteId":"VEN","dataAreaId":"hgv","ProductColorId":"","ProductConfigurationId":"","ProductSizeId":"","ProductStyleId":""}</t>
  </si>
  <si>
    <t>{"ItemNumber":"11468","ProductName":"Gele volkorenrijst met kokos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</si>
  <si>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{"ItemNumber":"11470","ProductName":"Radijs 5mm gezuurd","InventoryWarehouseId":"GR","OnHandQuantity":108,"TotalAvailableQuantity":228,"AvailableOnHandQuantity":108,"InventorySiteId":"VEN","dataAreaId":"hgv","ProductColorId":"","ProductConfigurationId":"","ProductSizeId":"","ProductStyleId":""}</t>
  </si>
  <si>
    <t>{"ItemNumber":"11473","ProductName":"Citroen maanzaad sriracha dressing 60g","InventoryWarehouseId":"GR","OnHandQuantity":9455,"TotalAvailableQuantity":9455,"AvailableOnHandQuantity":9455,"InventorySiteId":"VEN","dataAreaId":"hgv","ProductColorId":"","ProductConfigurationId":"","ProductSizeId":"","ProductStyleId":""}</t>
  </si>
  <si>
    <t>{"ItemNumber":"11475","ProductName":"Zongedroogde tomaat diced 8x8mm","InventoryWarehouseId":"GR","OnHandQuantity":50,"TotalAvailableQuantity":50,"AvailableOnHandQuantity":50,"InventorySiteId":"VEN","dataAreaId":"hgv","ProductColorId":"","ProductConfigurationId":"","ProductSizeId":"","ProductStyleId":""}</t>
  </si>
  <si>
    <t>{"ItemNumber":"11477","ProductName":"Dressing Sweet chili 50g lager suiker/zout pikant","InventoryWarehouseId":"GR","OnHandQuantity":3610,"TotalAvailableQuantity":13490,"AvailableOnHandQuantity":3610,"InventorySiteId":"VEN","dataAreaId":"hgv","ProductColorId":"","ProductConfigurationId":"","ProductSizeId":"","ProductStyleId":""}</t>
  </si>
  <si>
    <t>{"ItemNumber":"11478","ProductName":"Gegrilde groenten 20x20mm Kempenfoods KG","InventoryWarehouseId":"GR","OnHandQuantity":132,"TotalAvailableQuantity":180,"AvailableOnHandQuantity":132,"InventorySiteId":"VEN","dataAreaId":"hgv","ProductColorId":"","ProductConfigurationId":"","ProductSizeId":"","ProductStyleId":""}</t>
  </si>
  <si>
    <t>{"ItemNumber":"11479","ProductName":"Bruchetta Topping kg PR8065AD","InventoryWarehouseId":"GR","OnHandQuantity":42,"TotalAvailableQuantity":37.368,"AvailableOnHandQuantity":42,"InventorySiteId":"VEN","dataAreaId":"hgv","ProductColorId":"","ProductConfigurationId":"","ProductSizeId":"","ProductStyleId":""}</t>
  </si>
  <si>
    <t>{"ItemNumber":"11483","ProductName":"World grill Indian Tandoori marinade kg","InventoryWarehouseId":"GR","OnHandQuantity":81.375,"TotalAvailableQuantity":78.741,"AvailableOnHandQuantity":81.375,"InventorySiteId":"VEN","dataAreaId":"hgv","ProductColorId":"","ProductConfigurationId":"","ProductSizeId":"","ProductStyleId":""}</t>
  </si>
  <si>
    <t>{"ItemNumber":"11484","ProductName":"Raita dressing 50g","InventoryWarehouseId":"GR","OnHandQuantity":17945,"TotalAvailableQuantity":17945,"AvailableOnHandQuantity":17945,"InventorySiteId":"VEN","dataAreaId":"hgv","ProductColorId":"","ProductConfigurationId":"","ProductSizeId":"","ProductStyleId":""}</t>
  </si>
  <si>
    <t>{"ItemNumber":"11485","ProductName":"Thai Adventure marinade kg","InventoryWarehouseId":"GR","OnHandQuantity":59.629,"TotalAvailableQuantity":59.629,"AvailableOnHandQuantity":59.629,"InventorySiteId":"VEN","dataAreaId":"hgv","ProductColorId":"","ProductConfigurationId":"","ProductSizeId":"","ProductStyleId":""}</t>
  </si>
  <si>
    <t>{"ItemNumber":"11487","ProductName":"Kimchi kg","InventoryWarehouseId":"GR","OnHandQuantity":132,"TotalAvailableQuantity":220,"AvailableOnHandQuantity":132,"InventorySiteId":"VEN","dataAreaId":"hgv","ProductColorId":"","ProductConfigurationId":"","ProductSizeId":"","ProductStyleId":""}</t>
  </si>
  <si>
    <t>{"ItemNumber":"11496","ProductName":"Appel rood halve part 1/16 kg","InventoryWarehouseId":"GR","OnHandQuantity":350,"TotalAvailableQuantity":500.078,"AvailableOnHandQuantity":350,"InventorySiteId":"VEN","dataAreaId":"hgv","ProductColorId":"","ProductConfigurationId":"","ProductSizeId":"","ProductStyleId":""}</t>
  </si>
  <si>
    <t>{"ItemNumber":"11498","ProductName":"Hazelnoot cranberry mix 40g","InventoryWarehouseId":"GR","OnHandQuantity":3250,"TotalAvailableQuantity":9250,"AvailableOnHandQuantity":3250,"InventorySiteId":"VEN","dataAreaId":"hgv","ProductColorId":"","ProductConfigurationId":"","ProductSizeId":"","ProductStyleId":""}</t>
  </si>
  <si>
    <t>{"ItemNumber":"115","ProductName":"KF EPS 24604 Zwart","InventoryWarehouseId":"EP","OnHandQuantity":1937,"TotalAvailableQuantity":1937,"AvailableOnHandQuantity":1937,"InventorySiteId":"VEN","dataAreaId":"hgv","ProductColorId":"","ProductConfigurationId":"","ProductSizeId":"","ProductStyleId":""}</t>
  </si>
  <si>
    <t>{"ItemNumber":"115","ProductName":"KF EPS 24604 Zwart","InventoryWarehouseId":"GR","OnHandQuantity":1636,"TotalAvailableQuantity":1636,"AvailableOnHandQuantity":1636,"InventorySiteId":"VEN","dataAreaId":"hgv","ProductColorId":"","ProductConfigurationId":"","ProductSizeId":"","ProductStyleId":""}</t>
  </si>
  <si>
    <t>{"ItemNumber":"11508","ProductName":"Appel groen halve part 1/16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</si>
  <si>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{"ItemNumber":"11509","ProductName":"Appel groen BL-10x10 kg","InventoryWarehouseId":"GR","OnHandQuantity":0,"TotalAvailableQuantity":96.314,"AvailableOnHandQuantity":0,"InventorySiteId":"VEN","dataAreaId":"hgv","ProductColorId":"","ProductConfigurationId":"","ProductSizeId":"","ProductStyleId":""}</t>
  </si>
  <si>
    <t>{"ItemNumber":"11510","ProductName":"Appel rood BL-10x10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</si>
  <si>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{"ItemNumber":"11511","ProductName":"Druif blauw gerist tbv HC kg","InventoryWarehouseId":"GR","OnHandQuantity":0,"TotalAvailableQuantity":5,"AvailableOnHandQuantity":0,"InventorySiteId":"VEN","dataAreaId":"hgv","ProductColorId":"","ProductConfigurationId":"","ProductSizeId":"","ProductStyleId":""}</t>
  </si>
  <si>
    <t>{"ItemNumber":"11517","ProductName":"Guacemole sachet 55g IQF","InventoryWarehouseId":"GR","OnHandQuantity":28380,"TotalAvailableQuantity":28380,"AvailableOnHandQuantity":28380,"InventorySiteId":"VEN","dataAreaId":"hgv","ProductColorId":"","ProductConfigurationId":"","ProductSizeId":"","ProductStyleId":""}</t>
  </si>
  <si>
    <t>{"ItemNumber":"11519","ProductName":"Sinaasappel 20x20mm hand kg (Tacken)","InventoryWarehouseId":"GR","OnHandQuantity":0,"TotalAvailableQuantity":0,"AvailableOnHandQuantity":0,"InventorySiteId":"VEN","dataAreaId":"hgv","ProductColorId":"","ProductConfigurationId":"","ProductSizeId":"","ProductStyleId":""}</t>
  </si>
  <si>
    <t>{"ItemNumber":"11521","ProductName":"Linguine 3.5cm Volkoren kg","InventoryWarehouseId":"GR","OnHandQuantity":2520,"TotalAvailableQuantity":3000,"AvailableOnHandQuantity":2520,"InventorySiteId":"VEN","dataAreaId":"hgv","ProductColorId":"","ProductConfigurationId":"","ProductSizeId":"","ProductStyleId":""}</t>
  </si>
  <si>
    <t>{"ItemNumber":"11534","ProductName":"Boerenmix BL1-V1 25g st","InventoryWarehouseId":"GR","OnHandQuantity":15050,"TotalAvailableQuantity":40250,"AvailableOnHandQuantity":15050,"InventorySiteId":"VEN","dataAreaId":"hgv","ProductColorId":"","ProductConfigurationId":"","ProductSizeId":"","ProductStyleId":""}</t>
  </si>
  <si>
    <t>{"ItemNumber":"11535","ProductName":"Ei gekookt BL1-E1 kg","InventoryWarehouseId":"GR","OnHandQuantity":7858.41,"TotalAvailableQuantity":14701.29,"AvailableOnHandQuantity":7858.41,"InventorySiteId":"VEN","dataAreaId":"hgv","ProductColorId":"","ProductConfigurationId":"","ProductSizeId":"","ProductStyleId":""}</t>
  </si>
  <si>
    <t>{"ItemNumber":"11536","ProductName":"Boerenkool 10mm","InventoryWarehouseId":"GR","OnHandQuantity":0,"TotalAvailableQuantity":0,"AvailableOnHandQuantity":0,"InventorySiteId":"VEN","dataAreaId":"hgv","ProductColorId":"","ProductConfigurationId":"","ProductSizeId":"","ProductStyleId":""}</t>
  </si>
  <si>
    <t>{"ItemNumber":"11541","ProductName":"Munt Citroen Vinaigrette KG","InventoryWarehouseId":"GR","OnHandQuantity":276.187,"TotalAvailableQuantity":271.861,"AvailableOnHandQuantity":276.187,"InventorySiteId":"VEN","dataAreaId":"hgv","ProductColorId":"","ProductConfigurationId":"","ProductSizeId":"","ProductStyleId":""}</t>
  </si>
  <si>
    <t>{"ItemNumber":"11547","ProductName":"Romige Pesto Dressing 50g sachet","InventoryWarehouseId":"GR","OnHandQuantity":32300,"TotalAvailableQuantity":32300,"AvailableOnHandQuantity":32300,"InventorySiteId":"VEN","dataAreaId":"hgv","ProductColorId":"","ProductConfigurationId":"","ProductSizeId":"","ProductStyleId":""}</t>
  </si>
  <si>
    <t>{"ItemNumber":"11556","ProductName":"Mosterd Dressing (HIM013) kg","InventoryWarehouseId":"GR","OnHandQuantity":1696.553,"TotalAvailableQuantity":1696.553,"AvailableOnHandQuantity":1696.553,"InventorySiteId":"VEN","dataAreaId":"hgv","ProductColorId":"","ProductConfigurationId":"","ProductSizeId":"","ProductStyleId":""}</t>
  </si>
  <si>
    <t>{"ItemNumber":"11560","ProductName":"Dress Sriracha mayonaise cup 25g","InventoryWarehouseId":"GR","OnHandQuantity":6000,"TotalAvailableQuantity":6000,"AvailableOnHandQuantity":6000,"InventorySiteId":"VEN","dataAreaId":"hgv","ProductColorId":"","ProductConfigurationId":"","ProductSizeId":"","ProductStyleId":""}</t>
  </si>
  <si>
    <t>{"ItemNumber":"11563","ProductName":"Dressing Pikant, cup 25g verlaagd suiker en zout (V7)","InventoryWarehouseId":"GR","OnHandQuantity":39600,"TotalAvailableQuantity":39600,"AvailableOnHandQuantity":39600,"InventorySiteId":"VEN","dataAreaId":"hgv","ProductColorId":"","ProductConfigurationId":"","ProductSizeId":"","ProductStyleId":""}</t>
  </si>
  <si>
    <t>{"ItemNumber":"11567","ProductName":"Lollo Bionda watercultuur KG","InventoryWarehouseId":"GR","OnHandQuantity":2037.55,"TotalAvailableQuantity":2087.84,"AvailableOnHandQuantity":2037.55,"InventorySiteId":"VEN","dataAreaId":"hgv","ProductColorId":"","ProductConfigurationId":"","ProductSizeId":"","ProductStyleId":""}</t>
  </si>
  <si>
    <t>{"ItemNumber":"11583","ProductName":"Volkoren gramigna aangezuurd 3.75 kg","InventoryWarehouseId":"GR","OnHandQuantity":1485,"TotalAvailableQuantity":4845,"AvailableOnHandQuantity":1485,"InventorySiteId":"VEN","dataAreaId":"hgv","ProductColorId":"","ProductConfigurationId":"","ProductSizeId":"","ProductStyleId":""}</t>
  </si>
  <si>
    <t>{"ItemNumber":"11584","ProductName":"Volkoren mini conchigliette AANGEZUURD 3.75 kg","InventoryWarehouseId":"GR","OnHandQuantity":1605,"TotalAvailableQuantity":4005,"AvailableOnHandQuantity":1605,"InventorySiteId":"VEN","dataAreaId":"hgv","ProductColorId":"","ProductConfigurationId":"","ProductSizeId":"","ProductStyleId":""}</t>
  </si>
  <si>
    <t>{"ItemNumber":"11592","ProductName":"Heks'nkaas kg","InventoryWarehouseId":"GR","OnHandQuantity":510,"TotalAvailableQuantity":730,"AvailableOnHandQuantity":510,"InventorySiteId":"VEN","dataAreaId":"hgv","ProductColorId":"","ProductConfigurationId":"","ProductSizeId":"","ProductStyleId":""}</t>
  </si>
  <si>
    <t>{"ItemNumber":"11594","ProductName":"Nieuwe mayo lagere kcal 35.18","InventoryWarehouseId":"GR","OnHandQuantity":3893,"TotalAvailableQuantity":7376.143,"AvailableOnHandQuantity":3893,"InventorySiteId":"VEN","dataAreaId":"hgv","ProductColorId":"","ProductConfigurationId":"","ProductSizeId":"","ProductStyleId":""}</t>
  </si>
  <si>
    <t>{"ItemNumber":"11595","ProductName":"Gerookte Kipfilet plak 6mm BL1-K1* kg","InventoryWarehouseId":"GR","OnHandQuantity":474.3,"TotalAvailableQuantity":2855.1,"AvailableOnHandQuantity":474.3,"InventorySiteId":"VEN","dataAreaId":"hgv","ProductColorId":"","ProductConfigurationId":"","ProductSizeId":"","ProductStyleId":""}</t>
  </si>
  <si>
    <t>{"ItemNumber":"116","ProductName":"KF EPS 246 Groen","InventoryWarehouseId":"EP","OnHandQuantity":547,"TotalAvailableQuantity":547,"AvailableOnHandQuantity":547,"InventorySiteId":"VEN","dataAreaId":"hgv","ProductColorId":"","ProductConfigurationId":"","ProductSizeId":"","ProductStyleId":""}</t>
  </si>
  <si>
    <t>{"ItemNumber":"116","ProductName":"KF EPS 246 Groen","InventoryWarehouseId":"GR","OnHandQuantity":359,"TotalAvailableQuantity":358,"AvailableOnHandQuantity":359,"InventorySiteId":"VEN","dataAreaId":"hgv","ProductColorId":"","ProductConfigurationId":"","ProductSizeId":"","ProductStyleId":""}</t>
  </si>
  <si>
    <t>{"ItemNumber":"116","ProductName":"KF EPS 246 Groen","InventoryWarehouseId":"RL","OnHandQuantity":1004,"TotalAvailableQuantity":644,"AvailableOnHandQuantity":1004,"InventorySiteId":"VEN","dataAreaId":"hgv","ProductColorId":"","ProductConfigurationId":"","ProductSizeId":"","ProductStyleId":""}</t>
  </si>
  <si>
    <t>{"ItemNumber":"11601","ProductName":"Dressing Pesto 25g cup","InventoryWarehouseId":"GR","OnHandQuantity":6000,"TotalAvailableQuantity":6000,"AvailableOnHandQuantity":6000,"InventorySiteId":"VEN","dataAreaId":"hgv","ProductColorId":"","ProductConfigurationId":"","ProductSizeId":"","ProductStyleId":""}</t>
  </si>
  <si>
    <t>{"ItemNumber":"11602","ProductName":"Dressing Pesto 50g","InventoryWarehouseId":"GR","OnHandQuantity":6448,"TotalAvailableQuantity":6448,"AvailableOnHandQuantity":6448,"InventorySiteId":"VEN","dataAreaId":"hgv","ProductColorId":"","ProductConfigurationId":"","ProductSizeId":"","ProductStyleId":""}</t>
  </si>
  <si>
    <t>{"ItemNumber":"11612","ProductName":"Dress Spicy Jalapeno 40g Vegan","InventoryWarehouseId":"GR","OnHandQuantity":4395,"TotalAvailableQuantity":4395,"AvailableOnHandQuantity":4395,"InventorySiteId":"VEN","dataAreaId":"hgv","ProductColorId":"","ProductConfigurationId":"","ProductSizeId":"","ProductStyleId":""}</t>
  </si>
  <si>
    <t>{"ItemNumber":"11614","ProductName":"Aardappel kriel in schil KG","InventoryWarehouseId":"GR","OnHandQuantity":739.4,"TotalAvailableQuantity":739.4,"AvailableOnHandQuantity":739.4,"InventorySiteId":"VEN","dataAreaId":"hgv","ProductColorId":"","ProductConfigurationId":"","ProductSizeId":"","ProductStyleId":""}</t>
  </si>
  <si>
    <t>{"ItemNumber":"11615","ProductName":"Pompoen wortel zoeteaardappel puree vadouvan kg","InventoryWarehouseId":"GR","OnHandQuantity":112,"TotalAvailableQuantity":144,"AvailableOnHandQuantity":80,"InventorySiteId":"VEN","dataAreaId":"hgv","ProductColorId":"","ProductConfigurationId":"","ProductSizeId":"","ProductStyleId":""}</t>
  </si>
  <si>
    <t>{"ItemNumber":"11616","ProductName":"Courgette fijn kg","InventoryWarehouseId":"GR","OnHandQuantity":561,"TotalAvailableQuantity":2961,"AvailableOnHandQuantity":561,"InventorySiteId":"VEN","dataAreaId":"hgv","ProductColorId":"","ProductConfigurationId":"","ProductSizeId":"","ProductStyleId":""}</t>
  </si>
  <si>
    <t>{"ItemNumber":"11617","ProductName":"Geroosterde mais 15g","InventoryWarehouseId":"GR","OnHandQuantity":3500,"TotalAvailableQuantity":3500,"AvailableOnHandQuantity":3500,"InventorySiteId":"VEN","dataAreaId":"hgv","ProductColorId":"","ProductConfigurationId":"","ProductSizeId":"","ProductStyleId":""}</t>
  </si>
  <si>
    <t>{"ItemNumber":"11619","ProductName":"Volkoren fusilli aangezuurd","InventoryWarehouseId":"GR","OnHandQuantity":1338.288,"TotalAvailableQuantity":2682.288,"AvailableOnHandQuantity":1338.288,"InventorySiteId":"VEN","dataAreaId":"hgv","ProductColorId":"","ProductConfigurationId":"","ProductSizeId":"","ProductStyleId":""}</t>
  </si>
  <si>
    <t>{"ItemNumber":"11621","ProductName":"Hamblokjes 8*8*8mm","InventoryWarehouseId":"GR","OnHandQuantity":660.818,"TotalAvailableQuantity":660.818,"AvailableOnHandQuantity":660.818,"InventorySiteId":"VEN","dataAreaId":"hgv","ProductColorId":"","ProductConfigurationId":"","ProductSizeId":"","ProductStyleId":""}</t>
  </si>
  <si>
    <t>{"ItemNumber":"11622","ProductName":"Ketjap dressing 60g","InventoryWarehouseId":"GR","OnHandQuantity":7315,"TotalAvailableQuantity":7315,"AvailableOnHandQuantity":7315,"InventorySiteId":"VEN","dataAreaId":"hgv","ProductColorId":"","ProductConfigurationId":"","ProductSizeId":"","ProductStyleId":""}</t>
  </si>
  <si>
    <t>{"ItemNumber":"11624","ProductName":"Dress Honing Tijm 50g (AW11974)","InventoryWarehouseId":"GR","OnHandQuantity":6080,"TotalAvailableQuantity":6080,"AvailableOnHandQuantity":6080,"InventorySiteId":"VEN","dataAreaId":"hgv","ProductColorId":"","ProductConfigurationId":"","ProductSizeId":"","ProductStyleId":""}</t>
  </si>
  <si>
    <t>{"ItemNumber":"11625","ProductName":"Nigella zaad kg","InventoryWarehouseId":"GR","OnHandQuantity":80,"TotalAvailableQuantity":80,"AvailableOnHandQuantity":80,"InventorySiteId":"VEN","dataAreaId":"hgv","ProductColorId":"","ProductConfigurationId":"","ProductSizeId":"","ProductStyleId":""}</t>
  </si>
  <si>
    <t>{"ItemNumber":"11626","ProductName":"Hot and Spicy marinade KG","InventoryWarehouseId":"GR","OnHandQuantity":27.668,"TotalAvailableQuantity":27.668,"AvailableOnHandQuantity":27.668,"InventorySiteId":"VEN","dataAreaId":"hgv","ProductColorId":"","ProductConfigurationId":"","ProductSizeId":"","ProductStyleId":""}</t>
  </si>
  <si>
    <t>{"ItemNumber":"11627","ProductName":"Komkommer Zoet Zuur KG","InventoryWarehouseId":"GR","OnHandQuantity":54,"TotalAvailableQuantity":174,"AvailableOnHandQuantity":54,"InventorySiteId":"VEN","dataAreaId":"hgv","ProductColorId":"","ProductConfigurationId":"","ProductSizeId":"","ProductStyleId":""}</t>
  </si>
  <si>
    <t>{"ItemNumber":"11628","ProductName":"Dress. Teriyaki 25g","InventoryWarehouseId":"GR","OnHandQuantity":36300,"TotalAvailableQuantity":36300,"AvailableOnHandQuantity":36300,"InventorySiteId":"VEN","dataAreaId":"hgv","ProductColorId":"","ProductConfigurationId":"","ProductSizeId":"","ProductStyleId":""}</t>
  </si>
  <si>
    <t>{"ItemNumber":"11629","ProductName":"Rode uienringen gezuurd 2mm Kg","InventoryWarehouseId":"GR","OnHandQuantity":124,"TotalAvailableQuantity":403,"AvailableOnHandQuantity":124,"InventorySiteId":"VEN","dataAreaId":"hgv","ProductColorId":"","ProductConfigurationId":"","ProductSizeId":"","ProductStyleId":""}</t>
  </si>
  <si>
    <t>{"ItemNumber":"11630","ProductName":"Mango 10x10mm tbv HC kg (Tacken)","InventoryWarehouseId":"GR","OnHandQuantity":50,"TotalAvailableQuantity":125,"AvailableOnHandQuantity":50,"InventorySiteId":"VEN","dataAreaId":"hgv","ProductColorId":"","ProductConfigurationId":"","ProductSizeId":"","ProductStyleId":""}</t>
  </si>
  <si>
    <t>{"ItemNumber":"11632","ProductName":"Hazelnootstukjes 12g","InventoryWarehouseId":"GR","OnHandQuantity":11550,"TotalAvailableQuantity":11550,"AvailableOnHandQuantity":11550,"InventorySiteId":"VEN","dataAreaId":"hgv","ProductColorId":"","ProductConfigurationId":"","ProductSizeId":"","ProductStyleId":""}</t>
  </si>
  <si>
    <t>{"ItemNumber":"11633","ProductName":"Snijbonen EN-04 productie SWT kg","InventoryWarehouseId":"GR","OnHandQuantity":0,"TotalAvailableQuantity":0,"AvailableOnHandQuantity":0,"InventorySiteId":"VEN","dataAreaId":"hgv","ProductColorId":"","ProductConfigurationId":"","ProductSizeId":"","ProductStyleId":""}</t>
  </si>
  <si>
    <t>{"ItemNumber":"11657","ProductName":"Sushirijst gekookt V20M, aangezuurd KG","InventoryWarehouseId":"GR","OnHandQuantity":3332,"TotalAvailableQuantity":9156,"AvailableOnHandQuantity":3332,"InventorySiteId":"VEN","dataAreaId":"hgv","ProductColorId":"","ProductConfigurationId":"","ProductSizeId":"","ProductStyleId":""}</t>
  </si>
  <si>
    <t>{"ItemNumber":"11665","ProductName":"Hokkaido Pompoenblokje 10mm SV KG","InventoryWarehouseId":"GR","OnHandQuantity":84,"TotalAvailableQuantity":132,"AvailableOnHandQuantity":84,"InventorySiteId":"VEN","dataAreaId":"hgv","ProductColorId":"","ProductConfigurationId":"","ProductSizeId":"","ProductStyleId":""}</t>
  </si>
  <si>
    <t>{"ItemNumber":"11666","ProductName":"Dressing Romig 45g HS","InventoryWarehouseId":"GR","OnHandQuantity":5000,"TotalAvailableQuantity":15599,"AvailableOnHandQuantity":5000,"InventorySiteId":"VEN","dataAreaId":"hgv","ProductColorId":"","ProductConfigurationId":"","ProductSizeId":"","ProductStyleId":""}</t>
  </si>
  <si>
    <t>{"ItemNumber":"11667","ProductName":"Dressing Italiaanse Pesto HS 50g","InventoryWarehouseId":"GR","OnHandQuantity":4750,"TotalAvailableQuantity":4750,"AvailableOnHandQuantity":4750,"InventorySiteId":"VEN","dataAreaId":"hgv","ProductColorId":"","ProductConfigurationId":"","ProductSizeId":"","ProductStyleId":""}</t>
  </si>
  <si>
    <t>{"ItemNumber":"11668","ProductName":"Dressing Honing Mosterd HS 50g","InventoryWarehouseId":"GR","OnHandQuantity":22229,"TotalAvailableQuantity":38379,"AvailableOnHandQuantity":22229,"InventorySiteId":"VEN","dataAreaId":"hgv","ProductColorId":"","ProductConfigurationId":"","ProductSizeId":"","ProductStyleId":""}</t>
  </si>
  <si>
    <t>{"ItemNumber":"11669","ProductName":"Dressing Honing Mosterd HS 25g","InventoryWarehouseId":"GR","OnHandQuantity":6300,"TotalAvailableQuantity":6300,"AvailableOnHandQuantity":6300,"InventorySiteId":"VEN","dataAreaId":"hgv","ProductColorId":"","ProductConfigurationId":"","ProductSizeId":"","ProductStyleId":""}</t>
  </si>
  <si>
    <t>{"ItemNumber":"11670","ProductName":"Kikkererwten aangezuurd kg","InventoryWarehouseId":"GR","OnHandQuantity":120,"TotalAvailableQuantity":408,"AvailableOnHandQuantity":120,"InventorySiteId":"VEN","dataAreaId":"hgv","ProductColorId":"","ProductConfigurationId":"","ProductSizeId":"","ProductStyleId":""}</t>
  </si>
  <si>
    <t>{"ItemNumber":"11676","ProductName":"Uien veldgewas rood kg","InventoryWarehouseId":"RL","OnHandQuantity":1143980,"TotalAvailableQuantity":0,"AvailableOnHandQuantity":0,"InventorySiteId":"VEN","dataAreaId":"hgv","ProductColorId":"","ProductConfigurationId":"","ProductSizeId":"","ProductStyleId":""}</t>
  </si>
  <si>
    <t>{"ItemNumber":"11677","ProductName":"Uien veldgewas wit kg","InventoryWarehouseId":"RL","OnHandQuantity":2793753,"TotalAvailableQuantity":0,"AvailableOnHandQuantity":0,"InventorySiteId":"VEN","dataAreaId":"hgv","ProductColorId":"","ProductConfigurationId":"","ProductSizeId":"","ProductStyleId":""}</t>
  </si>
  <si>
    <t>{"ItemNumber":"117","ProductName":"KF EPS 216 Groen","InventoryWarehouseId":"EP","OnHandQuantity":104,"TotalAvailableQuantity":104,"AvailableOnHandQuantity":104,"InventorySiteId":"VEN","dataAreaId":"hgv","ProductColorId":"","ProductConfigurationId":"","ProductSizeId":"","ProductStyleId":""}</t>
  </si>
  <si>
    <t>{"ItemNumber":"117","ProductName":"KF EPS 216 Groen","InventoryWarehouseId":"GR","OnHandQuantity":28,"TotalAvailableQuantity":27,"AvailableOnHandQuantity":28,"InventorySiteId":"VEN","dataAreaId":"hgv","ProductColorId":"","ProductConfigurationId":"","ProductSizeId":"","ProductStyleId":""}</t>
  </si>
  <si>
    <t>{"ItemNumber":"11700","ProductName":"Linzen Bruin Gekookt aangezuurd kg","InventoryWarehouseId":"GR","OnHandQuantity":128,"TotalAvailableQuantity":208,"AvailableOnHandQuantity":128,"InventorySiteId":"VEN","dataAreaId":"hgv","ProductColorId":"","ProductConfigurationId":"","ProductSizeId":"","ProductStyleId":""}</t>
  </si>
  <si>
    <t>{"ItemNumber":"11710","ProductName":"Rozijnen Kg","InventoryWarehouseId":"GR","OnHandQuantity":337.5,"TotalAvailableQuantity":337.5,"AvailableOnHandQuantity":337.5,"InventorySiteId":"VEN","dataAreaId":"hgv","ProductColorId":"","ProductConfigurationId":"","ProductSizeId":"","ProductStyleId":""}</t>
  </si>
  <si>
    <t>{"ItemNumber":"11711","ProductName":"Orzo aangezuurd Kg","InventoryWarehouseId":"GR","OnHandQuantity":765,"TotalAvailableQuantity":2685,"AvailableOnHandQuantity":765,"InventorySiteId":"VEN","dataAreaId":"hgv","ProductColorId":"","ProductConfigurationId":"","ProductSizeId":"","ProductStyleId":""}</t>
  </si>
  <si>
    <t>{"ItemNumber":"11723","ProductName":"Rode Quinoa aangezuurd Kg","InventoryWarehouseId":"GR","OnHandQuantity":1087.578,"TotalAvailableQuantity":1567.578,"AvailableOnHandQuantity":1087.578,"InventorySiteId":"VEN","dataAreaId":"hgv","ProductColorId":"","ProductConfigurationId":"","ProductSizeId":"","ProductStyleId":""}</t>
  </si>
  <si>
    <t>{"ItemNumber":"11724","ProductName":"Witte Quinoa volkoren aangezuurd kg","InventoryWarehouseId":"GR","OnHandQuantity":735,"TotalAvailableQuantity":1455,"AvailableOnHandQuantity":735,"InventorySiteId":"VEN","dataAreaId":"hgv","ProductColorId":"","ProductConfigurationId":"","ProductSizeId":"","ProductStyleId":""}</t>
  </si>
  <si>
    <t>{"ItemNumber":"11725","ProductName":"Bulgur gekookt aangezuurd kg","InventoryWarehouseId":"GR","OnHandQuantity":448,"TotalAvailableQuantity":1472,"AvailableOnHandQuantity":448,"InventorySiteId":"VEN","dataAreaId":"hgv","ProductColorId":"","ProductConfigurationId":"","ProductSizeId":"","ProductStyleId":""}</t>
  </si>
  <si>
    <t>{"ItemNumber":"11726","ProductName":"Witte Rijst aangezuurd Kg","InventoryWarehouseId":"GR","OnHandQuantity":462,"TotalAvailableQuantity":686,"AvailableOnHandQuantity":462,"InventorySiteId":"VEN","dataAreaId":"hgv","ProductColorId":"","ProductConfigurationId":"","ProductSizeId":"","ProductStyleId":""}</t>
  </si>
  <si>
    <t>{"ItemNumber":"11727","ProductName":"Rogge gekookt aangezuurd kg","InventoryWarehouseId":"GR","OnHandQuantity":120,"TotalAvailableQuantity":270,"AvailableOnHandQuantity":120,"InventorySiteId":"VEN","dataAreaId":"hgv","ProductColorId":"","ProductConfigurationId":"","ProductSizeId":"","ProductStyleId":""}</t>
  </si>
  <si>
    <t>{"ItemNumber":"118","ProductName":"KF EPS 186 Groen","InventoryWarehouseId":"EMB3","OnHandQuantity":0,"TotalAvailableQuantity":0,"AvailableOnHandQuantity":0,"InventorySiteId":"VEN","dataAreaId":"hgv","ProductColorId":"","ProductConfigurationId":"","ProductSizeId":"","ProductStyleId":""}</t>
  </si>
  <si>
    <t>{"ItemNumber":"118","ProductName":"KF EPS 186 Groen","InventoryWarehouseId":"EP","OnHandQuantity":4018,"TotalAvailableQuantity":4018,"AvailableOnHandQuantity":4018,"InventorySiteId":"VEN","dataAreaId":"hgv","ProductColorId":"","ProductConfigurationId":"","ProductSizeId":"","ProductStyleId":""}</t>
  </si>
  <si>
    <t>{"ItemNumber":"118","ProductName":"KF EPS 186 Groen","InventoryWarehouseId":"GR","OnHandQuantity":3813,"TotalAvailableQuantity":3812,"AvailableOnHandQuantity":3813,"InventorySiteId":"VEN","dataAreaId":"hgv","ProductColorId":"","ProductConfigurationId":"","ProductSizeId":"","ProductStyleId":""}</t>
  </si>
  <si>
    <t>{"ItemNumber":"118","ProductName":"KF EPS 186 Groen","InventoryWarehouseId":"RL","OnHandQuantity":-218,"TotalAvailableQuantity":-307,"AvailableOnHandQuantity":-218,"InventorySiteId":"VEN","dataAreaId":"hgv","ProductColorId":"","ProductConfigurationId":"","ProductSizeId":"","ProductStyleId":""}</t>
  </si>
  <si>
    <t>{"ItemNumber":"119","ProductName":"KF EPS 156 Groen","InventoryWarehouseId":"EP","OnHandQuantity":5166,"TotalAvailableQuantity":5166,"AvailableOnHandQuantity":5166,"InventorySiteId":"VEN","dataAreaId":"hgv","ProductColorId":"","ProductConfigurationId":"","ProductSizeId":"","ProductStyleId":""}</t>
  </si>
  <si>
    <t>{"ItemNumber":"119","ProductName":"KF EPS 156 Groen","InventoryWarehouseId":"GR","OnHandQuantity":-2169,"TotalAvailableQuantity":-2169,"AvailableOnHandQuantity":-2169,"InventorySiteId":"VEN","dataAreaId":"hgv","ProductColorId":"","ProductConfigurationId":"","ProductSizeId":"","ProductStyleId":""}</t>
  </si>
  <si>
    <t>{"ItemNumber":"120","ProductName":"KF EPS 136 Groen","InventoryWarehouseId":"EMB3","OnHandQuantity":540,"TotalAvailableQuantity":540,"AvailableOnHandQuantity":540,"InventorySiteId":"VEN","dataAreaId":"hgv","ProductColorId":"","ProductConfigurationId":"","ProductSizeId":"","ProductStyleId":""}</t>
  </si>
  <si>
    <t>{"ItemNumber":"120","ProductName":"KF EPS 136 Groen","InventoryWarehouseId":"EP","OnHandQuantity":24,"TotalAvailableQuantity":24,"AvailableOnHandQuantity":24,"InventorySiteId":"VEN","dataAreaId":"hgv","ProductColorId":"","ProductConfigurationId":"","ProductSizeId":"","ProductStyleId":""}</t>
  </si>
  <si>
    <t>{"ItemNumber":"120","ProductName":"KF EPS 136 Groen","InventoryWarehouseId":"GR","OnHandQuantity":1827,"TotalAvailableQuantity":1826,"AvailableOnHandQuantity":1827,"InventorySiteId":"VEN","dataAreaId":"hgv","ProductColorId":"","ProductConfigurationId":"","ProductSizeId":"","ProductStyleId":""}</t>
  </si>
  <si>
    <t>{"ItemNumber":"120","ProductName":"KF EPS 136 Groen","InventoryWarehouseId":"RL","OnHandQuantity":0,"TotalAvailableQuantity":0,"AvailableOnHandQuantity":0,"InventorySiteId":"VEN","dataAreaId":"hgv","ProductColorId":"","ProductConfigurationId":"","ProductSizeId":"","ProductStyleId":""}</t>
  </si>
  <si>
    <t>{"ItemNumber":"121","ProductName":"KF EPS 106 Groen","InventoryWarehouseId":"EMB3","OnHandQuantity":0,"TotalAvailableQuantity":0,"AvailableOnHandQuantity":0,"InventorySiteId":"VEN","dataAreaId":"hgv","ProductColorId":"","ProductConfigurationId":"","ProductSizeId":"","ProductStyleId":""}</t>
  </si>
  <si>
    <t>{"ItemNumber":"121","ProductName":"KF EPS 106 Groen","InventoryWarehouseId":"EP","OnHandQuantity":7315,"TotalAvailableQuantity":7315,"AvailableOnHandQuantity":7315,"InventorySiteId":"VEN","dataAreaId":"hgv","ProductColorId":"","ProductConfigurationId":"","ProductSizeId":"","ProductStyleId":""}</t>
  </si>
  <si>
    <t>{"ItemNumber":"121","ProductName":"KF EPS 106 Groen","InventoryWarehouseId":"GR","OnHandQuantity":429,"TotalAvailableQuantity":428,"AvailableOnHandQuantity":429,"InventorySiteId":"VEN","dataAreaId":"hgv","ProductColorId":"","ProductConfigurationId":"","ProductSizeId":"","ProductStyleId":""}</t>
  </si>
  <si>
    <t>{"ItemNumber":"121","ProductName":"KF EPS 106 Groen","InventoryWarehouseId":"RL","OnHandQuantity":132,"TotalAvailableQuantity":132,"AvailableOnHandQuantity":132,"InventorySiteId":"VEN","dataAreaId":"hgv","ProductColorId":"","ProductConfigurationId":"","ProductSizeId":"","ProductStyleId":""}</t>
  </si>
  <si>
    <t>{"ItemNumber":"122","ProductName":"KF EPS 154 Groen","InventoryWarehouseId":"EMB3","OnHandQuantity":360,"TotalAvailableQuantity":360,"AvailableOnHandQuantity":360,"InventorySiteId":"VEN","dataAreaId":"hgv","ProductColorId":"","ProductConfigurationId":"","ProductSizeId":"","ProductStyleId":""}</t>
  </si>
  <si>
    <t>{"ItemNumber":"122","ProductName":"KF EPS 154 Groen","InventoryWarehouseId":"EP","OnHandQuantity":-14323,"TotalAvailableQuantity":-14323,"AvailableOnHandQuantity":-14323,"InventorySiteId":"VEN","dataAreaId":"hgv","ProductColorId":"","ProductConfigurationId":"","ProductSizeId":"","ProductStyleId":""}</t>
  </si>
  <si>
    <t>{"ItemNumber":"122","ProductName":"KF EPS 154 Groen","InventoryWarehouseId":"GR","OnHandQuantity":-479,"TotalAvailableQuantity":-480,"AvailableOnHandQuantity":-479,"InventorySiteId":"VEN","dataAreaId":"hgv","ProductColorId":"","ProductConfigurationId":"","ProductSizeId":"","ProductStyleId":""}</t>
  </si>
  <si>
    <t>{"ItemNumber":"122","ProductName":"KF EPS 154 Groen","InventoryWarehouseId":"RL","OnHandQuantity":672,"TotalAvailableQuantity":672,"AvailableOnHandQuantity":672,"InventorySiteId":"VEN","dataAreaId":"hgv","ProductColorId":"","ProductConfigurationId":"","ProductSizeId":"","ProductStyleId":""}</t>
  </si>
  <si>
    <t>{"ItemNumber":"123","ProductName":"KF EPS 104 Groen","InventoryWarehouseId":"EMB3","OnHandQuantity":360,"TotalAvailableQuantity":360,"AvailableOnHandQuantity":360,"InventorySiteId":"VEN","dataAreaId":"hgv","ProductColorId":"","ProductConfigurationId":"","ProductSizeId":"","ProductStyleId":""}</t>
  </si>
  <si>
    <t>{"ItemNumber":"123","ProductName":"KF EPS 104 Groen","InventoryWarehouseId":"EP","OnHandQuantity":2434,"TotalAvailableQuantity":2434,"AvailableOnHandQuantity":2434,"InventorySiteId":"VEN","dataAreaId":"hgv","ProductColorId":"","ProductConfigurationId":"","ProductSizeId":"","ProductStyleId":""}</t>
  </si>
  <si>
    <t>{"ItemNumber":"123","ProductName":"KF EPS 104 Groen","InventoryWarehouseId":"GR","OnHandQuantity":-74,"TotalAvailableQuantity":-75,"AvailableOnHandQuantity":-74,"InventorySiteId":"VEN","dataAreaId":"hgv","ProductColorId":"","ProductConfigurationId":"","ProductSizeId":"","ProductStyleId":""}</t>
  </si>
  <si>
    <t>{"ItemNumber":"123","ProductName":"KF EPS 104 Groen","InventoryWarehouseId":"RL","OnHandQuantity":270,"TotalAvailableQuantity":270,"AvailableOnHandQuantity":270,"InventorySiteId":"VEN","dataAreaId":"hgv","ProductColorId":"","ProductConfigurationId":"","ProductSizeId":"","ProductStyleId":""}</t>
  </si>
  <si>
    <t>{"ItemNumber":"124","ProductName":"KF EPS 24603 Groen","InventoryWarehouseId":"EMB3","OnHandQuantity":0,"TotalAvailableQuantity":0,"AvailableOnHandQuantity":0,"InventorySiteId":"VEN","dataAreaId":"hgv","ProductColorId":"","ProductConfigurationId":"","ProductSizeId":"","ProductStyleId":""}</t>
  </si>
  <si>
    <t>{"ItemNumber":"124","ProductName":"KF EPS 24603 Groen","InventoryWarehouseId":"EP","OnHandQuantity":6414,"TotalAvailableQuantity":6414,"AvailableOnHandQuantity":6414,"InventorySiteId":"VEN","dataAreaId":"hgv","ProductColorId":"","ProductConfigurationId":"","ProductSizeId":"","ProductStyleId":""}</t>
  </si>
  <si>
    <t>{"ItemNumber":"124","ProductName":"KF EPS 24603 Groen","InventoryWarehouseId":"GR","OnHandQuantity":1635,"TotalAvailableQuantity":1634,"AvailableOnHandQuantity":1635,"InventorySiteId":"VEN","dataAreaId":"hgv","ProductColorId":"","ProductConfigurationId":"","ProductSizeId":"","ProductStyleId":""}</t>
  </si>
  <si>
    <t>{"ItemNumber":"125054","ProductName":"V-Dress ketjap 50g (10903) UITP","InventoryWarehouseId":"HF","OnHandQuantity":33,"TotalAvailableQuantity":33,"AvailableOnHandQuantity":33,"InventorySiteId":"VEN","dataAreaId":"hgv","ProductColorId":"","ProductConfigurationId":"","ProductSizeId":"","ProductStyleId":""}</t>
  </si>
  <si>
    <t>{"ItemNumber":"125055","ProductName":"V-Dress yoghurt 75g (10921) UITP","InventoryWarehouseId":"HF","OnHandQuantity":390,"TotalAvailableQuantity":390,"AvailableOnHandQuantity":390,"InventorySiteId":"VEN","dataAreaId":"hgv","ProductColorId":"","ProductConfigurationId":"","ProductSizeId":"","ProductStyleId":""}</t>
  </si>
  <si>
    <t>{"ItemNumber":"125056","ProductName":"V-Amandelstiften 20g (10538) UITP","InventoryWarehouseId":"HF","OnHandQuantity":1344,"TotalAvailableQuantity":1109,"AvailableOnHandQuantity":1344,"InventorySiteId":"VEN","dataAreaId":"hgv","ProductColorId":"","ProductConfigurationId":"","ProductSizeId":"","ProductStyleId":""}</t>
  </si>
  <si>
    <t>{"ItemNumber":"125057","ProductName":"V-Gebakken uitjes 10g (10397) UITP","InventoryWarehouseId":"HF","OnHandQuantity":247,"TotalAvailableQuantity":247,"AvailableOnHandQuantity":247,"InventorySiteId":"VEN","dataAreaId":"hgv","ProductColorId":"","ProductConfigurationId":"","ProductSizeId":"","ProductStyleId":""}</t>
  </si>
  <si>
    <t>{"ItemNumber":"125058","ProductName":"V-Dress sweet chili 50g (10913) UITP","InventoryWarehouseId":"HF","OnHandQuantity":800,"TotalAvailableQuantity":800,"AvailableOnHandQuantity":800,"InventorySiteId":"VEN","dataAreaId":"hgv","ProductColorId":"","ProductConfigurationId":"","ProductSizeId":"","ProductStyleId":""}</t>
  </si>
  <si>
    <t>{"ItemNumber":"125060","ProductName":"V-Sesamzaad zwart wit  4.5g (10324) UITP","InventoryWarehouseId":"HF","OnHandQuantity":1980,"TotalAvailableQuantity":1980,"AvailableOnHandQuantity":1980,"InventorySiteId":"VEN","dataAreaId":"hgv","ProductColorId":"","ProductConfigurationId":"","ProductSizeId":"","ProductStyleId":""}</t>
  </si>
  <si>
    <t>{"ItemNumber":"125061","ProductName":"V-Dress yoghurt CL 75g (10251) UITP","InventoryWarehouseId":"HF","OnHandQuantity":900,"TotalAvailableQuantity":900,"AvailableOnHandQuantity":900,"InventorySiteId":"VEN","dataAreaId":"hgv","ProductColorId":"","ProductConfigurationId":"","ProductSizeId":"","ProductStyleId":""}</t>
  </si>
  <si>
    <t>{"ItemNumber":"125062","ProductName":"V-Dress teriyaki 60g (11238) UITP","InventoryWarehouseId":"HF","OnHandQuantity":155,"TotalAvailableQuantity":155,"AvailableOnHandQuantity":155,"InventorySiteId":"VEN","dataAreaId":"hgv","ProductColorId":"","ProductConfigurationId":"","ProductSizeId":"","ProductStyleId":""}</t>
  </si>
  <si>
    <t>{"ItemNumber":"125064","ProductName":"V-Dress baharat vegan 60g  (10959) UITP","InventoryWarehouseId":"HF","OnHandQuantity":561,"TotalAvailableQuantity":561,"AvailableOnHandQuantity":561,"InventorySiteId":"VEN","dataAreaId":"hgv","ProductColorId":"","ProductConfigurationId":"","ProductSizeId":"","ProductStyleId":""}</t>
  </si>
  <si>
    <t>{"ItemNumber":"125073","ProductName":"V-Dress Yoghurt CL 50ml Jadico (10250) UITP","InventoryWarehouseId":"HF","OnHandQuantity":418,"TotalAvailableQuantity":418,"AvailableOnHandQuantity":418,"InventorySiteId":"VEN","dataAreaId":"hgv","ProductColorId":"","ProductConfigurationId":"","ProductSizeId":"","ProductStyleId":""}</t>
  </si>
  <si>
    <t>{"ItemNumber":"125074","ProductName":"V-Cashewcrunch 15g (10972)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</si>
  <si>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{"ItemNumber":"125080","ProductName":"V-Croutons garlic herb 15x15 15g (10905) UITP","InventoryWarehouseId":"HF","OnHandQuantity":673,"TotalAvailableQuantity":673,"AvailableOnHandQuantity":673,"InventorySiteId":"VEN","dataAreaId":"hgv","ProductColorId":"","ProductConfigurationId":"","ProductSizeId":"","ProductStyleId":""}</t>
  </si>
  <si>
    <t>{"ItemNumber":"125081","ProductName":"V-Italiaanse kaas VG 15g (10906) UITP","InventoryWarehouseId":"HF","OnHandQuantity":2066,"TotalAvailableQuantity":2066,"AvailableOnHandQuantity":2066,"InventorySiteId":"VEN","dataAreaId":"hgv","ProductColorId":"","ProductConfigurationId":"","ProductSizeId":"","ProductStyleId":""}</t>
  </si>
  <si>
    <t>{"ItemNumber":"125082","ProductName":"V-Dress yoghurt Caesar 70g (10911) UITP","InventoryWarehouseId":"HF","OnHandQuantity":884,"TotalAvailableQuantity":884,"AvailableOnHandQuantity":884,"InventorySiteId":"VEN","dataAreaId":"hgv","ProductColorId":"","ProductConfigurationId":"","ProductSizeId":"","ProductStyleId":""}</t>
  </si>
  <si>
    <t>{"ItemNumber":"125083","ProductName":"V-Cashewnoten qualino 20g (10977) UITP","InventoryWarehouseId":"HF","OnHandQuantity":61,"TotalAvailableQuantity":61,"AvailableOnHandQuantity":61,"InventorySiteId":"VEN","dataAreaId":"hgv","ProductColorId":"","ProductConfigurationId":"","ProductSizeId":"","ProductStyleId":""}</t>
  </si>
  <si>
    <t>{"ItemNumber":"125085","ProductName":"V-Dress munt citroen 50g (11321) UITP","InventoryWarehouseId":"HF","OnHandQuantity":922,"TotalAvailableQuantity":922,"AvailableOnHandQuantity":922,"InventorySiteId":"VEN","dataAreaId":"hgv","ProductColorId":"","ProductConfigurationId":"","ProductSizeId":"","ProductStyleId":""}</t>
  </si>
  <si>
    <t>{"ItemNumber":"125086","ProductName":"V-Dress Caesar 70g (10920) UITP","InventoryWarehouseId":"HF","OnHandQuantity":624,"TotalAvailableQuantity":624,"AvailableOnHandQuantity":624,"InventorySiteId":"VEN","dataAreaId":"hgv","ProductColorId":"","ProductConfigurationId":"","ProductSizeId":"","ProductStyleId":""}</t>
  </si>
  <si>
    <t>{"ItemNumber":"125089","ProductName":"V-Croutons garlic herb 15x15 20g (10323) UITP","InventoryWarehouseId":"HF","OnHandQuantity":530,"TotalAvailableQuantity":530,"AvailableOnHandQuantity":530,"InventorySiteId":"VEN","dataAreaId":"hgv","ProductColorId":"","ProductConfigurationId":"","ProductSizeId":"","ProductStyleId":""}</t>
  </si>
  <si>
    <t>{"ItemNumber":"125090","ProductName":"V-Dress yoghurt Caesar 75g (10327) UITP","InventoryWarehouseId":"HF","OnHandQuantity":221,"TotalAvailableQuantity":221,"AvailableOnHandQuantity":221,"InventorySiteId":"VEN","dataAreaId":"hgv","ProductColorId":"","ProductConfigurationId":"","ProductSizeId":"","ProductStyleId":""}</t>
  </si>
  <si>
    <t>{"ItemNumber":"125091","ProductName":"V-Dress Caesar 100 ml (11427) UITP","InventoryWarehouseId":"HF","OnHandQuantity":257,"TotalAvailableQuantity":457,"AvailableOnHandQuantity":257,"InventorySiteId":"VEN","dataAreaId":"hgv","ProductColorId":"","ProductConfigurationId":"","ProductSizeId":"","ProductStyleId":""}</t>
  </si>
  <si>
    <t>{"ItemNumber":"125092","ProductName":"V-Dress Mosterd 100g (11429) UITP","InventoryWarehouseId":"HF","OnHandQuantity":916,"TotalAvailableQuantity":916,"AvailableOnHandQuantity":916,"InventorySiteId":"VEN","dataAreaId":"hgv","ProductColorId":"","ProductConfigurationId":"","ProductSizeId":"","ProductStyleId":""}</t>
  </si>
  <si>
    <t>{"ItemNumber":"125093","ProductName":"V-Dress Yoghurt 100g (11426) UITP","InventoryWarehouseId":"HF","OnHandQuantity":237,"TotalAvailableQuantity":136,"AvailableOnHandQuantity":169,"InventorySiteId":"VEN","dataAreaId":"hgv","ProductColorId":"","ProductConfigurationId":"","ProductSizeId":"","ProductStyleId":""}</t>
  </si>
  <si>
    <t>{"ItemNumber":"125094","ProductName":"V-Dress Sylter-art 100g (11430) UITP","InventoryWarehouseId":"HF","OnHandQuantity":339,"TotalAvailableQuantity":339,"AvailableOnHandQuantity":339,"InventorySiteId":"VEN","dataAreaId":"hgv","ProductColorId":"","ProductConfigurationId":"","ProductSizeId":"","ProductStyleId":""}</t>
  </si>
  <si>
    <t>{"ItemNumber":"125097","ProductName":"V-Dress vinaigrette 60g (10254) UITP","InventoryWarehouseId":"HF","OnHandQuantity":374,"TotalAvailableQuantity":674,"AvailableOnHandQuantity":374,"InventorySiteId":"VEN","dataAreaId":"hgv","ProductColorId":"","ProductConfigurationId":"","ProductSizeId":"","ProductStyleId":""}</t>
  </si>
  <si>
    <t>{"ItemNumber":"125098","ProductName":"V-Dress frisse kruid 50g (10902) UITP","InventoryWarehouseId":"HF","OnHandQuantity":199,"TotalAvailableQuantity":499,"AvailableOnHandQuantity":199,"InventorySiteId":"VEN","dataAreaId":"hgv","ProductColorId":"","ProductConfigurationId":"","ProductSizeId":"","ProductStyleId":""}</t>
  </si>
  <si>
    <t>{"ItemNumber":"125101","ProductName":"V-TRAY zalm ASC 67.5g","InventoryWarehouseId":"HF","OnHandQuantity":361,"TotalAvailableQuantity":361,"AvailableOnHandQuantity":361,"InventorySiteId":"VEN","dataAreaId":"hgv","ProductColorId":"","ProductConfigurationId":"","ProductSizeId":"","ProductStyleId":""}</t>
  </si>
  <si>
    <t>{"ItemNumber":"125102","ProductName":"V-Dress yoghurt Caesar 50g (10326) UITP","InventoryWarehouseId":"HF","OnHandQuantity":273,"TotalAvailableQuantity":273,"AvailableOnHandQuantity":273,"InventorySiteId":"VEN","dataAreaId":"hgv","ProductColorId":"","ProductConfigurationId":"","ProductSizeId":"","ProductStyleId":""}</t>
  </si>
  <si>
    <t>{"ItemNumber":"125103","ProductName":"V-Dress cocktail 50g (10253) UITP","InventoryWarehouseId":"HF","OnHandQuantity":144,"TotalAvailableQuantity":144,"AvailableOnHandQuantity":144,"InventorySiteId":"VEN","dataAreaId":"hgv","ProductColorId":"","ProductConfigurationId":"","ProductSizeId":"","ProductStyleId":""}</t>
  </si>
  <si>
    <t>{"ItemNumber":"125105","ProductName":"V-Dress oosters Hessing 50g (10329) UITP","InventoryWarehouseId":"HF","OnHandQuantity":235,"TotalAvailableQuantity":235,"AvailableOnHandQuantity":235,"InventorySiteId":"VEN","dataAreaId":"hgv","ProductColorId":"","ProductConfigurationId":"","ProductSizeId":"","ProductStyleId":""}</t>
  </si>
  <si>
    <t>{"ItemNumber":"125106","ProductName":"V-Dress balsamico Hes 50g (10904) UITP","InventoryWarehouseId":"HF","OnHandQuantity":156,"TotalAvailableQuantity":156,"AvailableOnHandQuantity":156,"InventorySiteId":"VEN","dataAreaId":"hgv","ProductColorId":"","ProductConfigurationId":"","ProductSizeId":"","ProductStyleId":""}</t>
  </si>
  <si>
    <t>{"ItemNumber":"125110","ProductName":"V-Dress Vinaigrette 100g (11432) UITP","InventoryWarehouseId":"HF","OnHandQuantity":106,"TotalAvailableQuantity":106,"AvailableOnHandQuantity":106,"InventorySiteId":"VEN","dataAreaId":"hgv","ProductColorId":"","ProductConfigurationId":"","ProductSizeId":"","ProductStyleId":""}</t>
  </si>
  <si>
    <t>{"ItemNumber":"125112","ProductName":"V-Dress Caesar cup 20g (10919) UITP","InventoryWarehouseId":"HF","OnHandQuantity":89,"TotalAvailableQuantity":89,"AvailableOnHandQuantity":89,"InventorySiteId":"VEN","dataAreaId":"hgv","ProductColorId":"","ProductConfigurationId":"","ProductSizeId":"","ProductStyleId":""}</t>
  </si>
  <si>
    <t>{"ItemNumber":"125113","ProductName":"V-Walnoten 20g (10536) UITP","InventoryWarehouseId":"HF","OnHandQuantity":187,"TotalAvailableQuantity":187,"AvailableOnHandQuantity":187,"InventorySiteId":"VEN","dataAreaId":"hgv","ProductColorId":"","ProductConfigurationId":"","ProductSizeId":"","ProductStyleId":""}</t>
  </si>
  <si>
    <t>{"ItemNumber":"125116","ProductName":"V-Tortillachips chilitriangle 20g (10783) UITP","InventoryWarehouseId":"HF","OnHandQuantity":465,"TotalAvailableQuantity":465,"AvailableOnHandQuantity":465,"InventorySiteId":"VEN","dataAreaId":"hgv","ProductColorId":"","ProductConfigurationId":"","ProductSizeId":"","ProductStyleId":""}</t>
  </si>
  <si>
    <t>{"ItemNumber":"125117","ProductName":"V-Dress oosters cup 25g (11312) UITP","InventoryWarehouseId":"HF","OnHandQuantity":81,"TotalAvailableQuantity":81,"AvailableOnHandQuantity":81,"InventorySiteId":"VEN","dataAreaId":"hgv","ProductColorId":"","ProductConfigurationId":"","ProductSizeId":"","ProductStyleId":""}</t>
  </si>
  <si>
    <t>{"ItemNumber":"125121","ProductName":"V-Dress yoghurt Caesar 25g cup (11323) UITP","InventoryWarehouseId":"HF","OnHandQuantity":225,"TotalAvailableQuantity":225,"AvailableOnHandQuantity":225,"InventorySiteId":"VEN","dataAreaId":"hgv","ProductColorId":"","ProductConfigurationId":"","ProductSizeId":"","ProductStyleId":""}</t>
  </si>
  <si>
    <t>{"ItemNumber":"125122","ProductName":"V-Dress Doperwt Yoghurt 25g cup (11344) UITP","InventoryWarehouseId":"HF","OnHandQuantity":310,"TotalAvailableQuantity":310,"AvailableOnHandQuantity":310,"InventorySiteId":"VEN","dataAreaId":"hgv","ProductColorId":"","ProductConfigurationId":"","ProductSizeId":"","ProductStyleId":""}</t>
  </si>
  <si>
    <t>{"ItemNumber":"125123","ProductName":"V-Dress Soja Gember 25g cup (11373) UITP","InventoryWarehouseId":"HF","OnHandQuantity":453,"TotalAvailableQuantity":453,"AvailableOnHandQuantity":453,"InventorySiteId":"VEN","dataAreaId":"hgv","ProductColorId":"","ProductConfigurationId":"","ProductSizeId":"","ProductStyleId":""}</t>
  </si>
  <si>
    <t>{"ItemNumber":"125124","ProductName":"V-Dress ras el hanout vegan cup 20g (11401) UITP","InventoryWarehouseId":"HF","OnHandQuantity":286,"TotalAvailableQuantity":286,"AvailableOnHandQuantity":286,"InventorySiteId":"VEN","dataAreaId":"hgv","ProductColorId":"","ProductConfigurationId":"","ProductSizeId":"","ProductStyleId":""}</t>
  </si>
  <si>
    <t>{"ItemNumber":"125127","ProductName":"V-Cashew crunch 10g (10434) UITP","InventoryWarehouseId":"HF","OnHandQuantity":493,"TotalAvailableQuantity":493,"AvailableOnHandQuantity":493,"InventorySiteId":"VEN","dataAreaId":"hgv","ProductColorId":"","ProductConfigurationId":"","ProductSizeId":"","ProductStyleId":""}</t>
  </si>
  <si>
    <t>{"ItemNumber":"125128","ProductName":"V-TRAY zalm snip ASC 58.5g","InventoryWarehouseId":"HF","OnHandQuantity":187,"TotalAvailableQuantity":187,"AvailableOnHandQuantity":187,"InventorySiteId":"VEN","dataAreaId":"hgv","ProductColorId":"","ProductConfigurationId":"","ProductSizeId":"","ProductStyleId":""}</t>
  </si>
  <si>
    <t>{"ItemNumber":"125129","ProductName":"V-Dress dille/mierikswortel 55g (10673) UITP","InventoryWarehouseId":"HF","OnHandQuantity":844,"TotalAvailableQuantity":844,"AvailableOnHandQuantity":844,"InventorySiteId":"VEN","dataAreaId":"hgv","ProductColorId":"","ProductConfigurationId":"","ProductSizeId":"","ProductStyleId":""}</t>
  </si>
  <si>
    <t>{"ItemNumber":"125130","ProductName":"V-Dress honingtijm 50g (10910) UITP","InventoryWarehouseId":"HF","OnHandQuantity":198,"TotalAvailableQuantity":198,"AvailableOnHandQuantity":198,"InventorySiteId":"VEN","dataAreaId":"hgv","ProductColorId":"","ProductConfigurationId":"","ProductSizeId":"","ProductStyleId":""}</t>
  </si>
  <si>
    <t>{"ItemNumber":"125131","ProductName":"V-Dress Honing Tijm (75% minder suiker) 50g (11333) UITP","InventoryWarehouseId":"HF","OnHandQuantity":201,"TotalAvailableQuantity":201,"AvailableOnHandQuantity":201,"InventorySiteId":"VEN","dataAreaId":"hgv","ProductColorId":"","ProductConfigurationId":"","ProductSizeId":"","ProductStyleId":""}</t>
  </si>
  <si>
    <t>{"ItemNumber":"125135","ProductName":"V-Dress kerrie appel 60g (10428) UITP","InventoryWarehouseId":"HF","OnHandQuantity":201,"TotalAvailableQuantity":201,"AvailableOnHandQuantity":201,"InventorySiteId":"VEN","dataAreaId":"hgv","ProductColorId":"","ProductConfigurationId":"","ProductSizeId":"","ProductStyleId":""}</t>
  </si>
  <si>
    <t>{"ItemNumber":"125138","ProductName":"V-TRAY tonijn MSC 70g","InventoryWarehouseId":"HF","OnHandQuantity":169,"TotalAvailableQuantity":169,"AvailableOnHandQuantity":169,"InventorySiteId":"VEN","dataAreaId":"hgv","ProductColorId":"","ProductConfigurationId":"","ProductSizeId":"","ProductStyleId":""}</t>
  </si>
  <si>
    <t>{"ItemNumber":"125141","ProductName":"V-Dress balsamico 2-fase 50g (10333) UITP","InventoryWarehouseId":"HF","OnHandQuantity":280,"TotalAvailableQuantity":280,"AvailableOnHandQuantity":280,"InventorySiteId":"VEN","dataAreaId":"hgv","ProductColorId":"","ProductConfigurationId":"","ProductSizeId":"","ProductStyleId":""}</t>
  </si>
  <si>
    <t>{"ItemNumber":"125144","ProductName":"V-Dress yoghurt BL3-Z3 50g UITP","InventoryWarehouseId":"HF","OnHandQuantity":4,"TotalAvailableQuantity":-1100,"AvailableOnHandQuantity":4,"InventorySiteId":"VEN","dataAreaId":"hgv","ProductColorId":"","ProductConfigurationId":"","ProductSizeId":"","ProductStyleId":""}</t>
  </si>
  <si>
    <t>{"ItemNumber":"125146","ProductName":"V-Dress Ketjap niewe variant 50g (11325) UITP","InventoryWarehouseId":"HF","OnHandQuantity":185,"TotalAvailableQuantity":185,"AvailableOnHandQuantity":185,"InventorySiteId":"VEN","dataAreaId":"hgv","ProductColorId":"","ProductConfigurationId":"","ProductSizeId":"","ProductStyleId":""}</t>
  </si>
  <si>
    <t>{"ItemNumber":"125148","ProductName":"V-Dress Tahin yoghurt 50g (11342) UITP","InventoryWarehouseId":"HF","OnHandQuantity":85,"TotalAvailableQuantity":85,"AvailableOnHandQuantity":85,"InventorySiteId":"VEN","dataAreaId":"hgv","ProductColorId":"","ProductConfigurationId":"","ProductSizeId":"","ProductStyleId":""}</t>
  </si>
  <si>
    <t>{"ItemNumber":"125149","ProductName":"V-Dress Truffel 40g (11331) UITP","InventoryWarehouseId":"HF","OnHandQuantity":320,"TotalAvailableQuantity":320,"AvailableOnHandQuantity":320,"InventorySiteId":"VEN","dataAreaId":"hgv","ProductColorId":"","ProductConfigurationId":"","ProductSizeId":"","ProductStyleId":""}</t>
  </si>
  <si>
    <t>{"ItemNumber":"125150","ProductName":"V-Dress pittige yoghurt 50g (10974) UITP","InventoryWarehouseId":"HF","OnHandQuantity":177,"TotalAvailableQuantity":177,"AvailableOnHandQuantity":177,"InventorySiteId":"VEN","dataAreaId":"hgv","ProductColorId":"","ProductConfigurationId":"","ProductSizeId":"","ProductStyleId":""}</t>
  </si>
  <si>
    <t>{"ItemNumber":"125154","ProductName":"V-Dress Sesam La Place 25g cup (11371) UITP","InventoryWarehouseId":"HF","OnHandQuantity":188,"TotalAvailableQuantity":188,"AvailableOnHandQuantity":188,"InventorySiteId":"VEN","dataAreaId":"hgv","ProductColorId":"","ProductConfigurationId":"","ProductSizeId":"","ProductStyleId":""}</t>
  </si>
  <si>
    <t>{"ItemNumber":"125157","ProductName":"V-Dress Tzatziki 50g (11319) UITP","InventoryWarehouseId":"HF","OnHandQuantity":183,"TotalAvailableQuantity":183,"AvailableOnHandQuantity":183,"InventorySiteId":"VEN","dataAreaId":"hgv","ProductColorId":"","ProductConfigurationId":"","ProductSizeId":"","ProductStyleId":""}</t>
  </si>
  <si>
    <t>{"ItemNumber":"125158","ProductName":"V-Mediterranen Sprinkles 15g (11441) UITP","InventoryWarehouseId":"HF","OnHandQuantity":132,"TotalAvailableQuantity":132,"AvailableOnHandQuantity":132,"InventorySiteId":"VEN","dataAreaId":"hgv","ProductColorId":"","ProductConfigurationId":"","ProductSizeId":"","ProductStyleId":""}</t>
  </si>
  <si>
    <t>{"ItemNumber":"125160","ProductName":"V-Dress ras el hanout VEGAN 45g (11359) UITP","InventoryWarehouseId":"HF","OnHandQuantity":92,"TotalAvailableQuantity":92,"AvailableOnHandQuantity":92,"InventorySiteId":"VEN","dataAreaId":"hgv","ProductColorId":"","ProductConfigurationId":"","ProductSizeId":"","ProductStyleId":""}</t>
  </si>
  <si>
    <t>{"ItemNumber":"125162","ProductName":"V-Amandel/cashew/walnoot 40g (10924) UITP","InventoryWarehouseId":"HF","OnHandQuantity":691,"TotalAvailableQuantity":691,"AvailableOnHandQuantity":691,"InventorySiteId":"VEN","dataAreaId":"hgv","ProductColorId":"","ProductConfigurationId":"","ProductSizeId":"","ProductStyleId":""}</t>
  </si>
  <si>
    <t>{"ItemNumber":"125165","ProductName":"V-Mix sesamzaad/cocos/ui 18 gr (10523) UITP","InventoryWarehouseId":"HF","OnHandQuantity":198,"TotalAvailableQuantity":198,"AvailableOnHandQuantity":198,"InventorySiteId":"VEN","dataAreaId":"hgv","ProductColorId":"","ProductConfigurationId":"","ProductSizeId":"","ProductStyleId":""}</t>
  </si>
  <si>
    <t>{"ItemNumber":"125168","ProductName":"V-Dress rasberry 50g (11386) UITP","InventoryWarehouseId":"HF","OnHandQuantity":455,"TotalAvailableQuantity":455,"AvailableOnHandQuantity":455,"InventorySiteId":"VEN","dataAreaId":"hgv","ProductColorId":"","ProductConfigurationId":"","ProductSizeId":"","ProductStyleId":""}</t>
  </si>
  <si>
    <t>{"ItemNumber":"125169","ProductName":"V-Hazelnootstukjes/zonnebloempit 40g (11379) UITP","InventoryWarehouseId":"HF","OnHandQuantity":249,"TotalAvailableQuantity":249,"AvailableOnHandQuantity":249,"InventorySiteId":"VEN","dataAreaId":"hgv","ProductColorId":"","ProductConfigurationId":"","ProductSizeId":"","ProductStyleId":""}</t>
  </si>
  <si>
    <t>{"ItemNumber":"125170","ProductName":"V-Dress avocado 80g (11378) UITP","InventoryWarehouseId":"HF","OnHandQuantity":0,"TotalAvailableQuantity":0,"AvailableOnHandQuantity":0,"InventorySiteId":"VEN","dataAreaId":"hgv","ProductColorId":"","ProductConfigurationId":"","ProductSizeId":"","ProductStyleId":""}</t>
  </si>
  <si>
    <t>{"ItemNumber":"125182","ProductName":"V-Dress Citroengras gember 50g V2 (11356) UITP","InventoryWarehouseId":"HF","OnHandQuantity":46,"TotalAvailableQuantity":46,"AvailableOnHandQuantity":46,"InventorySiteId":"VEN","dataAreaId":"hgv","ProductColorId":"","ProductConfigurationId":"","ProductSizeId":"","ProductStyleId":""}</t>
  </si>
  <si>
    <t>{"ItemNumber":"125186","ProductName":"V-Pistache amandel 15g (11376) UITP","InventoryWarehouseId":"HF","OnHandQuantity":288,"TotalAvailableQuantity":288,"AvailableOnHandQuantity":288,"InventorySiteId":"VEN","dataAreaId":"hgv","ProductColorId":"","ProductConfigurationId":"","ProductSizeId":"","ProductStyleId":""}</t>
  </si>
  <si>
    <t>{"ItemNumber":"125187","ProductName":"V-Dress Citroengras gember 25g cup V2  (11357) UITP","InventoryWarehouseId":"HF","OnHandQuantity":517,"TotalAvailableQuantity":517,"AvailableOnHandQuantity":517,"InventorySiteId":"VEN","dataAreaId":"hgv","ProductColorId":"","ProductConfigurationId":"","ProductSizeId":"","ProductStyleId":""}</t>
  </si>
  <si>
    <t>{"ItemNumber":"125188","ProductName":"V-Dress ranch Solina 30g (10346) UITP","InventoryWarehouseId":"HF","OnHandQuantity":212,"TotalAvailableQuantity":148,"AvailableOnHandQuantity":212,"InventorySiteId":"VEN","dataAreaId":"hgv","ProductColorId":"","ProductConfigurationId":"","ProductSizeId":"","ProductStyleId":""}</t>
  </si>
  <si>
    <t>{"ItemNumber":"125189","ProductName":"V-Orig ital kaas 32+ 30g (10234) UITP","InventoryWarehouseId":"HF","OnHandQuantity":489,"TotalAvailableQuantity":489,"AvailableOnHandQuantity":489,"InventorySiteId":"VEN","dataAreaId":"hgv","ProductColorId":"","ProductConfigurationId":"","ProductSizeId":"","ProductStyleId":""}</t>
  </si>
  <si>
    <t>{"ItemNumber":"125190","ProductName":"V-Augurk/zilverui 40g (10545) UITP","InventoryWarehouseId":"HF","OnHandQuantity":193,"TotalAvailableQuantity":193,"AvailableOnHandQuantity":193,"InventorySiteId":"VEN","dataAreaId":"hgv","ProductColorId":"","ProductConfigurationId":"","ProductSizeId":"","ProductStyleId":""}</t>
  </si>
  <si>
    <t>{"ItemNumber":"125191","ProductName":"V-Dress yoghurt 2020 50g  (11008) UITP","InventoryWarehouseId":"HF","OnHandQuantity":37,"TotalAvailableQuantity":37,"AvailableOnHandQuantity":37,"InventorySiteId":"VEN","dataAreaId":"hgv","ProductColorId":"","ProductConfigurationId":"","ProductSizeId":"","ProductStyleId":""}</t>
  </si>
  <si>
    <t>{"ItemNumber":"125193","ProductName":"V-Ital mix/rond crouton 20g (10399) UITP","InventoryWarehouseId":"HF","OnHandQuantity":79,"TotalAvailableQuantity":79,"AvailableOnHandQuantity":79,"InventorySiteId":"VEN","dataAreaId":"hgv","ProductColorId":"","ProductConfigurationId":"","ProductSizeId":"","ProductStyleId":""}</t>
  </si>
  <si>
    <t>{"ItemNumber":"125194","ProductName":"V-Parmarella kaas 30g (10542) UITP","InventoryWarehouseId":"HF","OnHandQuantity":81,"TotalAvailableQuantity":81,"AvailableOnHandQuantity":81,"InventorySiteId":"VEN","dataAreaId":"hgv","ProductColorId":"","ProductConfigurationId":"","ProductSizeId":"","ProductStyleId":""}</t>
  </si>
  <si>
    <t>{"ItemNumber":"125196","ProductName":"V-Walnoot/rozijnen 25g (10958) UITP","InventoryWarehouseId":"HF","OnHandQuantity":80,"TotalAvailableQuantity":80,"AvailableOnHandQuantity":80,"InventorySiteId":"VEN","dataAreaId":"hgv","ProductColorId":"","ProductConfigurationId":"","ProductSizeId":"","ProductStyleId":""}</t>
  </si>
  <si>
    <t>{"ItemNumber":"125200","ProductName":"V-Kaas 25g (10526) UITP","InventoryWarehouseId":"HF","OnHandQuantity":141,"TotalAvailableQuantity":141,"AvailableOnHandQuantity":141,"InventorySiteId":"VEN","dataAreaId":"hgv","ProductColorId":"","ProductConfigurationId":"","ProductSizeId":"","ProductStyleId":""}</t>
  </si>
  <si>
    <t>{"ItemNumber":"125203","ProductName":"V-Dress coleslaw 100g (11387) UITP","InventoryWarehouseId":"HF","OnHandQuantity":386,"TotalAvailableQuantity":320,"AvailableOnHandQuantity":322,"InventorySiteId":"VEN","dataAreaId":"hgv","ProductColorId":"","ProductConfigurationId":"","ProductSizeId":"","ProductStyleId":""}</t>
  </si>
  <si>
    <t>{"ItemNumber":"125204","ProductName":"V-GM Radijs.Doperwt","InventoryWarehouseId":"HF","OnHandQuantity":26.95,"TotalAvailableQuantity":9.9,"AvailableOnHandQuantity":12.6,"InventorySiteId":"VEN","dataAreaId":"hgv","ProductColorId":"","ProductConfigurationId":"","ProductSizeId":"","ProductStyleId":""}</t>
  </si>
  <si>
    <t>{"ItemNumber":"125205","ProductName":"V-Dress creamy 55g (11383) UITP","InventoryWarehouseId":"HF","OnHandQuantity":95,"TotalAvailableQuantity":95,"AvailableOnHandQuantity":95,"InventorySiteId":"VEN","dataAreaId":"hgv","ProductColorId":"","ProductConfigurationId":"","ProductSizeId":"","ProductStyleId":""}</t>
  </si>
  <si>
    <t>{"ItemNumber":"125209","ProductName":"V-Basis groentenbouillon 10g (11320) UITP","InventoryWarehouseId":"HF","OnHandQuantity":291,"TotalAvailableQuantity":291,"AvailableOnHandQuantity":291,"InventorySiteId":"VEN","dataAreaId":"hgv","ProductColorId":"","ProductConfigurationId":"","ProductSizeId":"","ProductStyleId":""}</t>
  </si>
  <si>
    <t>{"ItemNumber":"125212","ProductName":"V-Parmarella kaas  20g (10290) UITP","InventoryWarehouseId":"HF","OnHandQuantity":2187,"TotalAvailableQuantity":2187,"AvailableOnHandQuantity":2187,"InventorySiteId":"VEN","dataAreaId":"hgv","ProductColorId":"","ProductConfigurationId":"","ProductSizeId":"","ProductStyleId":""}</t>
  </si>
  <si>
    <t>{"ItemNumber":"125214","ProductName":"V-Dress grieks 50ml (10345) UITP","InventoryWarehouseId":"HF","OnHandQuantity":1,"TotalAvailableQuantity":1,"AvailableOnHandQuantity":1,"InventorySiteId":"VEN","dataAreaId":"hgv","ProductColorId":"","ProductConfigurationId":"","ProductSizeId":"","ProductStyleId":""}</t>
  </si>
  <si>
    <t>{"ItemNumber":"125215","ProductName":"V-Witte kaas 30g (11012) UITP","InventoryWarehouseId":"HF","OnHandQuantity":89,"TotalAvailableQuantity":89,"AvailableOnHandQuantity":89,"InventorySiteId":"VEN","dataAreaId":"hgv","ProductColorId":"","ProductConfigurationId":"","ProductSizeId":"","ProductStyleId":""}</t>
  </si>
  <si>
    <t>{"ItemNumber":"125216","ProductName":"V-Dress Caesar V4 50g (11022) UITP","InventoryWarehouseId":"HF","OnHandQuantity":563,"TotalAvailableQuantity":563,"AvailableOnHandQuantity":563,"InventorySiteId":"VEN","dataAreaId":"hgv","ProductColorId":"","ProductConfigurationId":"","ProductSizeId":"","ProductStyleId":""}</t>
  </si>
  <si>
    <t>{"ItemNumber":"125217","ProductName":"V-Dress coleslaw organic 100g (11423) UITP","InventoryWarehouseId":"HF","OnHandQuantity":85,"TotalAvailableQuantity":85,"AvailableOnHandQuantity":85,"InventorySiteId":"VEN","dataAreaId":"hgv","ProductColorId":"","ProductConfigurationId":"","ProductSizeId":"","ProductStyleId":""}</t>
  </si>
  <si>
    <t>{"ItemNumber":"125218","ProductName":"V-TRAY tonijn MSC 56,3g","InventoryWarehouseId":"HF","OnHandQuantity":97,"TotalAvailableQuantity":97,"AvailableOnHandQuantity":97,"InventorySiteId":"VEN","dataAreaId":"hgv","ProductColorId":"","ProductConfigurationId":"","ProductSizeId":"","ProductStyleId":""}</t>
  </si>
  <si>
    <t>{"ItemNumber":"125220","ProductName":"V-Dress Cocktail CL lager suiker/zout 50g (11461) UITP","InventoryWarehouseId":"HF","OnHandQuantity":193,"TotalAvailableQuantity":193,"AvailableOnHandQuantity":193,"InventorySiteId":"VEN","dataAreaId":"hgv","ProductColorId":"","ProductConfigurationId":"","ProductSizeId":"","ProductStyleId":""}</t>
  </si>
  <si>
    <t>{"ItemNumber":"125221","ProductName":"V-Dress Pikant lager suiker/zout 50g (11477) UITP","InventoryWarehouseId":"HF","OnHandQuantity":404,"TotalAvailableQuantity":404,"AvailableOnHandQuantity":404,"InventorySiteId":"VEN","dataAreaId":"hgv","ProductColorId":"","ProductConfigurationId":"","ProductSizeId":"","ProductStyleId":""}</t>
  </si>
  <si>
    <t>{"ItemNumber":"125223","ProductName":"V-Dress Raita 50g (11484) UITP","InventoryWarehouseId":"HF","OnHandQuantity":183,"TotalAvailableQuantity":183,"AvailableOnHandQuantity":183,"InventorySiteId":"VEN","dataAreaId":"hgv","ProductColorId":"","ProductConfigurationId":"","ProductSizeId":"","ProductStyleId":""}</t>
  </si>
  <si>
    <t>{"ItemNumber":"125227","ProductName":"V-Bio belegen kaasblok 25g (11013) UITP","InventoryWarehouseId":"HF","OnHandQuantity":208,"TotalAvailableQuantity":208,"AvailableOnHandQuantity":208,"InventorySiteId":"VEN","dataAreaId":"hgv","ProductColorId":"","ProductConfigurationId":"","ProductSizeId":"","ProductStyleId":""}</t>
  </si>
  <si>
    <t>{"ItemNumber":"125228","ProductName":"V-Mediterraanse mix 20g (10554) UITP","InventoryWarehouseId":"HF","OnHandQuantity":444,"TotalAvailableQuantity":444,"AvailableOnHandQuantity":444,"InventorySiteId":"VEN","dataAreaId":"hgv","ProductColorId":"","ProductConfigurationId":"","ProductSizeId":"","ProductStyleId":""}</t>
  </si>
  <si>
    <t>{"ItemNumber":"125230","ProductName":"V-Hazelnoot cranberry mix 40g (11498) UITP","InventoryWarehouseId":"HF","OnHandQuantity":196,"TotalAvailableQuantity":196,"AvailableOnHandQuantity":196,"InventorySiteId":"VEN","dataAreaId":"hgv","ProductColorId":"","ProductConfigurationId":"","ProductSizeId":"","ProductStyleId":""}</t>
  </si>
  <si>
    <t>{"ItemNumber":"125231","ProductName":"V-Pompoenpitten 15g UITP","InventoryWarehouseId":"HF","OnHandQuantity":601,"TotalAvailableQuantity":601,"AvailableOnHandQuantity":601,"InventorySiteId":"VEN","dataAreaId":"hgv","ProductColorId":"","ProductConfigurationId":"","ProductSizeId":"","ProductStyleId":""}</t>
  </si>
  <si>
    <t>{"ItemNumber":"125239","ProductName":"V-Guacamole classic 55g zakje (11517) UITP","InventoryWarehouseId":"HF","OnHandQuantity":224,"TotalAvailableQuantity":224,"AvailableOnHandQuantity":224,"InventorySiteId":"VEN","dataAreaId":"hgv","ProductColorId":"","ProductConfigurationId":"","ProductSizeId":"","ProductStyleId":""}</t>
  </si>
  <si>
    <t>{"ItemNumber":"125248","ProductName":"V-Boerenmix BL1-V1 25g V2 UITP","InventoryWarehouseId":"HF","OnHandQuantity":173,"TotalAvailableQuantity":173,"AvailableOnHandQuantity":173,"InventorySiteId":"VEN","dataAreaId":"hgv","ProductColorId":"","ProductConfigurationId":"","ProductSizeId":"","ProductStyleId":""}</t>
  </si>
  <si>
    <t>{"ItemNumber":"125249","ProductName":"V-Houten vork FSC (verpakt) UITP","InventoryWarehouseId":"HF","OnHandQuantity":6642,"TotalAvailableQuantity":6642,"AvailableOnHandQuantity":6642,"InventorySiteId":"VEN","dataAreaId":"hgv","ProductColorId":"","ProductConfigurationId":"","ProductSizeId":"","ProductStyleId":""}</t>
  </si>
  <si>
    <t>{"ItemNumber":"125250","ProductName":"V-Cup 96ml UITP","InventoryWarehouseId":"HF","OnHandQuantity":2188,"TotalAvailableQuantity":557,"AvailableOnHandQuantity":558,"InventorySiteId":"VEN","dataAreaId":"hgv","ProductColorId":"","ProductConfigurationId":"","ProductSizeId":"","ProductStyleId":""}</t>
  </si>
  <si>
    <t>{"ItemNumber":"125252","ProductName":"V-TRAY Kipdij Gemar BL1-K1 70g","InventoryWarehouseId":"HF","OnHandQuantity":106,"TotalAvailableQuantity":106,"AvailableOnHandQuantity":106,"InventorySiteId":"VEN","dataAreaId":"hgv","ProductColorId":"","ProductConfigurationId":"","ProductSizeId":"","ProductStyleId":""}</t>
  </si>
  <si>
    <t>{"ItemNumber":"125253","ProductName":"V-TRAY Kipdij Gemar BL1-K1 61g","InventoryWarehouseId":"HF","OnHandQuantity":111,"TotalAvailableQuantity":111,"AvailableOnHandQuantity":111,"InventorySiteId":"VEN","dataAreaId":"hgv","ProductColorId":"","ProductConfigurationId":"","ProductSizeId":"","ProductStyleId":""}</t>
  </si>
  <si>
    <t>{"ItemNumber":"125259","ProductName":"V-Dress Romige Pesto 50g (11547) UITP","InventoryWarehouseId":"HF","OnHandQuantity":84,"TotalAvailableQuantity":84,"AvailableOnHandQuantity":84,"InventorySiteId":"VEN","dataAreaId":"hgv","ProductColorId":"","ProductConfigurationId":"","ProductSizeId":"","ProductStyleId":""}</t>
  </si>
  <si>
    <t>{"ItemNumber":"125261","ProductName":"V-Dress Citroen Maanzaad Sriracha 60g (11473) UITP","InventoryWarehouseId":"HF","OnHandQuantity":141,"TotalAvailableQuantity":141,"AvailableOnHandQuantity":141,"InventorySiteId":"VEN","dataAreaId":"hgv","ProductColorId":"","ProductConfigurationId":"","ProductSizeId":"","ProductStyleId":""}</t>
  </si>
  <si>
    <t>{"ItemNumber":"125266","ProductName":"V-Dress Sriracha mayosaus 25g (11560) UITP","InventoryWarehouseId":"HF","OnHandQuantity":422,"TotalAvailableQuantity":422,"AvailableOnHandQuantity":422,"InventorySiteId":"VEN","dataAreaId":"hgv","ProductColorId":"","ProductConfigurationId":"","ProductSizeId":"","ProductStyleId":""}</t>
  </si>
  <si>
    <t>{"ItemNumber":"125267","ProductName":"V-Dress Pikant verlaagd suiker/zout 25g (11563) UITP","InventoryWarehouseId":"HF","OnHandQuantity":67,"TotalAvailableQuantity":67,"AvailableOnHandQuantity":67,"InventorySiteId":"VEN","dataAreaId":"hgv","ProductColorId":"","ProductConfigurationId":"","ProductSizeId":"","ProductStyleId":""}</t>
  </si>
  <si>
    <t>{"ItemNumber":"125272","ProductName":"V-TRAY zalm ASC 54g","InventoryWarehouseId":"HF","OnHandQuantity":105,"TotalAvailableQuantity":105,"AvailableOnHandQuantity":105,"InventorySiteId":"VEN","dataAreaId":"hgv","ProductColorId":"","ProductConfigurationId":"","ProductSizeId":"","ProductStyleId":""}</t>
  </si>
  <si>
    <t>{"ItemNumber":"125276","ProductName":"V-TRAY tonijn MSC 60g","InventoryWarehouseId":"HF","OnHandQuantity":2,"TotalAvailableQuantity":2,"AvailableOnHandQuantity":2,"InventorySiteId":"VEN","dataAreaId":"hgv","ProductColorId":"","ProductConfigurationId":"","ProductSizeId":"","ProductStyleId":""}</t>
  </si>
  <si>
    <t>{"ItemNumber":"125280","ProductName":"V-Dress Pesto 25g cup (11601) UITP","InventoryWarehouseId":"HF","OnHandQuantity":83,"TotalAvailableQuantity":83,"AvailableOnHandQuantity":83,"InventorySiteId":"VEN","dataAreaId":"hgv","ProductColorId":"","ProductConfigurationId":"","ProductSizeId":"","ProductStyleId":""}</t>
  </si>
  <si>
    <t>{"ItemNumber":"125282","ProductName":"V-Dress Pesto 50g (11602) UITP","InventoryWarehouseId":"HF","OnHandQuantity":138,"TotalAvailableQuantity":138,"AvailableOnHandQuantity":138,"InventorySiteId":"VEN","dataAreaId":"hgv","ProductColorId":"","ProductConfigurationId":"","ProductSizeId":"","ProductStyleId":""}</t>
  </si>
  <si>
    <t>{"ItemNumber":"125283","ProductName":"V-TRAY tonijn MSC 63g","InventoryWarehouseId":"HF","OnHandQuantity":14,"TotalAvailableQuantity":14,"AvailableOnHandQuantity":14,"InventorySiteId":"VEN","dataAreaId":"hgv","ProductColorId":"","ProductConfigurationId":"","ProductSizeId":"","ProductStyleId":""}</t>
  </si>
  <si>
    <t>{"ItemNumber":"125285","ProductName":"V-Geroosterde mais 15g (11617) UITP","InventoryWarehouseId":"HF","OnHandQuantity":124,"TotalAvailableQuantity":124,"AvailableOnHandQuantity":124,"InventorySiteId":"VEN","dataAreaId":"hgv","ProductColorId":"","ProductConfigurationId":"","ProductSizeId":"","ProductStyleId":""}</t>
  </si>
  <si>
    <t>{"ItemNumber":"125286","ProductName":"V-Dress spicy jalapeno vegan 40g (11612) UITP","InventoryWarehouseId":"HF","OnHandQuantity":158,"TotalAvailableQuantity":158,"AvailableOnHandQuantity":158,"InventorySiteId":"VEN","dataAreaId":"hgv","ProductColorId":"","ProductConfigurationId":"","ProductSizeId":"","ProductStyleId":""}</t>
  </si>
  <si>
    <t>{"ItemNumber":"125287","ProductName":"V-Dress ketjap 60g (11622) UITP","InventoryWarehouseId":"HF","OnHandQuantity":156,"TotalAvailableQuantity":156,"AvailableOnHandQuantity":156,"InventorySiteId":"VEN","dataAreaId":"hgv","ProductColorId":"","ProductConfigurationId":"","ProductSizeId":"","ProductStyleId":""}</t>
  </si>
  <si>
    <t>{"ItemNumber":"125289","ProductName":"V-Dress Honing Tijm 50g (11624) UITP","InventoryWarehouseId":"HF","OnHandQuantity":159,"TotalAvailableQuantity":159,"AvailableOnHandQuantity":159,"InventorySiteId":"VEN","dataAreaId":"hgv","ProductColorId":"","ProductConfigurationId":"","ProductSizeId":"","ProductStyleId":""}</t>
  </si>
  <si>
    <t>{"ItemNumber":"125290","ProductName":"V-Dress Teriyaki 25g (11628) UITP","InventoryWarehouseId":"HF","OnHandQuantity":527,"TotalAvailableQuantity":527,"AvailableOnHandQuantity":527,"InventorySiteId":"VEN","dataAreaId":"hgv","ProductColorId":"","ProductConfigurationId":"","ProductSizeId":"","ProductStyleId":""}</t>
  </si>
  <si>
    <t>{"ItemNumber":"125296","ProductName":"V-Hazelnootstukjes 12g (11632) UITP","InventoryWarehouseId":"HF","OnHandQuantity":334,"TotalAvailableQuantity":334,"AvailableOnHandQuantity":334,"InventorySiteId":"VEN","dataAreaId":"hgv","ProductColorId":"","ProductConfigurationId":"","ProductSizeId":"","ProductStyleId":""}</t>
  </si>
  <si>
    <t>{"ItemNumber":"125297","ProductName":"V-Dress Romig 45g HS (11666) UITP","InventoryWarehouseId":"HF","OnHandQuantity":300,"TotalAvailableQuantity":500,"AvailableOnHandQuantity":300,"InventorySiteId":"VEN","dataAreaId":"hgv","ProductColorId":"","ProductConfigurationId":"","ProductSizeId":"","ProductStyleId":""}</t>
  </si>
  <si>
    <t>{"ItemNumber":"125298","ProductName":"V-Dress Italiaanse Pesto 50g HS (11667) UITP","InventoryWarehouseId":"HF","OnHandQuantity":273,"TotalAvailableQuantity":273,"AvailableOnHandQuantity":273,"InventorySiteId":"VEN","dataAreaId":"hgv","ProductColorId":"","ProductConfigurationId":"","ProductSizeId":"","ProductStyleId":""}</t>
  </si>
  <si>
    <t>{"ItemNumber":"125299","ProductName":"V-Dress Honing mosterd HS 50g (11668) UITP","InventoryWarehouseId":"HF","OnHandQuantity":507,"TotalAvailableQuantity":507,"AvailableOnHandQuantity":507,"InventorySiteId":"VEN","dataAreaId":"hgv","ProductColorId":"","ProductConfigurationId":"","ProductSizeId":"","ProductStyleId":""}</t>
  </si>
  <si>
    <t>{"ItemNumber":"125300","ProductName":"V-Dress Honing mosterd HS 25g (11669) UITP","InventoryWarehouseId":"HF","OnHandQuantity":113,"TotalAvailableQuantity":113,"AvailableOnHandQuantity":113,"InventorySiteId":"VEN","dataAreaId":"hgv","ProductColorId":"","ProductConfigurationId":"","ProductSizeId":"","ProductStyleId":""}</t>
  </si>
  <si>
    <t>{"ItemNumber":"125301","ProductName":"V-TRAY garnaal ASC 77,4g","InventoryWarehouseId":"HF","OnHandQuantity":272,"TotalAvailableQuantity":179,"AvailableOnHandQuantity":180,"InventorySiteId":"VEN","dataAreaId":"hgv","ProductColorId":"","ProductConfigurationId":"","ProductSizeId":"","ProductStyleId":""}</t>
  </si>
  <si>
    <t>{"ItemNumber":"130","ProductName":"KF EPS 24 Blauw","InventoryWarehouseId":"GR","OnHandQuantity":36,"TotalAvailableQuantity":36,"AvailableOnHandQuantity":36,"InventorySiteId":"VEN","dataAreaId":"hgv","ProductColorId":"","ProductConfigurationId":"","ProductSizeId":"","ProductStyleId":""}</t>
  </si>
  <si>
    <t>{"ItemNumber":"131","ProductName":"EPS Klein Blauw","InventoryWarehouseId":"EP","OnHandQuantity":10,"TotalAvailableQuantity":10,"AvailableOnHandQuantity":10,"InventorySiteId":"VEN","dataAreaId":"hgv","ProductColorId":"","ProductConfigurationId":"","ProductSizeId":"","ProductStyleId":""}</t>
  </si>
  <si>
    <t>{"ItemNumber":"131","ProductName":"EPS Klein Blauw","InventoryWarehouseId":"GR","OnHandQuantity":1697,"TotalAvailableQuantity":1696,"AvailableOnHandQuantity":1697,"InventorySiteId":"VEN","dataAreaId":"hgv","ProductColorId":"","ProductConfigurationId":"","ProductSizeId":"","ProductStyleId":""}</t>
  </si>
  <si>
    <t>{"ItemNumber":"142","ProductName":"KF IFCO 6420 Groen","InventoryWarehouseId":"GR","OnHandQuantity":0,"TotalAvailableQuantity":0,"AvailableOnHandQuantity":0,"InventorySiteId":"VEN","dataAreaId":"hgv","ProductColorId":"","ProductConfigurationId":"","ProductSizeId":"","ProductStyleId":""}</t>
  </si>
  <si>
    <t>{"ItemNumber":"143","ProductName":"KF IFCO 6424 Groen","InventoryWarehouseId":"GR","OnHandQuantity":-385,"TotalAvailableQuantity":-385,"AvailableOnHandQuantity":-385,"InventorySiteId":"VEN","dataAreaId":"hgv","ProductColorId":"","ProductConfigurationId":"","ProductSizeId":"","ProductStyleId":""}</t>
  </si>
  <si>
    <t>{"ItemNumber":"145","ProductName":"KF IFCO Zwart 4314","InventoryWarehouseId":"GR","OnHandQuantity":175,"TotalAvailableQuantity":175,"AvailableOnHandQuantity":175,"InventorySiteId":"VEN","dataAreaId":"hgv","ProductColorId":"","ProductConfigurationId":"","ProductSizeId":"","ProductStyleId":""}</t>
  </si>
  <si>
    <t>{"ItemNumber":"153","ProductName":"KF IFCO Zwart 6424","InventoryWarehouseId":"GR","OnHandQuantity":-125,"TotalAvailableQuantity":-125,"AvailableOnHandQuantity":-125,"InventorySiteId":"VEN","dataAreaId":"hgv","ProductColorId":"","ProductConfigurationId":"","ProductSizeId":"","ProductStyleId":""}</t>
  </si>
  <si>
    <t>{"ItemNumber":"160","ProductName":"KF Eurocrate 220 Zwart","InventoryWarehouseId":"GR","OnHandQuantity":10366,"TotalAvailableQuantity":10371,"AvailableOnHandQuantity":10366,"InventorySiteId":"VEN","dataAreaId":"hgv","ProductColorId":"","ProductConfigurationId":"","ProductSizeId":"","ProductStyleId":""}</t>
  </si>
  <si>
    <t>{"ItemNumber":"161","ProductName":"KF Eurocrate 167 Zwart","InventoryWarehouseId":"EP","OnHandQuantity":-120,"TotalAvailableQuantity":-120,"AvailableOnHandQuantity":-120,"InventorySiteId":"VEN","dataAreaId":"hgv","ProductColorId":"","ProductConfigurationId":"","ProductSizeId":"","ProductStyleId":""}</t>
  </si>
  <si>
    <t>{"ItemNumber":"161","ProductName":"KF Eurocrate 167 Zwart","InventoryWarehouseId":"GR","OnHandQuantity":39229,"TotalAvailableQuantity":32929,"AvailableOnHandQuantity":39229,"InventorySiteId":"VEN","dataAreaId":"hgv","ProductColorId":"","ProductConfigurationId":"","ProductSizeId":"","ProductStyleId":""}</t>
  </si>
  <si>
    <t>{"ItemNumber":"162","ProductName":"KF Eurocrate 4150 Zwart","InventoryWarehouseId":"EP","OnHandQuantity":23,"TotalAvailableQuantity":23,"AvailableOnHandQuantity":23,"InventorySiteId":"VEN","dataAreaId":"hgv","ProductColorId":"","ProductConfigurationId":"","ProductSizeId":"","ProductStyleId":""}</t>
  </si>
  <si>
    <t>{"ItemNumber":"162","ProductName":"KF Eurocrate 4150 Zwart","InventoryWarehouseId":"GR","OnHandQuantity":11322,"TotalAvailableQuantity":11322,"AvailableOnHandQuantity":11322,"InventorySiteId":"VEN","dataAreaId":"hgv","ProductColorId":"","ProductConfigurationId":"","ProductSizeId":"","ProductStyleId":""}</t>
  </si>
  <si>
    <t>{"ItemNumber":"162187","ProductName":"52549 KE Etiket Wit Portret Mixkart Rbg Chin Ital NETTO 400g","InventoryWarehouseId":"EP","OnHandQuantity":0,"TotalAvailableQuantity":-99,"AvailableOnHandQuantity":0,"InventorySiteId":"VEN","dataAreaId":"hgv","ProductColorId":"","ProductConfigurationId":"","ProductSizeId":"","ProductStyleId":""}</t>
  </si>
  <si>
    <t>{"ItemNumber":"162188","ProductName":"50643 BE FQ BLANCO 75x90mm Rbg Italiaanse Stijl 400g","InventoryWarehouseId":"EP","OnHandQuantity":10000,"TotalAvailableQuantity":10000,"AvailableOnHandQuantity":10000,"InventorySiteId":"VEN","dataAreaId":"hgv","ProductColorId":"","ProductConfigurationId":"","ProductSizeId":"","ProductStyleId":""}</t>
  </si>
  <si>
    <t>{"ItemNumber":"162194","ProductName":"50678 OE Etiket blanc 55x76 wik2 Red Cab Mix Mstrd McD 200g","InventoryWarehouseId":"EP","OnHandQuantity":23479,"TotalAvailableQuantity":23479,"AvailableOnHandQuantity":23479,"InventorySiteId":"VEN","dataAreaId":"hgv","ProductColorId":"","ProductConfigurationId":"","ProductSizeId":"","ProductStyleId":""}</t>
  </si>
  <si>
    <t>{"ItemNumber":"162241","ProductName":"53289 BE Plus Noodet Transp 80x60 Boerenkool 500g","InventoryWarehouseId":"EP","OnHandQuantity":12628,"TotalAvailableQuantity":12628,"AvailableOnHandQuantity":12628,"InventorySiteId":"VEN","dataAreaId":"hgv","ProductColorId":"","ProductConfigurationId":"","ProductSizeId":"","ProductStyleId":""}</t>
  </si>
  <si>
    <t>{"ItemNumber":"162261","ProductName":"53289 BE Plus Noodet Transp 80x60 MTS Kip Chili 400g BL1* K1","InventoryWarehouseId":"EP","OnHandQuantity":6700,"TotalAvailableQuantity":6700,"AvailableOnHandQuantity":6700,"InventorySiteId":"VEN","dataAreaId":"hgv","ProductColorId":"","ProductConfigurationId":"","ProductSizeId":"","ProductStyleId":""}</t>
  </si>
  <si>
    <t>{"ItemNumber":"162266","ProductName":"54622 BE SU Noodet Trans75x90 Andijvie fijn 250g","InventoryWarehouseId":"EP","OnHandQuantity":6548,"TotalAvailableQuantity":6548,"AvailableOnHandQuantity":6548,"InventorySiteId":"VEN","dataAreaId":"hgv","ProductColorId":"","ProductConfigurationId":"","ProductSizeId":"","ProductStyleId":""}</t>
  </si>
  <si>
    <t>{"ItemNumber":"162272","ProductName":"54622 BE SU Noodet Trans75x90 Boerenkool Grof 300g","InventoryWarehouseId":"EP","OnHandQuantity":0,"TotalAvailableQuantity":0,"AvailableOnHandQuantity":0,"InventorySiteId":"VEN","dataAreaId":"hgv","ProductColorId":"","ProductConfigurationId":"","ProductSizeId":"","ProductStyleId":""}</t>
  </si>
  <si>
    <t>{"ItemNumber":"162273","ProductName":"54622 BE SU Noodet Trans75x90 Boerenkool Grof 300g","InventoryWarehouseId":"EP","OnHandQuantity":2648,"TotalAvailableQuantity":2648,"AvailableOnHandQuantity":2648,"InventorySiteId":"VEN","dataAreaId":"hgv","ProductColorId":"","ProductConfigurationId":"","ProductSizeId":"","ProductStyleId":""}</t>
  </si>
  <si>
    <t>{"ItemNumber":"162305","ProductName":"53289 BE Plus Noodet Transp 80x60 Spinazie 600gr","InventoryWarehouseId":"EP","OnHandQuantity":13600,"TotalAvailableQuantity":13600,"AvailableOnHandQuantity":13600,"InventorySiteId":"VEN","dataAreaId":"hgv","ProductColorId":"","ProductConfigurationId":"","ProductSizeId":"","ProductStyleId":""}</t>
  </si>
  <si>
    <t>{"ItemNumber":"162352","ProductName":"tbv datum: 57528-C-label Pokebowl Garnaal ASC 400g","InventoryWarehouseId":"EP","OnHandQuantity":1235,"TotalAvailableQuantity":1235,"AvailableOnHandQuantity":1235,"InventorySiteId":"VEN","dataAreaId":"hgv","ProductColorId":"","ProductConfigurationId":"","ProductSizeId":"","ProductStyleId":""}</t>
  </si>
  <si>
    <t>{"ItemNumber":"162356","ProductName":"tbv datum: 57530-C-label Pokebowl Kip Teriyaki BLK 400g","InventoryWarehouseId":"EP","OnHandQuantity":1830,"TotalAvailableQuantity":1830,"AvailableOnHandQuantity":1830,"InventorySiteId":"VEN","dataAreaId":"hgv","ProductColorId":"","ProductConfigurationId":"","ProductSizeId":"","ProductStyleId":""}</t>
  </si>
  <si>
    <t>{"ItemNumber":"162357","ProductName":"tbv datum: 57529-C-label Pokebowl Tonijn MSC 400g","InventoryWarehouseId":"EP","OnHandQuantity":590,"TotalAvailableQuantity":590,"AvailableOnHandQuantity":590,"InventorySiteId":"VEN","dataAreaId":"hgv","ProductColorId":"","ProductConfigurationId":"","ProductSizeId":"","ProductStyleId":""}</t>
  </si>
  <si>
    <t>{"ItemNumber":"162360","ProductName":"tbv datum: 57527-C-label Pokebowl Zalm ASC 400g","InventoryWarehouseId":"EP","OnHandQuantity":1840,"TotalAvailableQuantity":1840,"AvailableOnHandQuantity":1840,"InventorySiteId":"VEN","dataAreaId":"hgv","ProductColorId":"","ProductConfigurationId":"","ProductSizeId":"","ProductStyleId":""}</t>
  </si>
  <si>
    <t>{"ItemNumber":"162365","ProductName":"tbv datum: 57531-C-label Pokebowl Spicy Chicken BLK 400g","InventoryWarehouseId":"EP","OnHandQuantity":730,"TotalAvailableQuantity":730,"AvailableOnHandQuantity":730,"InventorySiteId":"VEN","dataAreaId":"hgv","ProductColorId":"","ProductConfigurationId":"","ProductSizeId":"","ProductStyleId":""}</t>
  </si>
  <si>
    <t>{"ItemNumber":"162368","ProductName":"tbv datum: 57532-C-label Pokebowl Mango Vegetarisch 400g","InventoryWarehouseId":"EP","OnHandQuantity":1210,"TotalAvailableQuantity":1210,"AvailableOnHandQuantity":1210,"InventorySiteId":"VEN","dataAreaId":"hgv","ProductColorId":"","ProductConfigurationId":"","ProductSizeId":"","ProductStyleId":""}</t>
  </si>
  <si>
    <t>{"ItemNumber":"162384","ProductName":"57757 BE HF/GC Neutraal etiket 90x75 IJsberg radicchio 100g","InventoryWarehouseId":"EP","OnHandQuantity":2479,"TotalAvailableQuantity":2479,"AvailableOnHandQuantity":2479,"InventorySiteId":"VEN","dataAreaId":"hgv","ProductColorId":"","ProductConfigurationId":"","ProductSizeId":"","ProductStyleId":""}</t>
  </si>
  <si>
    <t>{"ItemNumber":"162404","ProductName":"56952 KE Blanco label 60x85 Spitzkohl 12*400g","InventoryWarehouseId":"EP","OnHandQuantity":0,"TotalAvailableQuantity":0,"AvailableOnHandQuantity":0,"InventorySiteId":"VEN","dataAreaId":"hgv","ProductColorId":"","ProductConfigurationId":"","ProductSizeId":"","ProductStyleId":""}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</si>
  <si>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{"ItemNumber":"162409","ProductName":"56952 KE Blanco label 60x85 Weißkohl 12*300g","InventoryWarehouseId":"EP","OnHandQuantity":0,"TotalAvailableQuantity":0,"AvailableOnHandQuantity":0,"InventorySiteId":"VEN","dataAreaId":"hgv","ProductColorId":"","ProductConfigurationId":"","ProductSizeId":"","ProductStyleId":""}</t>
  </si>
  <si>
    <t>{"ItemNumber":"162410","ProductName":"56952 KE Blanco label 60x85 Rbg Italienische Art 12*400g","InventoryWarehouseId":"EP","OnHandQuantity":0,"TotalAvailableQuantity":0,"AvailableOnHandQuantity":0,"InventorySiteId":"VEN","dataAreaId":"hgv","ProductColorId":"","ProductConfigurationId":"","ProductSizeId":"","ProductStyleId":""}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</si>
  <si>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{"ItemNumber":"162431","ProductName":"56952 KE Blanco label 60x85 Süßkartoffelchips 12*400g","InventoryWarehouseId":"EP","OnHandQuantity":0,"TotalAvailableQuantity":-8,"AvailableOnHandQuantity":0,"InventorySiteId":"VEN","dataAreaId":"hgv","ProductColorId":"","ProductConfigurationId":"","ProductSizeId":"","ProductStyleId":""}</t>
  </si>
  <si>
    <t>{"ItemNumber":"162439","ProductName":"54622 BE SU Noodet.Trans.75x90 Mac Spagh zak 250g","InventoryWarehouseId":"EP","OnHandQuantity":1500,"TotalAvailableQuantity":1500,"AvailableOnHandQuantity":1500,"InventorySiteId":"VEN","dataAreaId":"hgv","ProductColorId":"","ProductConfigurationId":"","ProductSizeId":"","ProductStyleId":""}</t>
  </si>
  <si>
    <t>{"ItemNumber":"162462","ProductName":"57757 BE HF/GC Neutr.etik.90x75 Sperziebonen 200g","InventoryWarehouseId":"EP","OnHandQuantity":722,"TotalAvailableQuantity":722,"AvailableOnHandQuantity":722,"InventorySiteId":"VEN","dataAreaId":"hgv","ProductColorId":"","ProductConfigurationId":"","ProductSizeId":"","ProductStyleId":""}</t>
  </si>
  <si>
    <t>{"ItemNumber":"162463","ProductName":"57757 BE HF/GC Neutr.etik.90x75 Bloemkool Rijst 200g","InventoryWarehouseId":"EP","OnHandQuantity":2500,"TotalAvailableQuantity":2500,"AvailableOnHandQuantity":2500,"InventorySiteId":"VEN","dataAreaId":"hgv","ProductColorId":"","ProductConfigurationId":"","ProductSizeId":"","ProductStyleId":""}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</si>
  <si>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{"ItemNumber":"162474","ProductName":"57757 BE HF/GC Neutr.etik.90x75 Bloemkool roosjes 200g","InventoryWarehouseId":"EP","OnHandQuantity":1026,"TotalAvailableQuantity":1026,"AvailableOnHandQuantity":1026,"InventorySiteId":"VEN","dataAreaId":"hgv","ProductColorId":"","ProductConfigurationId":"","ProductSizeId":"","ProductStyleId":""}</t>
  </si>
  <si>
    <t>{"ItemNumber":"162508","ProductName":"57757 BE HF/GC Neutr.etik.90x75 Wortelschijfjes 150g","InventoryWarehouseId":"EP","OnHandQuantity":8750,"TotalAvailableQuantity":8750,"AvailableOnHandQuantity":8750,"InventorySiteId":"VEN","dataAreaId":"hgv","ProductColorId":"","ProductConfigurationId":"","ProductSizeId":"","ProductStyleId":""}</t>
  </si>
  <si>
    <t>{"ItemNumber":"162513","ProductName":"57757 BE HF/GC Neutr.etik.90x75 Wortelschijfjes 300g","InventoryWarehouseId":"EP","OnHandQuantity":5000,"TotalAvailableQuantity":5000,"AvailableOnHandQuantity":5000,"InventorySiteId":"VEN","dataAreaId":"hgv","ProductColorId":"","ProductConfigurationId":"","ProductSizeId":"","ProductStyleId":""}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</si>
  <si>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{"ItemNumber":"162514","ProductName":"57757 BE HF/GC Neutr.etik.90x75 Bloemkoolroosjes 150g","InventoryWarehouseId":"EP","OnHandQuantity":1079,"TotalAvailableQuantity":1079,"AvailableOnHandQuantity":1079,"InventorySiteId":"VEN","dataAreaId":"hgv","ProductColorId":"","ProductConfigurationId":"","ProductSizeId":"","ProductStyleId":""}</t>
  </si>
  <si>
    <t>{"ItemNumber":"162518","ProductName":"57757 BE HF/GC Neutr.etik.90x75 Mix gesneden peen/ui 300g","InventoryWarehouseId":"EP","OnHandQuantity":1250,"TotalAvailableQuantity":1250,"AvailableOnHandQuantity":1250,"InventorySiteId":"VEN","dataAreaId":"hgv","ProductColorId":"","ProductConfigurationId":"","ProductSizeId":"","ProductStyleId":""}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</si>
  <si>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{"ItemNumber":"162529","ProductName":"57757 BE HF/GC Neutr.etik.90x75 Mix gesneden peen/ui 450g","InventoryWarehouseId":"EP","OnHandQuantity":1875,"TotalAvailableQuantity":1875,"AvailableOnHandQuantity":1875,"InventorySiteId":"VEN","dataAreaId":"hgv","ProductColorId":"","ProductConfigurationId":"","ProductSizeId":"","ProductStyleId":""}</t>
  </si>
  <si>
    <t>{"ItemNumber":"162532","ProductName":"57757 BE HF/GC Neutr.etik.90x75 Mix gesneden peen/ui 600g","InventoryWarehouseId":"EP","OnHandQuantity":0,"TotalAvailableQuantity":0,"AvailableOnHandQuantity":0,"InventorySiteId":"VEN","dataAreaId":"hgv","ProductColorId":"","ProductConfigurationId":"","ProductSizeId":"","ProductStyleId":""}</t>
  </si>
  <si>
    <t>{"ItemNumber":"162533","ProductName":"57757 BE HF/GC Neutr.etik.90x75 Roerbak Champignon 400g","InventoryWarehouseId":"EP","OnHandQuantity":13460,"TotalAvailableQuantity":13460,"AvailableOnHandQuantity":13460,"InventorySiteId":"VEN","dataAreaId":"hgv","ProductColorId":"","ProductConfigurationId":"","ProductSizeId":"","ProductStyleId":""}</t>
  </si>
  <si>
    <t>{"ItemNumber":"162534","ProductName":"57757 BE HF/GC Neutr.etik.90x75 Roerbak Champignon 600g","InventoryWarehouseId":"EP","OnHandQuantity":9849,"TotalAvailableQuantity":9849,"AvailableOnHandQuantity":9849,"InventorySiteId":"VEN","dataAreaId":"hgv","ProductColorId":"","ProductConfigurationId":"","ProductSizeId":"","ProductStyleId":""}</t>
  </si>
  <si>
    <t>{"ItemNumber":"162537","ProductName":"57757 BE HF/GC Neutr.etik.90x75 Roerbak Champignon 800g","InventoryWarehouseId":"EP","OnHandQuantity":13406,"TotalAvailableQuantity":13406,"AvailableOnHandQuantity":13406,"InventorySiteId":"VEN","dataAreaId":"hgv","ProductColorId":"","ProductConfigurationId":"","ProductSizeId":"","ProductStyleId":""}</t>
  </si>
  <si>
    <t>{"ItemNumber":"162541","ProductName":"57757 BE HF/GC Neutr.etik.90x75 Rode Kool 100g","InventoryWarehouseId":"EP","OnHandQuantity":6250,"TotalAvailableQuantity":6250,"AvailableOnHandQuantity":6250,"InventorySiteId":"VEN","dataAreaId":"hgv","ProductColorId":"","ProductConfigurationId":"","ProductSizeId":"","ProductStyleId":""}</t>
  </si>
  <si>
    <t>{"ItemNumber":"162542","ProductName":"57757 BE HF/GC Neutr.etik.90x75 Rode Kool 400g","InventoryWarehouseId":"EP","OnHandQuantity":3750,"TotalAvailableQuantity":3750,"AvailableOnHandQuantity":3750,"InventorySiteId":"VEN","dataAreaId":"hgv","ProductColorId":"","ProductConfigurationId":"","ProductSizeId":"","ProductStyleId":""}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</si>
  <si>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{"ItemNumber":"162550","ProductName":"57757 BE HF/GC Neutr.etik.90x75 Rode Kool 200g","InventoryWarehouseId":"EP","OnHandQuantity":2500,"TotalAvailableQuantity":2500,"AvailableOnHandQuantity":2500,"InventorySiteId":"VEN","dataAreaId":"hgv","ProductColorId":"","ProductConfigurationId":"","ProductSizeId":"","ProductStyleId":""}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</si>
  <si>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{"ItemNumber":"162554","ProductName":"57757 BE HF/GC Neutr.etik.90x75 Groentemix witte kool 400g","InventoryWarehouseId":"EP","OnHandQuantity":8993,"TotalAvailableQuantity":8993,"AvailableOnHandQuantity":8993,"InventorySiteId":"VEN","dataAreaId":"hgv","ProductColorId":"","ProductConfigurationId":"","ProductSizeId":"","ProductStyleId":""}</t>
  </si>
  <si>
    <t>{"ItemNumber":"162555","ProductName":"57757 BE HF/GC Neutr.etik.90x75 Groentemix witte kool 800g","InventoryWarehouseId":"EP","OnHandQuantity":5344,"TotalAvailableQuantity":5344,"AvailableOnHandQuantity":5344,"InventorySiteId":"VEN","dataAreaId":"hgv","ProductColorId":"","ProductConfigurationId":"","ProductSizeId":"","ProductStyleId":""}</t>
  </si>
  <si>
    <t>{"ItemNumber":"162556","ProductName":"57757 BE HF/GC Neutr.etik.90x75 Groentemix witte kool 600g","InventoryWarehouseId":"EP","OnHandQuantity":9083,"TotalAvailableQuantity":9083,"AvailableOnHandQuantity":9083,"InventorySiteId":"VEN","dataAreaId":"hgv","ProductColorId":"","ProductConfigurationId":"","ProductSizeId":"","ProductStyleId":""}</t>
  </si>
  <si>
    <t>{"ItemNumber":"162557","ProductName":"57757 BE HF/GC Neutr.etik.90x75 Spinazie 200g","InventoryWarehouseId":"EP","OnHandQuantity":33750,"TotalAvailableQuantity":33750,"AvailableOnHandQuantity":33750,"InventorySiteId":"VEN","dataAreaId":"hgv","ProductColorId":"","ProductConfigurationId":"","ProductSizeId":"","ProductStyleId":""}</t>
  </si>
  <si>
    <t>{"ItemNumber":"162560","ProductName":"57757 BE HF/GC Neutr.etik.90x75 Rucola Naturel 40g","InventoryWarehouseId":"EP","OnHandQuantity":5579,"TotalAvailableQuantity":5579,"AvailableOnHandQuantity":5579,"InventorySiteId":"VEN","dataAreaId":"hgv","ProductColorId":"","ProductConfigurationId":"","ProductSizeId":"","ProductStyleId":""}</t>
  </si>
  <si>
    <t>{"ItemNumber":"162561","ProductName":"57757 BE HF/GC Neutr.etik.90x75 Rucola Naturel 80g","InventoryWarehouseId":"EP","OnHandQuantity":23750,"TotalAvailableQuantity":23750,"AvailableOnHandQuantity":23750,"InventorySiteId":"VEN","dataAreaId":"hgv","ProductColorId":"","ProductConfigurationId":"","ProductSizeId":"","ProductStyleId":""}</t>
  </si>
  <si>
    <t>{"ItemNumber":"162578","ProductName":"57757 BE HF/GC Neutraal etiket 90x75 Bloemkool Rijst 300g","InventoryWarehouseId":"EP","OnHandQuantity":3760,"TotalAvailableQuantity":3760,"AvailableOnHandQuantity":3760,"InventorySiteId":"VEN","dataAreaId":"hgv","ProductColorId":"","ProductConfigurationId":"","ProductSizeId":"","ProductStyleId":""}</t>
  </si>
  <si>
    <t>{"ItemNumber":"162580","ProductName":"57757 BE HF/GC Neutraal etiket 90x75 Bloemkool Rijst 400g","InventoryWarehouseId":"EP","OnHandQuantity":3944,"TotalAvailableQuantity":3944,"AvailableOnHandQuantity":3944,"InventorySiteId":"VEN","dataAreaId":"hgv","ProductColorId":"","ProductConfigurationId":"","ProductSizeId":"","ProductStyleId":""}</t>
  </si>
  <si>
    <t>{"ItemNumber":"162593","ProductName":"57757 BE HF/GC Neutraal etiket 90x75 Andijvie fijn 600g","InventoryWarehouseId":"EP","OnHandQuantity":1957,"TotalAvailableQuantity":1957,"AvailableOnHandQuantity":1957,"InventorySiteId":"VEN","dataAreaId":"hgv","ProductColorId":"","ProductConfigurationId":"","ProductSizeId":"","ProductStyleId":""}</t>
  </si>
  <si>
    <t>{"ItemNumber":"162594","ProductName":"57757 BE HF/GC Neutraal etiket 90x75 Andijvie fijn 300g","InventoryWarehouseId":"EP","OnHandQuantity":2848,"TotalAvailableQuantity":2848,"AvailableOnHandQuantity":2848,"InventorySiteId":"VEN","dataAreaId":"hgv","ProductColorId":"","ProductConfigurationId":"","ProductSizeId":"","ProductStyleId":""}</t>
  </si>
  <si>
    <t>{"ItemNumber":"162595","ProductName":"57757 BE HF/GC Neutraal etiket 90x75 Boerenkool gesned.300g","InventoryWarehouseId":"EP","OnHandQuantity":1250,"TotalAvailableQuantity":1250,"AvailableOnHandQuantity":1250,"InventorySiteId":"VEN","dataAreaId":"hgv","ProductColorId":"","ProductConfigurationId":"","ProductSizeId":"","ProductStyleId":""}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</si>
  <si>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{"ItemNumber":"162605","ProductName":"54622 BE SU Noodet Trans75x90 Rbg Mexicaans 400g","InventoryWarehouseId":"EP","OnHandQuantity":14020,"TotalAvailableQuantity":14020,"AvailableOnHandQuantity":14020,"InventorySiteId":"VEN","dataAreaId":"hgv","ProductColorId":"","ProductConfigurationId":"","ProductSizeId":"","ProductStyleId":""}</t>
  </si>
  <si>
    <t>{"ItemNumber":"162610","ProductName":"54622 BE SU Noodet Trans75x90 Boerensoepgroenten 350g","InventoryWarehouseId":"EP","OnHandQuantity":3946,"TotalAvailableQuantity":3946,"AvailableOnHandQuantity":3946,"InventorySiteId":"VEN","dataAreaId":"hgv","ProductColorId":"","ProductConfigurationId":"","ProductSizeId":"","ProductStyleId":""}</t>
  </si>
  <si>
    <t>{"ItemNumber":"162612","ProductName":"54622 BE SU Noodet Trans75x90 Soepgrntn fijn 400g","InventoryWarehouseId":"EP","OnHandQuantity":7873,"TotalAvailableQuantity":7873,"AvailableOnHandQuantity":7873,"InventorySiteId":"VEN","dataAreaId":"hgv","ProductColorId":"","ProductConfigurationId":"","ProductSizeId":"","ProductStyleId":""}</t>
  </si>
  <si>
    <t>{"ItemNumber":"162614","ProductName":"54622 BE SU Noodet Trans75x90 Rucola Naturel 85g","InventoryWarehouseId":"EP","OnHandQuantity":16500,"TotalAvailableQuantity":16500,"AvailableOnHandQuantity":16500,"InventorySiteId":"VEN","dataAreaId":"hgv","ProductColorId":"","ProductConfigurationId":"","ProductSizeId":"","ProductStyleId":""}</t>
  </si>
  <si>
    <t>{"ItemNumber":"162615","ProductName":"54622 BE SU Noodet Trans75x90 Rucola Naturel 85g","InventoryWarehouseId":"EP","OnHandQuantity":3000,"TotalAvailableQuantity":3000,"AvailableOnHandQuantity":3000,"InventorySiteId":"VEN","dataAreaId":"hgv","ProductColorId":"","ProductConfigurationId":"","ProductSizeId":"","ProductStyleId":""}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</si>
  <si>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{"ItemNumber":"162616","ProductName":"54622 BE SU Noodet Trans75x90 Erwtensoep 500g","InventoryWarehouseId":"EP","OnHandQuantity":0,"TotalAvailableQuantity":0,"AvailableOnHandQuantity":0,"InventorySiteId":"VEN","dataAreaId":"hgv","ProductColorId":"","ProductConfigurationId":"","ProductSizeId":"","ProductStyleId":""}</t>
  </si>
  <si>
    <t>{"ItemNumber":"162631","ProductName":"54622 BE SU Noodet Trans75x90 Witte kool 400g","InventoryWarehouseId":"EP","OnHandQuantity":15000,"TotalAvailableQuantity":15000,"AvailableOnHandQuantity":15000,"InventorySiteId":"VEN","dataAreaId":"hgv","ProductColorId":"","ProductConfigurationId":"","ProductSizeId":"","ProductStyleId":""}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</si>
  <si>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{"ItemNumber":"162632","ProductName":"54622 BE SU Noodet Trans75x90 Bami Nasi zak 500g","InventoryWarehouseId":"EP","OnHandQuantity":0,"TotalAvailableQuantity":0,"AvailableOnHandQuantity":0,"InventorySiteId":"VEN","dataAreaId":"hgv","ProductColorId":"","ProductConfigurationId":"","ProductSizeId":"","ProductStyleId":""}</t>
  </si>
  <si>
    <t>{"ItemNumber":"162639","ProductName":"54622 BE SU Noodet Trans75x90 Rode kool 400g","InventoryWarehouseId":"EP","OnHandQuantity":7000,"TotalAvailableQuantity":7000,"AvailableOnHandQuantity":7000,"InventorySiteId":"VEN","dataAreaId":"hgv","ProductColorId":"","ProductConfigurationId":"","ProductSizeId":"","ProductStyleId":""}</t>
  </si>
  <si>
    <t>{"ItemNumber":"162650","ProductName":"54622 BE SU Noodet Trans75x90 Spruiten 350g","InventoryWarehouseId":"EP","OnHandQuantity":4504,"TotalAvailableQuantity":4504,"AvailableOnHandQuantity":4504,"InventorySiteId":"VEN","dataAreaId":"hgv","ProductColorId":"","ProductConfigurationId":"","ProductSizeId":"","ProductStyleId":""}</t>
  </si>
  <si>
    <t>{"ItemNumber":"162651","ProductName":"54622 BE SU Noodet Trans75x90 Spruiten 350g","InventoryWarehouseId":"EP","OnHandQuantity":1500,"TotalAvailableQuantity":1500,"AvailableOnHandQuantity":1500,"InventorySiteId":"VEN","dataAreaId":"hgv","ProductColorId":"","ProductConfigurationId":"","ProductSizeId":"","ProductStyleId":""}</t>
  </si>
  <si>
    <t>{"ItemNumber":"162658","ProductName":"54622 BE SU Noodet Trans75x90 Rbg Chinees 400g","InventoryWarehouseId":"EP","OnHandQuantity":3000,"TotalAvailableQuantity":3000,"AvailableOnHandQuantity":3000,"InventorySiteId":"VEN","dataAreaId":"hgv","ProductColorId":"","ProductConfigurationId":"","ProductSizeId":"","ProductStyleId":""}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</si>
  <si>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{"ItemNumber":"162659","ProductName":"54622 BE SU Noodet Trans75x90 Rbg Chinees 400g","InventoryWarehouseId":"EP","OnHandQuantity":1500,"TotalAvailableQuantity":1500,"AvailableOnHandQuantity":1500,"InventorySiteId":"VEN","dataAreaId":"hgv","ProductColorId":"","ProductConfigurationId":"","ProductSizeId":"","ProductStyleId":""}</t>
  </si>
  <si>
    <t>{"ItemNumber":"162705","ProductName":"54622 BE SU Noodet Trans75x90 Rapen 400g","InventoryWarehouseId":"EP","OnHandQuantity":12000,"TotalAvailableQuantity":12000,"AvailableOnHandQuantity":12000,"InventorySiteId":"VEN","dataAreaId":"hgv","ProductColorId":"","ProductConfigurationId":"","ProductSizeId":"","ProductStyleId":""}</t>
  </si>
  <si>
    <t>{"ItemNumber":"162711","ProductName":"54622 BE SU Noodet Trans75x90 Soepgroenten basis 400g","InventoryWarehouseId":"EP","OnHandQuantity":1500,"TotalAvailableQuantity":1500,"AvailableOnHandQuantity":1500,"InventorySiteId":"VEN","dataAreaId":"hgv","ProductColorId":"","ProductConfigurationId":"","ProductSizeId":"","ProductStyleId":""}</t>
  </si>
  <si>
    <t>{"ItemNumber":"162741","ProductName":"54622 BE SU Noodet Trans75x90 Soepgroenten basis 400g","InventoryWarehouseId":"EP","OnHandQuantity":7000,"TotalAvailableQuantity":7000,"AvailableOnHandQuantity":7000,"InventorySiteId":"VEN","dataAreaId":"hgv","ProductColorId":"","ProductConfigurationId":"","ProductSizeId":"","ProductStyleId":""}</t>
  </si>
  <si>
    <t>{"ItemNumber":"162764","ProductName":"50678 BE Etiket Blanco 55x76 wik2 Basic salad 200g","InventoryWarehouseId":"EP","OnHandQuantity":6000,"TotalAvailableQuantity":6000,"AvailableOnHandQuantity":6000,"InventorySiteId":"VEN","dataAreaId":"hgv","ProductColorId":"","ProductConfigurationId":"","ProductSizeId":"","ProductStyleId":""}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</si>
  <si>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{"ItemNumber":"162771","ProductName":"51815 BE DK Ready to Eat Noodetik Wit MTS Caesar Volk 450g","InventoryWarehouseId":"EP","OnHandQuantity":5000,"TotalAvailableQuantity":5000,"AvailableOnHandQuantity":5000,"InventorySiteId":"VEN","dataAreaId":"hgv","ProductColorId":"","ProductConfigurationId":"","ProductSizeId":"","ProductStyleId":""}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</si>
  <si>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{"ItemNumber":"162808","ProductName":"53289 BE Plus Noodet Transp 80x60 Snackworteltjes 150g","InventoryWarehouseId":"EP","OnHandQuantity":9260,"TotalAvailableQuantity":9260,"AvailableOnHandQuantity":9260,"InventorySiteId":"VEN","dataAreaId":"hgv","ProductColorId":"","ProductConfigurationId":"","ProductSizeId":"","ProductStyleId":""}</t>
  </si>
  <si>
    <t>{"ItemNumber":"162809","ProductName":"53289 BE Plus Noodet Transp 80x60 Snackworteltjes 350g","InventoryWarehouseId":"EP","OnHandQuantity":3400,"TotalAvailableQuantity":3400,"AvailableOnHandQuantity":3400,"InventorySiteId":"VEN","dataAreaId":"hgv","ProductColorId":"","ProductConfigurationId":"","ProductSizeId":"","ProductStyleId":""}</t>
  </si>
  <si>
    <t>{"ItemNumber":"162809","ProductName":"53289 BE Plus Noodet Transp 80x60 Snackworteltjes 350g","InventoryWarehouseId":"HF","OnHandQuantity":3000,"TotalAvailableQuantity":3000,"AvailableOnHandQuantity":3000,"InventorySiteId":"VEN","dataAreaId":"hgv","ProductColorId":"","ProductConfigurationId":"","ProductSizeId":"","ProductStyleId":""}</t>
  </si>
  <si>
    <t>{"ItemNumber":"162812","ProductName":"53289 BE Plus Noodet Transp 80x60 Worteltjes 300g","InventoryWarehouseId":"EP","OnHandQuantity":15300,"TotalAvailableQuantity":15300,"AvailableOnHandQuantity":15300,"InventorySiteId":"VEN","dataAreaId":"hgv","ProductColorId":"","ProductConfigurationId":"","ProductSizeId":"","ProductStyleId":""}</t>
  </si>
  <si>
    <t>{"ItemNumber":"162813","ProductName":"53289 BE Plus Noodet Transp 80x60 Worteltjes 500g","InventoryWarehouseId":"EP","OnHandQuantity":17113,"TotalAvailableQuantity":17113,"AvailableOnHandQuantity":17113,"InventorySiteId":"VEN","dataAreaId":"hgv","ProductColorId":"","ProductConfigurationId":"","ProductSizeId":"","ProductStyleId":""}</t>
  </si>
  <si>
    <t>{"ItemNumber":"162815","ProductName":"53289 BE Plus Noodet Transp 80x60 Koolraap 400g","InventoryWarehouseId":"EP","OnHandQuantity":1700,"TotalAvailableQuantity":1700,"AvailableOnHandQuantity":1700,"InventorySiteId":"VEN","dataAreaId":"hgv","ProductColorId":"","ProductConfigurationId":"","ProductSizeId":"","ProductStyleId":""}</t>
  </si>
  <si>
    <t>{"ItemNumber":"162823","ProductName":"53289 BE Plus Noodet Transp 80x60 Broccoli 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</si>
  <si>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{"ItemNumber":"162828","ProductName":"53289 BE Plus Noodet Transp 80x60 Brocc.Wortel.Bloemk 400g","InventoryWarehouseId":"EP","OnHandQuantity":18700,"TotalAvailableQuantity":18700,"AvailableOnHandQuantity":18700,"InventorySiteId":"VEN","dataAreaId":"hgv","ProductColorId":"","ProductConfigurationId":"","ProductSizeId":"","ProductStyleId":""}</t>
  </si>
  <si>
    <t>{"ItemNumber":"162831","ProductName":"53289 BE Plus Noodet Transp 80x60 Ovengr Courgette 600g","InventoryWarehouseId":"EP","OnHandQuantity":17000,"TotalAvailableQuantity":17000,"AvailableOnHandQuantity":17000,"InventorySiteId":"VEN","dataAreaId":"hgv","ProductColorId":"","ProductConfigurationId":"","ProductSizeId":"","ProductStyleId":""}</t>
  </si>
  <si>
    <t>{"ItemNumber":"162832","ProductName":"52535 BE Smeding Blanco etiket 72x79mm Rucola 250g","InventoryWarehouseId":"EP","OnHandQuantity":5402,"TotalAvailableQuantity":5402,"AvailableOnHandQuantity":5402,"InventorySiteId":"VEN","dataAreaId":"hgv","ProductColorId":"","ProductConfigurationId":"","ProductSizeId":"","ProductStyleId":""}</t>
  </si>
  <si>
    <t>{"ItemNumber":"162836","ProductName":"52549 KE Etiket Wit Portr.90x65 Bami Nasi Zak 4*250g","InventoryWarehouseId":"EP","OnHandQuantity":2167,"TotalAvailableQuantity":2167,"AvailableOnHandQuantity":2167,"InventorySiteId":"VEN","dataAreaId":"hgv","ProductColorId":"","ProductConfigurationId":"","ProductSizeId":"","ProductStyleId":""}</t>
  </si>
  <si>
    <t>{"ItemNumber":"162839","ProductName":"52549 KE Etiket Wit Portr.90x65 Mediterranean wok 4*400g","InventoryWarehouseId":"EP","OnHandQuantity":3496,"TotalAvailableQuantity":3496,"AvailableOnHandQuantity":3496,"InventorySiteId":"VEN","dataAreaId":"hgv","ProductColorId":"","ProductConfigurationId":"","ProductSizeId":"","ProductStyleId":""}</t>
  </si>
  <si>
    <t>{"ItemNumber":"162840","ProductName":"52549 KE Etiket Wit Portr.90x65 Rbg Champignon 4*250g","InventoryWarehouseId":"EP","OnHandQuantity":3590,"TotalAvailableQuantity":3590,"AvailableOnHandQuantity":3590,"InventorySiteId":"VEN","dataAreaId":"hgv","ProductColorId":"","ProductConfigurationId":"","ProductSizeId":"","ProductStyleId":""}</t>
  </si>
  <si>
    <t>{"ItemNumber":"162841","ProductName":"52549 KE Etiket Wit Portr.90x65 Wok Oosters 4*250g","InventoryWarehouseId":"EP","OnHandQuantity":3501,"TotalAvailableQuantity":3501,"AvailableOnHandQuantity":3501,"InventorySiteId":"VEN","dataAreaId":"hgv","ProductColorId":"","ProductConfigurationId":"","ProductSizeId":"","ProductStyleId":""}</t>
  </si>
  <si>
    <t>{"ItemNumber":"162842","ProductName":"52549 KE Etiket Wit Portr.90x65 XL Basic Salad 4*500g","InventoryWarehouseId":"EP","OnHandQuantity":2276,"TotalAvailableQuantity":2276,"AvailableOnHandQuantity":2276,"InventorySiteId":"VEN","dataAreaId":"hgv","ProductColorId":"","ProductConfigurationId":"","ProductSizeId":"","ProductStyleId":""}</t>
  </si>
  <si>
    <t>{"ItemNumber":"162843","ProductName":"52549 KE Etiket Wit Portr.90x65 Basic salad 8*200g","InventoryWarehouseId":"EP","OnHandQuantity":4283,"TotalAvailableQuantity":4283,"AvailableOnHandQuantity":4283,"InventorySiteId":"VEN","dataAreaId":"hgv","ProductColorId":"","ProductConfigurationId":"","ProductSizeId":"","ProductStyleId":""}</t>
  </si>
  <si>
    <t>{"ItemNumber":"162844","ProductName":"52549 KE Etiket Wit Portr.90x65 Every day salad 6*125g","InventoryWarehouseId":"EP","OnHandQuantity":5607,"TotalAvailableQuantity":5607,"AvailableOnHandQuantity":5607,"InventorySiteId":"VEN","dataAreaId":"hgv","ProductColorId":"","ProductConfigurationId":"","ProductSizeId":"","ProductStyleId":""}</t>
  </si>
  <si>
    <t>{"ItemNumber":"162845","ProductName":"52549 KE Etiket Wit Portr.90x65 XL Every day salad 4*400g","InventoryWarehouseId":"EP","OnHandQuantity":3524,"TotalAvailableQuantity":3524,"AvailableOnHandQuantity":3524,"InventorySiteId":"VEN","dataAreaId":"hgv","ProductColorId":"","ProductConfigurationId":"","ProductSizeId":"","ProductStyleId":""}</t>
  </si>
  <si>
    <t>{"ItemNumber":"162846","ProductName":"52549 KE Etiket Wit Portr.90x65 Crispy salad 5*200g","InventoryWarehouseId":"EP","OnHandQuantity":4956,"TotalAvailableQuantity":4956,"AvailableOnHandQuantity":4956,"InventorySiteId":"VEN","dataAreaId":"hgv","ProductColorId":"","ProductConfigurationId":"","ProductSizeId":"","ProductStyleId":""}</t>
  </si>
  <si>
    <t>{"ItemNumber":"162847","ProductName":"52549 KE Etiket Wit Portr.90x65 Frisee Radicchio mix 8*125g","InventoryWarehouseId":"EP","OnHandQuantity":3043,"TotalAvailableQuantity":3043,"AvailableOnHandQuantity":3043,"InventorySiteId":"VEN","dataAreaId":"hgv","ProductColorId":"","ProductConfigurationId":"","ProductSizeId":"","ProductStyleId":""}</t>
  </si>
  <si>
    <t>{"ItemNumber":"162848","ProductName":"52549 KE Etiket Wit Portr.90x65 BIO rucola 5*75g","InventoryWarehouseId":"EP","OnHandQuantity":6688,"TotalAvailableQuantity":6688,"AvailableOnHandQuantity":6688,"InventorySiteId":"VEN","dataAreaId":"hgv","ProductColorId":"","ProductConfigurationId":"","ProductSizeId":"","ProductStyleId":""}</t>
  </si>
  <si>
    <t>{"ItemNumber":"162850","ProductName":"52549 KE Etiket Wit Portr.90x65 Bio Veldsla 5*75g","InventoryWarehouseId":"EP","OnHandQuantity":2190,"TotalAvailableQuantity":2190,"AvailableOnHandQuantity":2190,"InventorySiteId":"VEN","dataAreaId":"hgv","ProductColorId":"","ProductConfigurationId":"","ProductSizeId":"","ProductStyleId":""}</t>
  </si>
  <si>
    <t>{"ItemNumber":"162854","ProductName":"52549 KE Etiket Wit Portr.90x65 Pumpkin 4*200g","InventoryWarehouseId":"EP","OnHandQuantity":6068,"TotalAvailableQuantity":6068,"AvailableOnHandQuantity":6068,"InventorySiteId":"VEN","dataAreaId":"hgv","ProductColorId":"","ProductConfigurationId":"","ProductSizeId":"","ProductStyleId":""}</t>
  </si>
  <si>
    <t>{"ItemNumber":"162856","ProductName":"52549 KE Etiket Wit Portr.90x65 Wok mix Japanese 4*200g","InventoryWarehouseId":"EP","OnHandQuantity":2154,"TotalAvailableQuantity":2154,"AvailableOnHandQuantity":2154,"InventorySiteId":"VEN","dataAreaId":"hgv","ProductColorId":"","ProductConfigurationId":"","ProductSizeId":"","ProductStyleId":""}</t>
  </si>
  <si>
    <t>{"ItemNumber":"162857","ProductName":"52549 KE Etiket Wit Portr.90x65 Wok mix Chinees 4*200g","InventoryWarehouseId":"EP","OnHandQuantity":2356,"TotalAvailableQuantity":2356,"AvailableOnHandQuantity":2356,"InventorySiteId":"VEN","dataAreaId":"hgv","ProductColorId":"","ProductConfigurationId":"","ProductSizeId":"","ProductStyleId":""}</t>
  </si>
  <si>
    <t>{"ItemNumber":"162858","ProductName":"52549 KE Etiket Wit Portr.90x65 Mexicaanse roerbakmix 4*250g","InventoryWarehouseId":"EP","OnHandQuantity":3573,"TotalAvailableQuantity":3573,"AvailableOnHandQuantity":3573,"InventorySiteId":"VEN","dataAreaId":"hgv","ProductColorId":"","ProductConfigurationId":"","ProductSizeId":"","ProductStyleId":""}</t>
  </si>
  <si>
    <t>{"ItemNumber":"162872","ProductName":"52549 KE Etiket Wit Portr.90x65 Organic white cabb. 4*300g","InventoryWarehouseId":"EP","OnHandQuantity":3076,"TotalAvailableQuantity":3076,"AvailableOnHandQuantity":3076,"InventorySiteId":"VEN","dataAreaId":"hgv","ProductColorId":"","ProductConfigurationId":"","ProductSizeId":"","ProductStyleId":""}</t>
  </si>
  <si>
    <t>{"ItemNumber":"162873","ProductName":"52549 KE Etiket Wit Portr.90x65 Bio rode kool 4*300g","InventoryWarehouseId":"EP","OnHandQuantity":3315,"TotalAvailableQuantity":3315,"AvailableOnHandQuantity":3315,"InventorySiteId":"VEN","dataAreaId":"hgv","ProductColorId":"","ProductConfigurationId":"","ProductSizeId":"","ProductStyleId":""}</t>
  </si>
  <si>
    <t>{"ItemNumber":"162874","ProductName":"52549 KE Etiket Wit Portr.90x65 Cabbage with carrot 4*350g","InventoryWarehouseId":"EP","OnHandQuantity":2160,"TotalAvailableQuantity":2160,"AvailableOnHandQuantity":2160,"InventorySiteId":"VEN","dataAreaId":"hgv","ProductColorId":"","ProductConfigurationId":"","ProductSizeId":"","ProductStyleId":""}</t>
  </si>
  <si>
    <t>{"ItemNumber":"162876","ProductName":"52549 KE Etiket Wit Portr.90x65 Bloemkoolrijst 4*300g","InventoryWarehouseId":"EP","OnHandQuantity":1051,"TotalAvailableQuantity":1051,"AvailableOnHandQuantity":1051,"InventorySiteId":"VEN","dataAreaId":"hgv","ProductColorId":"","ProductConfigurationId":"","ProductSizeId":"","ProductStyleId":""}</t>
  </si>
  <si>
    <t>{"ItemNumber":"162877","ProductName":"52549 KE Etiket Wit Portr.90x65 Beetroot julienne 4*200g","InventoryWarehouseId":"EP","OnHandQuantity":3482,"TotalAvailableQuantity":3482,"AvailableOnHandQuantity":3482,"InventorySiteId":"VEN","dataAreaId":"hgv","ProductColorId":"","ProductConfigurationId":"","ProductSizeId":"","ProductStyleId":""}</t>
  </si>
  <si>
    <t>{"ItemNumber":"162878","ProductName":"52549 KE Etiket Wit Portr.90x65 Prei grof 4*200g","InventoryWarehouseId":"EP","OnHandQuantity":1142,"TotalAvailableQuantity":1142,"AvailableOnHandQuantity":1142,"InventorySiteId":"VEN","dataAreaId":"hgv","ProductColorId":"","ProductConfigurationId":"","ProductSizeId":"","ProductStyleId":""}</t>
  </si>
  <si>
    <t>{"ItemNumber":"162880","ProductName":"52549 KE Etiket Wit Portr.90x65 SB Pasta 2*250g","InventoryWarehouseId":"EP","OnHandQuantity":5618,"TotalAvailableQuantity":5618,"AvailableOnHandQuantity":5618,"InventorySiteId":"VEN","dataAreaId":"hgv","ProductColorId":"","ProductConfigurationId":"","ProductSizeId":"","ProductStyleId":""}</t>
  </si>
  <si>
    <t>{"ItemNumber":"162881","ProductName":"52549 KE Etiket Wit Portr.90x65 SB Almonds and apples 2*240g","InventoryWarehouseId":"EP","OnHandQuantity":886,"TotalAvailableQuantity":886,"AvailableOnHandQuantity":886,"InventorySiteId":"VEN","dataAreaId":"hgv","ProductColorId":"","ProductConfigurationId":"","ProductSizeId":"","ProductStyleId":""}</t>
  </si>
  <si>
    <t>{"ItemNumber":"162882","ProductName":"52549 KE Etiket Wit Portr.90x65 SB Protein 2*250g","InventoryWarehouseId":"EP","OnHandQuantity":5175,"TotalAvailableQuantity":5175,"AvailableOnHandQuantity":5175,"InventorySiteId":"VEN","dataAreaId":"hgv","ProductColorId":"","ProductConfigurationId":"","ProductSizeId":"","ProductStyleId":""}</t>
  </si>
  <si>
    <t>{"ItemNumber":"162883","ProductName":"52549 KE Etiket Wit Portr.90x65 SB Classic 2*250g","InventoryWarehouseId":"EP","OnHandQuantity":1900,"TotalAvailableQuantity":1900,"AvailableOnHandQuantity":1900,"InventorySiteId":"VEN","dataAreaId":"hgv","ProductColorId":"","ProductConfigurationId":"","ProductSizeId":"","ProductStyleId":""}</t>
  </si>
  <si>
    <t>{"ItemNumber":"162884","ProductName":"52549 KE Etiket Wit Portr.90x65 MB Apples &amp; Almonds 4*400g","InventoryWarehouseId":"EP","OnHandQuantity":2039,"TotalAvailableQuantity":2039,"AvailableOnHandQuantity":2039,"InventorySiteId":"VEN","dataAreaId":"hgv","ProductColorId":"","ProductConfigurationId":"","ProductSizeId":"","ProductStyleId":""}</t>
  </si>
  <si>
    <t>{"ItemNumber":"162888","ProductName":"52549 KE Etiket Wit Portr.90x65 MB Cabbage &amp; Edamame 4*400g","InventoryWarehouseId":"EP","OnHandQuantity":3419,"TotalAvailableQuantity":3419,"AvailableOnHandQuantity":3419,"InventorySiteId":"VEN","dataAreaId":"hgv","ProductColorId":"","ProductConfigurationId":"","ProductSizeId":"","ProductStyleId":""}</t>
  </si>
  <si>
    <t>{"ItemNumber":"162889","ProductName":"52549 KE Etiket Wit Portr.90x65 MB Corn &amp; Nuts 4*400g","InventoryWarehouseId":"EP","OnHandQuantity":4565,"TotalAvailableQuantity":4565,"AvailableOnHandQuantity":4565,"InventorySiteId":"VEN","dataAreaId":"hgv","ProductColorId":"","ProductConfigurationId":"","ProductSizeId":"","ProductStyleId":""}</t>
  </si>
  <si>
    <t>{"ItemNumber":"162890","ProductName":"52549 KE Etiket Wit Portr.90x65 MB Avocado &amp; Tortilla 4*400g","InventoryWarehouseId":"EP","OnHandQuantity":1770,"TotalAvailableQuantity":1770,"AvailableOnHandQuantity":1770,"InventorySiteId":"VEN","dataAreaId":"hgv","ProductColorId":"","ProductConfigurationId":"","ProductSizeId":"","ProductStyleId":""}</t>
  </si>
  <si>
    <t>{"ItemNumber":"162895","ProductName":"52549 KE Etiket Wit Portr.90x65 MB Tomato &amp;Mozzarella 4*400g","InventoryWarehouseId":"EP","OnHandQuantity":2467,"TotalAvailableQuantity":2467,"AvailableOnHandQuantity":2467,"InventorySiteId":"VEN","dataAreaId":"hgv","ProductColorId":"","ProductConfigurationId":"","ProductSizeId":"","ProductStyleId":""}</t>
  </si>
  <si>
    <t>{"ItemNumber":"162896","ProductName":"52549 KE Etiket Wit Portr.90x65 MB Tomato &amp; Pasta 4*400g","InventoryWarehouseId":"EP","OnHandQuantity":5680,"TotalAvailableQuantity":5680,"AvailableOnHandQuantity":5680,"InventorySiteId":"VEN","dataAreaId":"hgv","ProductColorId":"","ProductConfigurationId":"","ProductSizeId":"","ProductStyleId":""}</t>
  </si>
  <si>
    <t>{"ItemNumber":"162897","ProductName":"52549 KE Etiket Wit Portr.90x65 Bio Coleslaw 4*350g","InventoryWarehouseId":"EP","OnHandQuantity":5880,"TotalAvailableQuantity":5880,"AvailableOnHandQuantity":5880,"InventorySiteId":"VEN","dataAreaId":"hgv","ProductColorId":"","ProductConfigurationId":"","ProductSizeId":"","ProductStyleId":""}</t>
  </si>
  <si>
    <t>{"ItemNumber":"162898","ProductName":"53289 BE Plus Noodet Transp 80x60 Witte champignons 250g","InventoryWarehouseId":"EP","OnHandQuantity":2064,"TotalAvailableQuantity":2064,"AvailableOnHandQuantity":2064,"InventorySiteId":"VEN","dataAreaId":"hgv","ProductColorId":"","ProductConfigurationId":"","ProductSizeId":"","ProductStyleId":""}</t>
  </si>
  <si>
    <t>{"ItemNumber":"162901","ProductName":"52549 KE Etiket Wit Portr.90x65 SS Salatblanding 4*300g","InventoryWarehouseId":"EP","OnHandQuantity":3204,"TotalAvailableQuantity":3204,"AvailableOnHandQuantity":3204,"InventorySiteId":"VEN","dataAreaId":"hgv","ProductColorId":"","ProductConfigurationId":"","ProductSizeId":"","ProductStyleId":""}</t>
  </si>
  <si>
    <t>{"ItemNumber":"162905","ProductName":"52549 KE Etiket Wit Portr.90x65 SD Point.Cab.w/cr.dres4*320g","InventoryWarehouseId":"EP","OnHandQuantity":4232,"TotalAvailableQuantity":3891,"AvailableOnHandQuantity":3891,"InventorySiteId":"VEN","dataAreaId":"hgv","ProductColorId":"","ProductConfigurationId":"","ProductSizeId":"","ProductStyleId":""}</t>
  </si>
  <si>
    <t>{"ItemNumber":"162907","ProductName":"52549 KE Etiket Wit Portr.90x65 Coleslaw 4*400g","InventoryWarehouseId":"EP","OnHandQuantity":4997,"TotalAvailableQuantity":4997,"AvailableOnHandQuantity":4997,"InventorySiteId":"VEN","dataAreaId":"hgv","ProductColorId":"","ProductConfigurationId":"","ProductSizeId":"","ProductStyleId":""}</t>
  </si>
  <si>
    <t>{"ItemNumber":"162909","ProductName":"52549 KE Etiket Wit Portr.90x65 Nordic coleslaw 4*350g","InventoryWarehouseId":"EP","OnHandQuantity":3024,"TotalAvailableQuantity":3024,"AvailableOnHandQuantity":3024,"InventorySiteId":"VEN","dataAreaId":"hgv","ProductColorId":"","ProductConfigurationId":"","ProductSizeId":"","ProductStyleId":""}</t>
  </si>
  <si>
    <t>{"ItemNumber":"162910","ProductName":"52549 KE Etiket Wit Portr.90x65 SD WhiteCheese&amp;apple 4*300g","InventoryWarehouseId":"EP","OnHandQuantity":2263,"TotalAvailableQuantity":2263,"AvailableOnHandQuantity":2263,"InventorySiteId":"VEN","dataAreaId":"hgv","ProductColorId":"","ProductConfigurationId":"","ProductSizeId":"","ProductStyleId":""}</t>
  </si>
  <si>
    <t>{"ItemNumber":"162912","ProductName":"52549 KE Etiket Wit Portr.90x65 SS Caesar salat 4*285g","InventoryWarehouseId":"EP","OnHandQuantity":1349,"TotalAvailableQuantity":1349,"AvailableOnHandQuantity":1349,"InventorySiteId":"VEN","dataAreaId":"hgv","ProductColorId":"","ProductConfigurationId":"","ProductSizeId":"","ProductStyleId":""}</t>
  </si>
  <si>
    <t>{"ItemNumber":"162913","ProductName":"52549 KE Etiket Wit Portr.90x65 SD Caulif.Orient.dres.4*300g","InventoryWarehouseId":"EP","OnHandQuantity":1250,"TotalAvailableQuantity":1250,"AvailableOnHandQuantity":1250,"InventorySiteId":"VEN","dataAreaId":"hgv","ProductColorId":"","ProductConfigurationId":"","ProductSizeId":"","ProductStyleId":""}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</si>
  <si>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{"ItemNumber":"162914","ProductName":"52549 KE Etiket Wit Portr.90x65 SD Quinoa And nuts 4*300g","InventoryWarehouseId":"EP","OnHandQuantity":5310,"TotalAvailableQuantity":5310,"AvailableOnHandQuantity":5310,"InventorySiteId":"VEN","dataAreaId":"hgv","ProductColorId":"","ProductConfigurationId":"","ProductSizeId":"","ProductStyleId":""}</t>
  </si>
  <si>
    <t>{"ItemNumber":"162918","ProductName":"52549 KE Etiket Wit Portr.90x65 SD Beet &amp; peas 4*250g","InventoryWarehouseId":"EP","OnHandQuantity":1112,"TotalAvailableQuantity":1112,"AvailableOnHandQuantity":1112,"InventorySiteId":"VEN","dataAreaId":"hgv","ProductColorId":"","ProductConfigurationId":"","ProductSizeId":"","ProductStyleId":""}</t>
  </si>
  <si>
    <t>{"ItemNumber":"162920","ProductName":"52549 KE Etiket Wit Portr.90x65 SD Couscous 4*250g","InventoryWarehouseId":"EP","OnHandQuantity":1018,"TotalAvailableQuantity":1018,"AvailableOnHandQuantity":1018,"InventorySiteId":"VEN","dataAreaId":"hgv","ProductColorId":"","ProductConfigurationId":"","ProductSizeId":"","ProductStyleId":""}</t>
  </si>
  <si>
    <t>{"ItemNumber":"162924","ProductName":"52549 KE Etiket Wit Portr.90x65 SD R.Point.Cab+RaspbDr.4*300","InventoryWarehouseId":"EP","OnHandQuantity":3724,"TotalAvailableQuantity":3724,"AvailableOnHandQuantity":3724,"InventorySiteId":"VEN","dataAreaId":"hgv","ProductColorId":"","ProductConfigurationId":"","ProductSizeId":"","ProductStyleId":""}</t>
  </si>
  <si>
    <t>{"ItemNumber":"162926","ProductName":"52549 KE Etiket Wit Portr.90x65 SD Beet white cheese 4*200G","InventoryWarehouseId":"EP","OnHandQuantity":5623,"TotalAvailableQuantity":5623,"AvailableOnHandQuantity":5623,"InventorySiteId":"VEN","dataAreaId":"hgv","ProductColorId":"","ProductConfigurationId":"","ProductSizeId":"","ProductStyleId":""}</t>
  </si>
  <si>
    <t>{"ItemNumber":"162928","ProductName":"52549 KE Etiket Wit Portr.90x65 SS Shrimp &amp; Egg 4*300g","InventoryWarehouseId":"EP","OnHandQuantity":4825,"TotalAvailableQuantity":4825,"AvailableOnHandQuantity":4825,"InventorySiteId":"VEN","dataAreaId":"hgv","ProductColorId":"","ProductConfigurationId":"","ProductSizeId":"","ProductStyleId":""}</t>
  </si>
  <si>
    <t>{"ItemNumber":"163031","ProductName":"54622 BE SU Noodetiket Trans 75x90 IJsbergsla fijn 200g","InventoryWarehouseId":"EP","OnHandQuantity":6792,"TotalAvailableQuantity":6792,"AvailableOnHandQuantity":6792,"InventorySiteId":"VEN","dataAreaId":"hgv","ProductColorId":"","ProductConfigurationId":"","ProductSizeId":"","ProductStyleId":""}</t>
  </si>
  <si>
    <t>{"ItemNumber":"163087","ProductName":"52549 KE Etiket Wit Portr.90x65 SS Santa Fe Caesar 4*300g","InventoryWarehouseId":"EP","OnHandQuantity":1601,"TotalAvailableQuantity":1601,"AvailableOnHandQuantity":1601,"InventorySiteId":"VEN","dataAreaId":"hgv","ProductColorId":"","ProductConfigurationId":"","ProductSizeId":"","ProductStyleId":""}</t>
  </si>
  <si>
    <t>{"ItemNumber":"163088","ProductName":"52549 KE Etiket Wit Portr.90x65 MTS Spicy Chícken 4*400g","InventoryWarehouseId":"EP","OnHandQuantity":6975,"TotalAvailableQuantity":6975,"AvailableOnHandQuantity":6975,"InventorySiteId":"VEN","dataAreaId":"hgv","ProductColorId":"","ProductConfigurationId":"","ProductSizeId":"","ProductStyleId":""}</t>
  </si>
  <si>
    <t>{"ItemNumber":"163089","ProductName":"52549 KE Etiket Wit Portr.90x65 MTS Oosterse Garnaal 4*400g","InventoryWarehouseId":"EP","OnHandQuantity":1206,"TotalAvailableQuantity":1206,"AvailableOnHandQuantity":1206,"InventorySiteId":"VEN","dataAreaId":"hgv","ProductColorId":"","ProductConfigurationId":"","ProductSizeId":"","ProductStyleId":""}</t>
  </si>
  <si>
    <t>{"ItemNumber":"163090","ProductName":"52549 KE Etiket Wit Portr.90x65 MTS Kip CL 4*450g","InventoryWarehouseId":"EP","OnHandQuantity":2130,"TotalAvailableQuantity":2130,"AvailableOnHandQuantity":2130,"InventorySiteId":"VEN","dataAreaId":"hgv","ProductColorId":"","ProductConfigurationId":"","ProductSizeId":"","ProductStyleId":""}</t>
  </si>
  <si>
    <t>{"ItemNumber":"163091","ProductName":"52549 KE Etiket Wit Portr.90x65 MTS Caesar Volkoren 4*450g","InventoryWarehouseId":"EP","OnHandQuantity":6250,"TotalAvailableQuantity":6250,"AvailableOnHandQuantity":6250,"InventorySiteId":"VEN","dataAreaId":"hgv","ProductColorId":"","ProductConfigurationId":"","ProductSizeId":"","ProductStyleId":""}</t>
  </si>
  <si>
    <t>{"ItemNumber":"163092","ProductName":"52549 KE Etiket Wit Portr.90x65 MTS Kip Volkoren CL 4*400g","InventoryWarehouseId":"EP","OnHandQuantity":3395,"TotalAvailableQuantity":3395,"AvailableOnHandQuantity":3395,"InventorySiteId":"VEN","dataAreaId":"hgv","ProductColorId":"","ProductConfigurationId":"","ProductSizeId":"","ProductStyleId":""}</t>
  </si>
  <si>
    <t>{"ItemNumber":"163093","ProductName":"52549 KE Etiket Wit Portr.90x65 MTS Couscous CL 4*400g","InventoryWarehouseId":"EP","OnHandQuantity":1250,"TotalAvailableQuantity":1250,"AvailableOnHandQuantity":1250,"InventorySiteId":"VEN","dataAreaId":"hgv","ProductColorId":"","ProductConfigurationId":"","ProductSizeId":"","ProductStyleId":""}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</si>
  <si>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{"ItemNumber":"163094","ProductName":"52549 KE Etiket Wit Portr.90x65 MTS Red Beet Salmon 4*400g","InventoryWarehouseId":"EP","OnHandQuantity":700,"TotalAvailableQuantity":700,"AvailableOnHandQuantity":700,"InventorySiteId":"VEN","dataAreaId":"hgv","ProductColorId":"","ProductConfigurationId":"","ProductSizeId":"","ProductStyleId":""}</t>
  </si>
  <si>
    <t>{"ItemNumber":"163095","ProductName":"52549 KE Etiket Wit Portr.90x65 MTS Indiase kip 4*400g","InventoryWarehouseId":"EP","OnHandQuantity":2447,"TotalAvailableQuantity":2447,"AvailableOnHandQuantity":2447,"InventorySiteId":"VEN","dataAreaId":"hgv","ProductColorId":"","ProductConfigurationId":"","ProductSizeId":"","ProductStyleId":""}</t>
  </si>
  <si>
    <t>{"ItemNumber":"163097","ProductName":"52549 KE Etiket Wit Portr.90x65 MTS Salmon ASC 4*450g","InventoryWarehouseId":"EP","OnHandQuantity":5085,"TotalAvailableQuantity":5085,"AvailableOnHandQuantity":5085,"InventorySiteId":"VEN","dataAreaId":"hgv","ProductColorId":"","ProductConfigurationId":"","ProductSizeId":"","ProductStyleId":""}</t>
  </si>
  <si>
    <t>{"ItemNumber":"163100","ProductName":"52549 KE Etiket Wit Portr.90x65 Bami Nasi Zak 4*250g","InventoryWarehouseId":"EP","OnHandQuantity":1930,"TotalAvailableQuantity":1930,"AvailableOnHandQuantity":1930,"InventorySiteId":"VEN","dataAreaId":"hgv","ProductColorId":"","ProductConfigurationId":"","ProductSizeId":"","ProductStyleId":""}</t>
  </si>
  <si>
    <t>{"ItemNumber":"163101","ProductName":"52549 KE Etiket Wit Portr.90x65 Rbg Italiaans 4*400g VF","InventoryWarehouseId":"EP","OnHandQuantity":1430,"TotalAvailableQuantity":1430,"AvailableOnHandQuantity":1430,"InventorySiteId":"VEN","dataAreaId":"hgv","ProductColorId":"","ProductConfigurationId":"","ProductSizeId":"","ProductStyleId":""}</t>
  </si>
  <si>
    <t>{"ItemNumber":"163102","ProductName":"52549 KE Etiket Wit Portr.90x65 Everyday salad 6*125g VF","InventoryWarehouseId":"EP","OnHandQuantity":9445,"TotalAvailableQuantity":8195,"AvailableOnHandQuantity":8195,"InventorySiteId":"VEN","dataAreaId":"hgv","ProductColorId":"","ProductConfigurationId":"","ProductSizeId":"","ProductStyleId":""}</t>
  </si>
  <si>
    <t>{"ItemNumber":"163103","ProductName":"52549 KE Etiket Wit Portr.90x65 Basis Sla 8*200g VF","InventoryWarehouseId":"EP","OnHandQuantity":3695,"TotalAvailableQuantity":3695,"AvailableOnHandQuantity":3695,"InventorySiteId":"VEN","dataAreaId":"hgv","ProductColorId":"","ProductConfigurationId":"","ProductSizeId":"","ProductStyleId":""}</t>
  </si>
  <si>
    <t>{"ItemNumber":"163104","ProductName":"52549 KE Etiket Wit Portr.90x65 Frisee Radicchio mix 8*125g","InventoryWarehouseId":"EP","OnHandQuantity":2530,"TotalAvailableQuantity":2530,"AvailableOnHandQuantity":2530,"InventorySiteId":"VEN","dataAreaId":"hgv","ProductColorId":"","ProductConfigurationId":"","ProductSizeId":"","ProductStyleId":""}</t>
  </si>
  <si>
    <t>{"ItemNumber":"163105","ProductName":"52549 KE Etiket Wit Portr.90x65 Bloemkoolrijst 4*300g","InventoryWarehouseId":"EP","OnHandQuantity":967,"TotalAvailableQuantity":967,"AvailableOnHandQuantity":967,"InventorySiteId":"VEN","dataAreaId":"hgv","ProductColorId":"","ProductConfigurationId":"","ProductSizeId":"","ProductStyleId":""}</t>
  </si>
  <si>
    <t>{"ItemNumber":"163107","ProductName":"52549 KE Etiket Wit Portr.90x65 SB Classic 2*250g","InventoryWarehouseId":"EP","OnHandQuantity":4843,"TotalAvailableQuantity":4843,"AvailableOnHandQuantity":4843,"InventorySiteId":"VEN","dataAreaId":"hgv","ProductColorId":"","ProductConfigurationId":"","ProductSizeId":"","ProductStyleId":""}</t>
  </si>
  <si>
    <t>{"ItemNumber":"163108","ProductName":"52549 KE Etiket Wit Portr.90x65 SB Protein 2*250g","InventoryWarehouseId":"EP","OnHandQuantity":3750,"TotalAvailableQuantity":3750,"AvailableOnHandQuantity":3750,"InventorySiteId":"VEN","dataAreaId":"hgv","ProductColorId":"","ProductConfigurationId":"","ProductSizeId":"","ProductStyleId":""}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</si>
  <si>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{"ItemNumber":"163109","ProductName":"52549 KE Etiket Wit Portr.90x65 SB Almonds and apples 2*240g","InventoryWarehouseId":"EP","OnHandQuantity":1250,"TotalAvailableQuantity":1250,"AvailableOnHandQuantity":1250,"InventorySiteId":"VEN","dataAreaId":"hgv","ProductColorId":"","ProductConfigurationId":"","ProductSizeId":"","ProductStyleId":""}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</si>
  <si>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{"ItemNumber":"163110","ProductName":"52549 KE Etiket Wit Portr.90x65 Organic Coleslaw 4*350g","InventoryWarehouseId":"EP","OnHandQuantity":2253,"TotalAvailableQuantity":2253,"AvailableOnHandQuantity":2253,"InventorySiteId":"VEN","dataAreaId":"hgv","ProductColorId":"","ProductConfigurationId":"","ProductSizeId":"","ProductStyleId":""}</t>
  </si>
  <si>
    <t>{"ItemNumber":"163111","ProductName":"52549 KE Etiket Wit Portr.90x65 SD Caesar salad 4*285g","InventoryWarehouseId":"EP","OnHandQuantity":5361,"TotalAvailableQuantity":5361,"AvailableOnHandQuantity":5361,"InventorySiteId":"VEN","dataAreaId":"hgv","ProductColorId":"","ProductConfigurationId":"","ProductSizeId":"","ProductStyleId":""}</t>
  </si>
  <si>
    <t>{"ItemNumber":"163112","ProductName":"52549 KE Etiket Wit Portr.90x65 SD R point.cabb raspb 4*300g","InventoryWarehouseId":"EP","OnHandQuantity":2321,"TotalAvailableQuantity":2321,"AvailableOnHandQuantity":2321,"InventorySiteId":"VEN","dataAreaId":"hgv","ProductColorId":"","ProductConfigurationId":"","ProductSizeId":"","ProductStyleId":""}</t>
  </si>
  <si>
    <t>{"ItemNumber":"163113","ProductName":"52549 KE Etiket Wit Portr.90x65 SD PointCab.w/cr.dres.4*320g","InventoryWarehouseId":"EP","OnHandQuantity":3108,"TotalAvailableQuantity":3108,"AvailableOnHandQuantity":3108,"InventorySiteId":"VEN","dataAreaId":"hgv","ProductColorId":"","ProductConfigurationId":"","ProductSizeId":"","ProductStyleId":""}</t>
  </si>
  <si>
    <t>{"ItemNumber":"163114","ProductName":"52549 KE Etiket Wit Portr.90x65 SD Coleslaw 4*400g","InventoryWarehouseId":"EP","OnHandQuantity":6296,"TotalAvailableQuantity":6296,"AvailableOnHandQuantity":6296,"InventorySiteId":"VEN","dataAreaId":"hgv","ProductColorId":"","ProductConfigurationId":"","ProductSizeId":"","ProductStyleId":""}</t>
  </si>
  <si>
    <t>{"ItemNumber":"163115","ProductName":"52549 KE Etiket Wit Portr.90x65 SD Nordic coleslaw 4*350g","InventoryWarehouseId":"EP","OnHandQuantity":5410,"TotalAvailableQuantity":5410,"AvailableOnHandQuantity":5410,"InventorySiteId":"VEN","dataAreaId":"hgv","ProductColorId":"","ProductConfigurationId":"","ProductSizeId":"","ProductStyleId":""}</t>
  </si>
  <si>
    <t>{"ItemNumber":"163116","ProductName":"52549 KE Etiket Wit Portr.90x65 SS Salat mix 4*300g","InventoryWarehouseId":"EP","OnHandQuantity":2772,"TotalAvailableQuantity":2772,"AvailableOnHandQuantity":2772,"InventorySiteId":"VEN","dataAreaId":"hgv","ProductColorId":"","ProductConfigurationId":"","ProductSizeId":"","ProductStyleId":""}</t>
  </si>
  <si>
    <t>{"ItemNumber":"163117","ProductName":"52549 KE Etiket Wit Portr.90x65 SD PointCab,Chees,Apple4*300","InventoryWarehouseId":"EP","OnHandQuantity":1817,"TotalAvailableQuantity":1817,"AvailableOnHandQuantity":1817,"InventorySiteId":"VEN","dataAreaId":"hgv","ProductColorId":"","ProductConfigurationId":"","ProductSizeId":"","ProductStyleId":""}</t>
  </si>
  <si>
    <t>{"ItemNumber":"163118","ProductName":"52549 KE Etiket Wit Portr.90x65 SD Quinoa And Nuts 4*300g","InventoryWarehouseId":"EP","OnHandQuantity":8311,"TotalAvailableQuantity":8311,"AvailableOnHandQuantity":8311,"InventorySiteId":"VEN","dataAreaId":"hgv","ProductColorId":"","ProductConfigurationId":"","ProductSizeId":"","ProductStyleId":""}</t>
  </si>
  <si>
    <t>{"ItemNumber":"163119","ProductName":"52549 KE Etiket Wit Portr.90x65 SD Caulifl.Orient.dres.4*300","InventoryWarehouseId":"EP","OnHandQuantity":1596,"TotalAvailableQuantity":1596,"AvailableOnHandQuantity":1596,"InventorySiteId":"VEN","dataAreaId":"hgv","ProductColorId":"","ProductConfigurationId":"","ProductSizeId":"","ProductStyleId":""}</t>
  </si>
  <si>
    <t>{"ItemNumber":"163121","ProductName":"52549 KE Etiket Wit Portr.90x65 SD Couscous 4*250g","InventoryWarehouseId":"EP","OnHandQuantity":1918,"TotalAvailableQuantity":1918,"AvailableOnHandQuantity":1918,"InventorySiteId":"VEN","dataAreaId":"hgv","ProductColorId":"","ProductConfigurationId":"","ProductSizeId":"","ProductStyleId":""}</t>
  </si>
  <si>
    <t>{"ItemNumber":"163123","ProductName":"52549 KE Etiket Wit Portr.90x65 SS Santa Fe Caesar 4*300g","InventoryWarehouseId":"EP","OnHandQuantity":5016,"TotalAvailableQuantity":5016,"AvailableOnHandQuantity":5016,"InventorySiteId":"VEN","dataAreaId":"hgv","ProductColorId":"","ProductConfigurationId":"","ProductSizeId":"","ProductStyleId":""}</t>
  </si>
  <si>
    <t>{"ItemNumber":"163124","ProductName":"52549 KE Etiket Wit Portr.90x65 SS Shrimp &amp; Egg 4*300g","InventoryWarehouseId":"EP","OnHandQuantity":700,"TotalAvailableQuantity":700,"AvailableOnHandQuantity":700,"InventorySiteId":"VEN","dataAreaId":"hgv","ProductColorId":"","ProductConfigurationId":"","ProductSizeId":"","ProductStyleId":""}</t>
  </si>
  <si>
    <t>{"ItemNumber":"163125","ProductName":"52549 KE Etiket Wit Portr.90x65 MTS Spicy chicken 4*400g","InventoryWarehouseId":"EP","OnHandQuantity":3094,"TotalAvailableQuantity":3094,"AvailableOnHandQuantity":3094,"InventorySiteId":"VEN","dataAreaId":"hgv","ProductColorId":"","ProductConfigurationId":"","ProductSizeId":"","ProductStyleId":""}</t>
  </si>
  <si>
    <t>{"ItemNumber":"163126","ProductName":"52549 KE Etiket Wit Portr.90x65 MTS Kip CL 4*450g","InventoryWarehouseId":"EP","OnHandQuantity":2180,"TotalAvailableQuantity":2180,"AvailableOnHandQuantity":2180,"InventorySiteId":"VEN","dataAreaId":"hgv","ProductColorId":"","ProductConfigurationId":"","ProductSizeId":"","ProductStyleId":""}</t>
  </si>
  <si>
    <t>{"ItemNumber":"163127","ProductName":"52549 KE Etiket Wit Portr.90x65 MTS Caesar Volkoren 4*450g","InventoryWarehouseId":"EP","OnHandQuantity":773,"TotalAvailableQuantity":773,"AvailableOnHandQuantity":773,"InventorySiteId":"VEN","dataAreaId":"hgv","ProductColorId":"","ProductConfigurationId":"","ProductSizeId":"","ProductStyleId":""}</t>
  </si>
  <si>
    <t>{"ItemNumber":"163128","ProductName":"52549 KE Etiket Wit Portr.90x65 MTS Couscous CL 4*400g","InventoryWarehouseId":"EP","OnHandQuantity":2102,"TotalAvailableQuantity":2102,"AvailableOnHandQuantity":2102,"InventorySiteId":"VEN","dataAreaId":"hgv","ProductColorId":"","ProductConfigurationId":"","ProductSizeId":"","ProductStyleId":""}</t>
  </si>
  <si>
    <t>{"ItemNumber":"163129","ProductName":"52549 KE Etiket Wit Portr.90x65 MTS Oosterse Garnaal 4*400g","InventoryWarehouseId":"EP","OnHandQuantity":3193,"TotalAvailableQuantity":3193,"AvailableOnHandQuantity":3193,"InventorySiteId":"VEN","dataAreaId":"hgv","ProductColorId":"","ProductConfigurationId":"","ProductSizeId":"","ProductStyleId":""}</t>
  </si>
  <si>
    <t>{"ItemNumber":"163130","ProductName":"52549 KE Etiket Wit Portr.90x65 MTS Kip Volkoren CL 4*400g","InventoryWarehouseId":"EP","OnHandQuantity":3433,"TotalAvailableQuantity":3433,"AvailableOnHandQuantity":3433,"InventorySiteId":"VEN","dataAreaId":"hgv","ProductColorId":"","ProductConfigurationId":"","ProductSizeId":"","ProductStyleId":""}</t>
  </si>
  <si>
    <t>{"ItemNumber":"163131","ProductName":"50243 KE Blc.Diepvr.RP48 60x120 Rucola Naturel 8*100g","InventoryWarehouseId":"EP","OnHandQuantity":210,"TotalAvailableQuantity":210,"AvailableOnHandQuantity":210,"InventorySiteId":"VEN","dataAreaId":"hgv","ProductColorId":"","ProductConfigurationId":"","ProductSizeId":"","ProductStyleId":""}</t>
  </si>
  <si>
    <t>{"ItemNumber":"163133","ProductName":"50244 KE Geel Diepvries RP48 60x120mm McD Slamix 8*100g","InventoryWarehouseId":"EP","OnHandQuantity":420,"TotalAvailableQuantity":420,"AvailableOnHandQuantity":420,"InventorySiteId":"VEN","dataAreaId":"hgv","ProductColorId":"","ProductConfigurationId":"","ProductSizeId":"","ProductStyleId":""}</t>
  </si>
  <si>
    <t>{"ItemNumber":"163134","ProductName":"50678 BE Etiket blanco 55x76 wik2 Rucola naturel 100g","InventoryWarehouseId":"EP","OnHandQuantity":38407,"TotalAvailableQuantity":38407,"AvailableOnHandQuantity":38407,"InventorySiteId":"VEN","dataAreaId":"hgv","ProductColorId":"","ProductConfigurationId":"","ProductSizeId":"","ProductStyleId":""}</t>
  </si>
  <si>
    <t>{"ItemNumber":"163154","ProductName":"57757 BE HF/GC Neutraal etiket 90x75 Snackwortel 400g","InventoryWarehouseId":"EP","OnHandQuantity":5942,"TotalAvailableQuantity":5942,"AvailableOnHandQuantity":5942,"InventorySiteId":"VEN","dataAreaId":"hgv","ProductColorId":"","ProductConfigurationId":"","ProductSizeId":"","ProductStyleId":""}</t>
  </si>
  <si>
    <t>{"ItemNumber":"163157","ProductName":"57757 BE HF/GC Neutraal etiket 90x75 Oosterse Grntemix 300g","InventoryWarehouseId":"EP","OnHandQuantity":3750,"TotalAvailableQuantity":3750,"AvailableOnHandQuantity":3750,"InventorySiteId":"VEN","dataAreaId":"hgv","ProductColorId":"","ProductConfigurationId":"","ProductSizeId":"","ProductStyleId":""}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</si>
  <si>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{"ItemNumber":"163185","ProductName":"50274 KE Paars Diepvr.60x120mm Red Cabb.Mix Mstrd McD 200g","InventoryWarehouseId":"EP","OnHandQuantity":720,"TotalAvailableQuantity":720,"AvailableOnHandQuantity":720,"InventorySiteId":"VEN","dataAreaId":"hgv","ProductColorId":"","ProductConfigurationId":"","ProductSizeId":"","ProductStyleId":""}</t>
  </si>
  <si>
    <t>{"ItemNumber":"163197","ProductName":"57757 BE HF/GC Neutraal etiket 90x75 Boerenkool 150g","InventoryWarehouseId":"EP","OnHandQuantity":2,"TotalAvailableQuantity":2,"AvailableOnHandQuantity":2,"InventorySiteId":"VEN","dataAreaId":"hgv","ProductColorId":"","ProductConfigurationId":"","ProductSizeId":"","ProductStyleId":""}</t>
  </si>
  <si>
    <t>{"ItemNumber":"163204","ProductName":"50243 KE  Blanco DiepvriesRP48 60x120m W.Kool Mstrd 4*200g","InventoryWarehouseId":"EP","OnHandQuantity":572,"TotalAvailableQuantity":572,"AvailableOnHandQuantity":572,"InventorySiteId":"VEN","dataAreaId":"hgv","ProductColorId":"","ProductConfigurationId":"","ProductSizeId":"","ProductStyleId":""}</t>
  </si>
  <si>
    <t>{"ItemNumber":"163207","ProductName":"50678 BE Etiket blanco 55x76 wik2 Kool Mstrd 200g","InventoryWarehouseId":"EP","OnHandQuantity":7919,"TotalAvailableQuantity":7919,"AvailableOnHandQuantity":7919,"InventorySiteId":"VEN","dataAreaId":"hgv","ProductColorId":"","ProductConfigurationId":"","ProductSizeId":"","ProductStyleId":""}</t>
  </si>
  <si>
    <t>{"ItemNumber":"163210","ProductName":"52549 KE Etiket Wit Portr.90x65 Red P.Cab. Frisee 6*500g","InventoryWarehouseId":"EP","OnHandQuantity":5000,"TotalAvailableQuantity":5000,"AvailableOnHandQuantity":5000,"InventorySiteId":"VEN","dataAreaId":"hgv","ProductColorId":"","ProductConfigurationId":"","ProductSizeId":"","ProductStyleId":""}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</si>
  <si>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{"ItemNumber":"163248","ProductName":"50276 KE Rood Diepvries RP48 60x120mm McD Slamix 8*60g","InventoryWarehouseId":"EP","OnHandQuantity":390,"TotalAvailableQuantity":390,"AvailableOnHandQuantity":390,"InventorySiteId":"VEN","dataAreaId":"hgv","ProductColorId":"","ProductConfigurationId":"","ProductSizeId":"","ProductStyleId":""}</t>
  </si>
  <si>
    <t>{"ItemNumber":"163251","ProductName":"50643 BE FQ BLANCO 75x90mm Broccoli 350g","InventoryWarehouseId":"EP","OnHandQuantity":5000,"TotalAvailableQuantity":5000,"AvailableOnHandQuantity":5000,"InventorySiteId":"VEN","dataAreaId":"hgv","ProductColorId":"","ProductConfigurationId":"","ProductSizeId":"","ProductStyleId":""}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</si>
  <si>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{"ItemNumber":"163297","ProductName":"52549 KE Etiket Wit Portr.90x65 MTS Kip 4*400g","InventoryWarehouseId":"EP","OnHandQuantity":1250,"TotalAvailableQuantity":1250,"AvailableOnHandQuantity":1250,"InventorySiteId":"VEN","dataAreaId":"hgv","ProductColorId":"","ProductConfigurationId":"","ProductSizeId":"","ProductStyleId":""}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</si>
  <si>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{"ItemNumber":"163298","ProductName":"52549 KE Etiket Wit Portr.90x65 MTS Caesar 4*400g","InventoryWarehouseId":"EP","OnHandQuantity":3750,"TotalAvailableQuantity":3750,"AvailableOnHandQuantity":3750,"InventorySiteId":"VEN","dataAreaId":"hgv","ProductColorId":"","ProductConfigurationId":"","ProductSizeId":"","ProductStyleId":""}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</si>
  <si>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{"ItemNumber":"163299","ProductName":"52549 KE Etiket Wit Portr.90x65 MTS Oost. Garnaal 4*400g","InventoryWarehouseId":"EP","OnHandQuantity":5000,"TotalAvailableQuantity":5000,"AvailableOnHandQuantity":5000,"InventorySiteId":"VEN","dataAreaId":"hgv","ProductColorId":"","ProductConfigurationId":"","ProductSizeId":"","ProductStyleId":""}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</si>
  <si>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{"ItemNumber":"163300","ProductName":"52549 KE Etiket Wit Portr.90x65 MTS Kip 4*400g","InventoryWarehouseId":"EP","OnHandQuantity":2500,"TotalAvailableQuantity":2500,"AvailableOnHandQuantity":2500,"InventorySiteId":"VEN","dataAreaId":"hgv","ProductColorId":"","ProductConfigurationId":"","ProductSizeId":"","ProductStyleId":""}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</si>
  <si>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{"ItemNumber":"163301","ProductName":"52549 KE Etiket Wit Portr.90x65 MTS Caesar 4*400g","InventoryWarehouseId":"EP","OnHandQuantity":1250,"TotalAvailableQuantity":1250,"AvailableOnHandQuantity":1250,"InventorySiteId":"VEN","dataAreaId":"hgv","ProductColorId":"","ProductConfigurationId":"","ProductSizeId":"","ProductStyleId":""}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</si>
  <si>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{"ItemNumber":"163302","ProductName":"52549 KE Etiket Wit Portr.90x65 MTS Oost. Garnaal 4*400g","InventoryWarehouseId":"EP","OnHandQuantity":2500,"TotalAvailableQuantity":2500,"AvailableOnHandQuantity":2500,"InventorySiteId":"VEN","dataAreaId":"hgv","ProductColorId":"","ProductConfigurationId":"","ProductSizeId":"","ProductStyleId":""}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</si>
  <si>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{"ItemNumber":"164","ProductName":"KF Eurocrate 220 Groen","InventoryWarehouseId":"GR","OnHandQuantity":2704,"TotalAvailableQuantity":2704,"AvailableOnHandQuantity":2704,"InventorySiteId":"VEN","dataAreaId":"hgv","ProductColorId":"","ProductConfigurationId":"","ProductSizeId":"","ProductStyleId":""}</t>
  </si>
  <si>
    <t>{"ItemNumber":"164500","ProductName":"52535 BE Smeding Blanco Etkt 72x79mm Ijsbgsla 5mm 500g","InventoryWarehouseId":"EP","OnHandQuantity":6691,"TotalAvailableQuantity":6691,"AvailableOnHandQuantity":6691,"InventorySiteId":"VEN","dataAreaId":"hgv","ProductColorId":"","ProductConfigurationId":"","ProductSizeId":"","ProductStyleId":""}</t>
  </si>
  <si>
    <t>{"ItemNumber":"164502","ProductName":"52535 BE Smeding Blanco Etkt 72x79mm Slamel Frisee 500g","InventoryWarehouseId":"EP","OnHandQuantity":13340,"TotalAvailableQuantity":13340,"AvailableOnHandQuantity":13340,"InventorySiteId":"VEN","dataAreaId":"hgv","ProductColorId":"","ProductConfigurationId":"","ProductSizeId":"","ProductStyleId":""}</t>
  </si>
  <si>
    <t>{"ItemNumber":"164504","ProductName":"52535 BE Smeding Blanco Etkt 72x79mm Rucolamelange 500g","InventoryWarehouseId":"EP","OnHandQuantity":25538,"TotalAvailableQuantity":25538,"AvailableOnHandQuantity":25538,"InventorySiteId":"VEN","dataAreaId":"hgv","ProductColorId":"","ProductConfigurationId":"","ProductSizeId":"","ProductStyleId":""}</t>
  </si>
  <si>
    <t>{"ItemNumber":"164505","ProductName":"52535 BE Smeding Blanco Etkt 72x79mm Slamix Spec 500g","InventoryWarehouseId":"EP","OnHandQuantity":17483,"TotalAvailableQuantity":17483,"AvailableOnHandQuantity":17483,"InventorySiteId":"VEN","dataAreaId":"hgv","ProductColorId":"","ProductConfigurationId":"","ProductSizeId":"","ProductStyleId":""}</t>
  </si>
  <si>
    <t>{"ItemNumber":"164511","ProductName":"50678 BE Etiket blanco 55x76 wik2 DELI Champ wit 250g","InventoryWarehouseId":"EP","OnHandQuantity":28351,"TotalAvailableQuantity":28351,"AvailableOnHandQuantity":28351,"InventorySiteId":"VEN","dataAreaId":"hgv","ProductColorId":"","ProductConfigurationId":"","ProductSizeId":"","ProductStyleId":""}</t>
  </si>
  <si>
    <t>{"ItemNumber":"164512","ProductName":"50678 BE Etiket blanco 55x76 wik2 DELI LolloBionda blad 450g","InventoryWarehouseId":"EP","OnHandQuantity":9272,"TotalAvailableQuantity":9272,"AvailableOnHandQuantity":9272,"InventorySiteId":"VEN","dataAreaId":"hgv","ProductColorId":"","ProductConfigurationId":"","ProductSizeId":"","ProductStyleId":""}</t>
  </si>
  <si>
    <t>{"ItemNumber":"164513","ProductName":"50678 BE Etiket blanco 55x76 wik2 DELI Veldsla/IJsb.mix 200g","InventoryWarehouseId":"EP","OnHandQuantity":17568,"TotalAvailableQuantity":17568,"AvailableOnHandQuantity":17568,"InventorySiteId":"VEN","dataAreaId":"hgv","ProductColorId":"","ProductConfigurationId":"","ProductSizeId":"","ProductStyleId":""}</t>
  </si>
  <si>
    <t>{"ItemNumber":"164514","ProductName":"50678 BE Etiket blanco 55x76 wik2 DELI Pointed Cabbage 200g","InventoryWarehouseId":"EP","OnHandQuantity":8967,"TotalAvailableQuantity":8967,"AvailableOnHandQuantity":8967,"InventorySiteId":"VEN","dataAreaId":"hgv","ProductColorId":"","ProductConfigurationId":"","ProductSizeId":"","ProductStyleId":""}</t>
  </si>
  <si>
    <t>{"ItemNumber":"164515","ProductName":"50678 BE Etiket blanco 55x76 wik2 DELI Boerenkool 250g","InventoryWarehouseId":"EP","OnHandQuantity":6000,"TotalAvailableQuantity":6000,"AvailableOnHandQuantity":6000,"InventorySiteId":"VEN","dataAreaId":"hgv","ProductColorId":"","ProductConfigurationId":"","ProductSizeId":"","ProductStyleId":""}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</si>
  <si>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{"ItemNumber":"164516","ProductName":"50678 BE Etiket blanco 55x76 wik2 DELI Leek rings 250g","InventoryWarehouseId":"EP","OnHandQuantity":6062,"TotalAvailableQuantity":6062,"AvailableOnHandQuantity":6062,"InventorySiteId":"VEN","dataAreaId":"hgv","ProductColorId":"","ProductConfigurationId":"","ProductSizeId":"","ProductStyleId":""}</t>
  </si>
  <si>
    <t>{"ItemNumber":"164517","ProductName":"50678 BE Etiket blanco 55x76 wik2 DELI Carrots julienne 250g","InventoryWarehouseId":"EP","OnHandQuantity":6436,"TotalAvailableQuantity":6436,"AvailableOnHandQuantity":6436,"InventorySiteId":"VEN","dataAreaId":"hgv","ProductColorId":"","ProductConfigurationId":"","ProductSizeId":"","ProductStyleId":""}</t>
  </si>
  <si>
    <t>{"ItemNumber":"164518","ProductName":"50678 BE Etiket blanco 55x76 wik2 DELI Onion cubes 250g","InventoryWarehouseId":"EP","OnHandQuantity":11466,"TotalAvailableQuantity":11466,"AvailableOnHandQuantity":11466,"InventorySiteId":"VEN","dataAreaId":"hgv","ProductColorId":"","ProductConfigurationId":"","ProductSizeId":"","ProductStyleId":""}</t>
  </si>
  <si>
    <t>{"ItemNumber":"164519","ProductName":"50678 BE Etiket blanco 55x76 wik2 DELI Red onion cubes 250g","InventoryWarehouseId":"EP","OnHandQuantity":10151,"TotalAvailableQuantity":10151,"AvailableOnHandQuantity":10151,"InventorySiteId":"VEN","dataAreaId":"hgv","ProductColorId":"","ProductConfigurationId":"","ProductSizeId":"","ProductStyleId":""}</t>
  </si>
  <si>
    <t>{"ItemNumber":"164520","ProductName":"50678 BE Etiket blanco 55x76 wik2 DELI broccoli 500g","InventoryWarehouseId":"EP","OnHandQuantity":6227,"TotalAvailableQuantity":6227,"AvailableOnHandQuantity":6227,"InventorySiteId":"VEN","dataAreaId":"hgv","ProductColorId":"","ProductConfigurationId":"","ProductSizeId":"","ProductStyleId":""}</t>
  </si>
  <si>
    <t>{"ItemNumber":"164534","ProductName":"50678 BE Etiket blanco 55x76 wik2 DELI Red cabbage 250g","InventoryWarehouseId":"EP","OnHandQuantity":8721,"TotalAvailableQuantity":8721,"AvailableOnHandQuantity":8721,"InventorySiteId":"VEN","dataAreaId":"hgv","ProductColorId":"","ProductConfigurationId":"","ProductSizeId":"","ProductStyleId":""}</t>
  </si>
  <si>
    <t>{"ItemNumber":"164535","ProductName":"50678 BE Etiket blanco 55x76 wik2 DELI Red onion rings 250g","InventoryWarehouseId":"EP","OnHandQuantity":17059,"TotalAvailableQuantity":17059,"AvailableOnHandQuantity":17059,"InventorySiteId":"VEN","dataAreaId":"hgv","ProductColorId":"","ProductConfigurationId":"","ProductSizeId":"","ProductStyleId":""}</t>
  </si>
  <si>
    <t>{"ItemNumber":"164536","ProductName":"BE 50678  Etiket blanco 55x76 wik2 Romaine sla 400g 310135","InventoryWarehouseId":"EP","OnHandQuantity":12067,"TotalAvailableQuantity":12067,"AvailableOnHandQuantity":12067,"InventorySiteId":"VEN","dataAreaId":"hgv","ProductColorId":"","ProductConfigurationId":"","ProductSizeId":"","ProductStyleId":""}</t>
  </si>
  <si>
    <t>{"ItemNumber":"164557","ProductName":"52549 KE Etiket Wit Portr.90x65 DELI Champ wit 4*250g","InventoryWarehouseId":"EP","OnHandQuantity":12025,"TotalAvailableQuantity":12025,"AvailableOnHandQuantity":12025,"InventorySiteId":"VEN","dataAreaId":"hgv","ProductColorId":"","ProductConfigurationId":"","ProductSizeId":"","ProductStyleId":""}</t>
  </si>
  <si>
    <t>{"ItemNumber":"164558","ProductName":"52549 KE Etiket Wit Portr.90x65 DELI LolloBionda blad 2*450g","InventoryWarehouseId":"EP","OnHandQuantity":14175,"TotalAvailableQuantity":14175,"AvailableOnHandQuantity":14175,"InventorySiteId":"VEN","dataAreaId":"hgv","ProductColorId":"","ProductConfigurationId":"","ProductSizeId":"","ProductStyleId":""}</t>
  </si>
  <si>
    <t>{"ItemNumber":"164559","ProductName":"52549 KE Etiket Wit Portr.90x65 DELI Veldsla/IJsb.mix 6*200g","InventoryWarehouseId":"EP","OnHandQuantity":15536,"TotalAvailableQuantity":15536,"AvailableOnHandQuantity":15536,"InventorySiteId":"VEN","dataAreaId":"hgv","ProductColorId":"","ProductConfigurationId":"","ProductSizeId":"","ProductStyleId":""}</t>
  </si>
  <si>
    <t>{"ItemNumber":"164560","ProductName":"52549 KE Etiket Wit Portr.90x65 DELI Pointed Cabbage 6*200g","InventoryWarehouseId":"EP","OnHandQuantity":14041,"TotalAvailableQuantity":14041,"AvailableOnHandQuantity":14041,"InventorySiteId":"VEN","dataAreaId":"hgv","ProductColorId":"","ProductConfigurationId":"","ProductSizeId":"","ProductStyleId":""}</t>
  </si>
  <si>
    <t>{"ItemNumber":"164561","ProductName":"52549 KE Etiket Wit Portr.90x65 DELI Boerenkool 4*250g","InventoryWarehouseId":"EP","OnHandQuantity":2500,"TotalAvailableQuantity":2500,"AvailableOnHandQuantity":2500,"InventorySiteId":"VEN","dataAreaId":"hgv","ProductColorId":"","ProductConfigurationId":"","ProductSizeId":"","ProductStyleId":""}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</si>
  <si>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{"ItemNumber":"164562","ProductName":"52549 KE Etiket Wit Portr.90x65 DELI Leek rings 6*250g","InventoryWarehouseId":"EP","OnHandQuantity":1010,"TotalAvailableQuantity":1010,"AvailableOnHandQuantity":1010,"InventorySiteId":"VEN","dataAreaId":"hgv","ProductColorId":"","ProductConfigurationId":"","ProductSizeId":"","ProductStyleId":""}</t>
  </si>
  <si>
    <t>{"ItemNumber":"164563","ProductName":"52549 KE Etiket Wit Portr.90x65 DELI Carrots julienne 6*250g","InventoryWarehouseId":"EP","OnHandQuantity":2157,"TotalAvailableQuantity":2157,"AvailableOnHandQuantity":2157,"InventorySiteId":"VEN","dataAreaId":"hgv","ProductColorId":"","ProductConfigurationId":"","ProductSizeId":"","ProductStyleId":""}</t>
  </si>
  <si>
    <t>{"ItemNumber":"164564","ProductName":"52549 KE Etiket Wit Portr.90x65 DELI Onion cubes 6*250g","InventoryWarehouseId":"EP","OnHandQuantity":3432,"TotalAvailableQuantity":3432,"AvailableOnHandQuantity":3432,"InventorySiteId":"VEN","dataAreaId":"hgv","ProductColorId":"","ProductConfigurationId":"","ProductSizeId":"","ProductStyleId":""}</t>
  </si>
  <si>
    <t>{"ItemNumber":"164565","ProductName":"52549 KE Etiket Wit Portr.90x65 DELI Red onion cubes 6*250g","InventoryWarehouseId":"EP","OnHandQuantity":1717,"TotalAvailableQuantity":1717,"AvailableOnHandQuantity":1717,"InventorySiteId":"VEN","dataAreaId":"hgv","ProductColorId":"","ProductConfigurationId":"","ProductSizeId":"","ProductStyleId":""}</t>
  </si>
  <si>
    <t>{"ItemNumber":"164566","ProductName":"52549 KE Etiket Wit Portr.90x65 DELI broccoli 4*500g","InventoryWarehouseId":"EP","OnHandQuantity":1109,"TotalAvailableQuantity":1109,"AvailableOnHandQuantity":1109,"InventorySiteId":"VEN","dataAreaId":"hgv","ProductColorId":"","ProductConfigurationId":"","ProductSizeId":"","ProductStyleId":""}</t>
  </si>
  <si>
    <t>{"ItemNumber":"164570","ProductName":"52549 KE Etiket Wit Portr.90x65 DELI Red cabbage 6*250g","InventoryWarehouseId":"EP","OnHandQuantity":5298,"TotalAvailableQuantity":5298,"AvailableOnHandQuantity":5298,"InventorySiteId":"VEN","dataAreaId":"hgv","ProductColorId":"","ProductConfigurationId":"","ProductSizeId":"","ProductStyleId":""}</t>
  </si>
  <si>
    <t>{"ItemNumber":"164571","ProductName":"52549 KE Etiket Wit Portr.90x65 DELI Red onion rings 6*250g","InventoryWarehouseId":"EP","OnHandQuantity":8517,"TotalAvailableQuantity":8517,"AvailableOnHandQuantity":8517,"InventorySiteId":"VEN","dataAreaId":"hgv","ProductColorId":"","ProductConfigurationId":"","ProductSizeId":"","ProductStyleId":""}</t>
  </si>
  <si>
    <t>{"ItemNumber":"170","ProductName":"Hessing Intern Blauw","InventoryWarehouseId":"GR","OnHandQuantity":-1793,"TotalAvailableQuantity":-1793,"AvailableOnHandQuantity":-1793,"InventorySiteId":"VEN","dataAreaId":"hgv","ProductColorId":"","ProductConfigurationId":"","ProductSizeId":"","ProductStyleId":""}</t>
  </si>
  <si>
    <t>{"ItemNumber":"171","ProductName":"Hessing Krat Dual Color","InventoryWarehouseId":"GR","OnHandQuantity":17,"TotalAvailableQuantity":17,"AvailableOnHandQuantity":17,"InventorySiteId":"VEN","dataAreaId":"hgv","ProductColorId":"","ProductConfigurationId":"","ProductSizeId":"","ProductStyleId":""}</t>
  </si>
  <si>
    <t>{"ItemNumber":"178","ProductName":"Interne Krat HH Wit","InventoryWarehouseId":"GR","OnHandQuantity":3270,"TotalAvailableQuantity":3270,"AvailableOnHandQuantity":3270,"InventorySiteId":"VEN","dataAreaId":"hgv","ProductColorId":"","ProductConfigurationId":"","ProductSizeId":"","ProductStyleId":""}</t>
  </si>
  <si>
    <t>{"ItemNumber":"180","ProductName":"Interne Krat Roze","InventoryWarehouseId":"GR","OnHandQuantity":2400,"TotalAvailableQuantity":2400,"AvailableOnHandQuantity":2400,"InventorySiteId":"VEN","dataAreaId":"hgv","ProductColorId":"","ProductConfigurationId":"","ProductSizeId":"","ProductStyleId":""}</t>
  </si>
  <si>
    <t>{"ItemNumber":"181","ProductName":"Hessing Hoog Blauw","InventoryWarehouseId":"GR","OnHandQuantity":2289,"TotalAvailableQuantity":2289,"AvailableOnHandQuantity":2289,"InventorySiteId":"VEN","dataAreaId":"hgv","ProductColorId":"","ProductConfigurationId":"","ProductSizeId":"","ProductStyleId":""}</t>
  </si>
  <si>
    <t>{"ItemNumber":"182","ProductName":"HGV Intern Blauw","InventoryWarehouseId":"GR","OnHandQuantity":0,"TotalAvailableQuantity":0,"AvailableOnHandQuantity":0,"InventorySiteId":"VEN","dataAreaId":"hgv","ProductColorId":"","ProductConfigurationId":"","ProductSizeId":"","ProductStyleId":""}</t>
  </si>
  <si>
    <t>{"ItemNumber":"201","ProductName":"Champignon Krat","InventoryWarehouseId":"GR","OnHandQuantity":8027,"TotalAvailableQuantity":4907,"AvailableOnHandQuantity":8027,"InventorySiteId":"VEN","dataAreaId":"hgv","ProductColorId":"","ProductConfigurationId":"","ProductSizeId":"","ProductStyleId":""}</t>
  </si>
  <si>
    <t>{"ItemNumber":"201501","ProductName":"Stoofperen emmertje 1*400g (4)","InventoryWarehouseId":"EP","OnHandQuantity":60,"TotalAvailableQuantity":38,"AvailableOnHandQuantity":60,"InventorySiteId":"VEN","dataAreaId":"hgv","ProductColorId":"","ProductConfigurationId":"","ProductSizeId":"","ProductStyleId":""}</t>
  </si>
  <si>
    <t>{"ItemNumber":"201502","ProductName":"Stoofpeer emmertje 4*400g","InventoryWarehouseId":"EP","OnHandQuantity":308,"TotalAvailableQuantity":800,"AvailableOnHandQuantity":308,"InventorySiteId":"VEN","dataAreaId":"hgv","ProductColorId":"","ProductConfigurationId":"","ProductSizeId":"","ProductStyleId":""}</t>
  </si>
  <si>
    <t>{"ItemNumber":"201503","ProductName":"Stoofperen 4*400g","InventoryWarehouseId":"EP","OnHandQuantity":372,"TotalAvailableQuantity":1372,"AvailableOnHandQuantity":372,"InventorySiteId":"VEN","dataAreaId":"hgv","ProductColorId":"","ProductConfigurationId":"","ProductSizeId":"","ProductStyleId":""}</t>
  </si>
  <si>
    <t>{"ItemNumber":"202","ProductName":"Hessing Krat Groen","InventoryWarehouseId":"GR","OnHandQuantity":11210,"TotalAvailableQuantity":11210,"AvailableOnHandQuantity":11210,"InventorySiteId":"VEN","dataAreaId":"hgv","ProductColorId":"","ProductConfigurationId":"","ProductSizeId":"","ProductStyleId":""}</t>
  </si>
  <si>
    <t>{"ItemNumber":"203","ProductName":"KF Supervers Groen","InventoryWarehouseId":"GR","OnHandQuantity":8855,"TotalAvailableQuantity":-2495,"AvailableOnHandQuantity":8855,"InventorySiteId":"VEN","dataAreaId":"hgv","ProductColorId":"","ProductConfigurationId":"","ProductSizeId":"","ProductStyleId":""}</t>
  </si>
  <si>
    <t>{"ItemNumber":"204","ProductName":"E2 Krat Rood","InventoryWarehouseId":"GR","OnHandQuantity":107,"TotalAvailableQuantity":107,"AvailableOnHandQuantity":107,"InventorySiteId":"VEN","dataAreaId":"hgv","ProductColorId":"","ProductConfigurationId":"","ProductSizeId":"","ProductStyleId":""}</t>
  </si>
  <si>
    <t>{"ItemNumber":"205","ProductName":"Primaflor Krat Grijs","InventoryWarehouseId":"GR","OnHandQuantity":0,"TotalAvailableQuantity":0,"AvailableOnHandQuantity":0,"InventorySiteId":"VEN","dataAreaId":"hgv","ProductColorId":"","ProductConfigurationId":"","ProductSizeId":"","ProductStyleId":""}</t>
  </si>
  <si>
    <t>{"ItemNumber":"205026","ProductName":"MTS Tonijn MSC 4*400g VF","InventoryWarehouseId":"RL","OnHandQuantity":5,"TotalAvailableQuantity":5,"AvailableOnHandQuantity":5,"InventorySiteId":"VEN","dataAreaId":"hgv","ProductColorId":"","ProductConfigurationId":"","ProductSizeId":"","ProductStyleId":""}</t>
  </si>
  <si>
    <t>{"ItemNumber":"205031","ProductName":"MTS Kip CL 4*400g VF","InventoryWarehouseId":"RL","OnHandQuantity":528,"TotalAvailableQuantity":528,"AvailableOnHandQuantity":528,"InventorySiteId":"VEN","dataAreaId":"hgv","ProductColorId":"","ProductConfigurationId":"","ProductSizeId":"","ProductStyleId":""}</t>
  </si>
  <si>
    <t>{"ItemNumber":"205034","ProductName":"MTS Tonijn MSC 4*400g VF","InventoryWarehouseId":"RL","OnHandQuantity":216,"TotalAvailableQuantity":216,"AvailableOnHandQuantity":216,"InventorySiteId":"VEN","dataAreaId":"hgv","ProductColorId":"","ProductConfigurationId":"","ProductSizeId":"","ProductStyleId":""}</t>
  </si>
  <si>
    <t>{"ItemNumber":"205036","ProductName":"MTS Indiase kip 4*400g VF","InventoryWarehouseId":"EP","OnHandQuantity":0,"TotalAvailableQuantity":-296,"AvailableOnHandQuantity":0,"InventorySiteId":"VEN","dataAreaId":"hgv","ProductColorId":"","ProductConfigurationId":"","ProductSizeId":"","ProductStyleId":""}</t>
  </si>
  <si>
    <t>{"ItemNumber":"205037","ProductName":"MTS Zalm 4*400g VF","InventoryWarehouseId":"RL","OnHandQuantity":352,"TotalAvailableQuantity":352,"AvailableOnHandQuantity":352,"InventorySiteId":"VEN","dataAreaId":"hgv","ProductColorId":"","ProductConfigurationId":"","ProductSizeId":"","ProductStyleId":""}</t>
  </si>
  <si>
    <t>{"ItemNumber":"205038","ProductName":"MTS Geitenkaas 4*400g VF","InventoryWarehouseId":"RL","OnHandQuantity":312,"TotalAvailableQuantity":312,"AvailableOnHandQuantity":312,"InventorySiteId":"VEN","dataAreaId":"hgv","ProductColorId":"","ProductConfigurationId":"","ProductSizeId":"","ProductStyleId":""}</t>
  </si>
  <si>
    <t>{"ItemNumber":"205039","ProductName":"MTS Caesar 4*400g VF","InventoryWarehouseId":"EP","OnHandQuantity":0,"TotalAvailableQuantity":-1488,"AvailableOnHandQuantity":0,"InventorySiteId":"VEN","dataAreaId":"hgv","ProductColorId":"","ProductConfigurationId":"","ProductSizeId":"","ProductStyleId":""}</t>
  </si>
  <si>
    <t>{"ItemNumber":"205039","ProductName":"MTS Caesar 4*400g VF","InventoryWarehouseId":"RL","OnHandQuantity":1400,"TotalAvailableQuantity":1400,"AvailableOnHandQuantity":1400,"InventorySiteId":"VEN","dataAreaId":"hgv","ProductColorId":"","ProductConfigurationId":"","ProductSizeId":"","ProductStyleId":""}</t>
  </si>
  <si>
    <t>{"ItemNumber":"205040","ProductName":"MTS Kip CL 4*400g VF","InventoryWarehouseId":"EP","OnHandQuantity":0,"TotalAvailableQuantity":-760,"AvailableOnHandQuantity":0,"InventorySiteId":"VEN","dataAreaId":"hgv","ProductColorId":"","ProductConfigurationId":"","ProductSizeId":"","ProductStyleId":""}</t>
  </si>
  <si>
    <t>{"ItemNumber":"205040","ProductName":"MTS Kip CL 4*400g VF","InventoryWarehouseId":"RL","OnHandQuantity":1200,"TotalAvailableQuantity":1200,"AvailableOnHandQuantity":1200,"InventorySiteId":"VEN","dataAreaId":"hgv","ProductColorId":"","ProductConfigurationId":"","ProductSizeId":"","ProductStyleId":""}</t>
  </si>
  <si>
    <t>{"ItemNumber":"205041","ProductName":"MTS Tonijn MSC 2*400g VF","InventoryWarehouseId":"EP","OnHandQuantity":0,"TotalAvailableQuantity":-140,"AvailableOnHandQuantity":0,"InventorySiteId":"VEN","dataAreaId":"hgv","ProductColorId":"","ProductConfigurationId":"","ProductSizeId":"","ProductStyleId":""}</t>
  </si>
  <si>
    <t>{"ItemNumber":"205042","ProductName":"MTS Geitenkaas 2*400g VF","InventoryWarehouseId":"EP","OnHandQuantity":0,"TotalAvailableQuantity":-24,"AvailableOnHandQuantity":0,"InventorySiteId":"VEN","dataAreaId":"hgv","ProductColorId":"","ProductConfigurationId":"","ProductSizeId":"","ProductStyleId":""}</t>
  </si>
  <si>
    <t>{"ItemNumber":"206","ProductName":"Lara Castaneda Krat","InventoryWarehouseId":"GR","OnHandQuantity":900,"TotalAvailableQuantity":900,"AvailableOnHandQuantity":900,"InventorySiteId":"VEN","dataAreaId":"hgv","ProductColorId":"","ProductConfigurationId":"","ProductSizeId":"","ProductStyleId":""}</t>
  </si>
  <si>
    <t>{"ItemNumber":"208","ProductName":"Fruveg Krat","InventoryWarehouseId":"GR","OnHandQuantity":4,"TotalAvailableQuantity":4,"AvailableOnHandQuantity":4,"InventorySiteId":"VEN","dataAreaId":"hgv","ProductColorId":"","ProductConfigurationId":"","ProductSizeId":"","ProductStyleId":""}</t>
  </si>
  <si>
    <t>{"ItemNumber":"208035","ProductName":"LS Noten met couscous 1*225g","InventoryWarehouseId":"EP","OnHandQuantity":49,"TotalAvailableQuantity":28,"AvailableOnHandQuantity":49,"InventorySiteId":"VEN","dataAreaId":"hgv","ProductColorId":"","ProductConfigurationId":"","ProductSizeId":"","ProductStyleId":""}</t>
  </si>
  <si>
    <t>{"ItemNumber":"208050","ProductName":"LS Oosterse poké kip BL1-K1 1*260g SP","InventoryWarehouseId":"EP","OnHandQuantity":77,"TotalAvailableQuantity":51,"AvailableOnHandQuantity":77,"InventorySiteId":"VEN","dataAreaId":"hgv","ProductColorId":"","ProductConfigurationId":"","ProductSizeId":"","ProductStyleId":""}</t>
  </si>
  <si>
    <t>{"ItemNumber":"208055","ProductName":"Pastasalade pesto 1*350g Veggie SP","InventoryWarehouseId":"EP","OnHandQuantity":114,"TotalAvailableQuantity":78,"AvailableOnHandQuantity":114,"InventorySiteId":"VEN","dataAreaId":"hgv","ProductColorId":"","ProductConfigurationId":"","ProductSizeId":"","ProductStyleId":""}</t>
  </si>
  <si>
    <t>{"ItemNumber":"208058","ProductName":"Pastasalade tonijn 1*350g MSC","InventoryWarehouseId":"EP","OnHandQuantity":78,"TotalAvailableQuantity":54,"AvailableOnHandQuantity":78,"InventorySiteId":"VEN","dataAreaId":"hgv","ProductColorId":"","ProductConfigurationId":"","ProductSizeId":"","ProductStyleId":""}</t>
  </si>
  <si>
    <t>{"ItemNumber":"208058","ProductName":"Pastasalade tonijn 1*350g MSC","InventoryWarehouseId":"RL","OnHandQuantity":0,"TotalAvailableQuantity":1,"AvailableOnHandQuantity":0,"InventorySiteId":"VEN","dataAreaId":"hgv","ProductColorId":"","ProductConfigurationId":"","ProductSizeId":"","ProductStyleId":""}</t>
  </si>
  <si>
    <t>{"ItemNumber":"208073","ProductName":"LS Caesar 1*250g","InventoryWarehouseId":"EP","OnHandQuantity":173,"TotalAvailableQuantity":83,"AvailableOnHandQuantity":173,"InventorySiteId":"VEN","dataAreaId":"hgv","ProductColorId":"","ProductConfigurationId":"","ProductSizeId":"","ProductStyleId":""}</t>
  </si>
  <si>
    <t>{"ItemNumber":"208074","ProductName":"SB Kip Pesto BL-K1 1*350g SP","InventoryWarehouseId":"EP","OnHandQuantity":19,"TotalAvailableQuantity":14,"AvailableOnHandQuantity":19,"InventorySiteId":"VEN","dataAreaId":"hgv","ProductColorId":"","ProductConfigurationId":"","ProductSizeId":"","ProductStyleId":""}</t>
  </si>
  <si>
    <t>{"ItemNumber":"208078","ProductName":"IJsbergsla fijn 1*200g VF","InventoryWarehouseId":"EP","OnHandQuantity":144,"TotalAvailableQuantity":36,"AvailableOnHandQuantity":144,"InventorySiteId":"VEN","dataAreaId":"hgv","ProductColorId":"","ProductConfigurationId":"","ProductSizeId":"","ProductStyleId":""}</t>
  </si>
  <si>
    <t>{"ItemNumber":"208079","ProductName":"Gemengde Sla 1*125g","InventoryWarehouseId":"EP","OnHandQuantity":148,"TotalAvailableQuantity":31,"AvailableOnHandQuantity":148,"InventorySiteId":"VEN","dataAreaId":"hgv","ProductColorId":"","ProductConfigurationId":"","ProductSizeId":"","ProductStyleId":""}</t>
  </si>
  <si>
    <t>{"ItemNumber":"208081","ProductName":"SB Buddha Falafel 1*335g  Vegan","InventoryWarehouseId":"EP","OnHandQuantity":14,"TotalAvailableQuantity":3,"AvailableOnHandQuantity":14,"InventorySiteId":"VEN","dataAreaId":"hgv","ProductColorId":"","ProductConfigurationId":"","ProductSizeId":"","ProductStyleId":""}</t>
  </si>
  <si>
    <t>{"ItemNumber":"208082","ProductName":"SB Pokebowl Zalm ASC 1*350g","InventoryWarehouseId":"EP","OnHandQuantity":20,"TotalAvailableQuantity":12,"AvailableOnHandQuantity":20,"InventorySiteId":"VEN","dataAreaId":"hgv","ProductColorId":"","ProductConfigurationId":"","ProductSizeId":"","ProductStyleId":""}</t>
  </si>
  <si>
    <t>{"ItemNumber":"208083","ProductName":"Spruiten 1*350g VF","InventoryWarehouseId":"EP","OnHandQuantity":144,"TotalAvailableQuantity":0,"AvailableOnHandQuantity":144,"InventorySiteId":"VEN","dataAreaId":"hgv","ProductColorId":"","ProductConfigurationId":"","ProductSizeId":"","ProductStyleId":""}</t>
  </si>
  <si>
    <t>{"ItemNumber":"209","ProductName":"vd Plas Krat","InventoryWarehouseId":"GR","OnHandQuantity":313,"TotalAvailableQuantity":313,"AvailableOnHandQuantity":313,"InventorySiteId":"VEN","dataAreaId":"hgv","ProductColorId":"","ProductConfigurationId":"","ProductSizeId":"","ProductStyleId":""}</t>
  </si>
  <si>
    <t>{"ItemNumber":"210","ProductName":"KF Cleverkrat","InventoryWarehouseId":"GR","OnHandQuantity":50,"TotalAvailableQuantity":50,"AvailableOnHandQuantity":50,"InventorySiteId":"VEN","dataAreaId":"hgv","ProductColorId":"","ProductConfigurationId":"","ProductSizeId":"","ProductStyleId":""}</t>
  </si>
  <si>
    <t>{"ItemNumber":"210035","ProductName":"IJsbergsla 5mm 5*500g","InventoryWarehouseId":"EP","OnHandQuantity":270,"TotalAvailableQuantity":20,"AvailableOnHandQuantity":20,"InventorySiteId":"VEN","dataAreaId":"hgv","ProductColorId":"","ProductConfigurationId":"","ProductSizeId":"","ProductStyleId":""}</t>
  </si>
  <si>
    <t>{"ItemNumber":"210039","ProductName":"Slamel. Frisee 3*500g","InventoryWarehouseId":"EP","OnHandQuantity":600,"TotalAvailableQuantity":-825,"AvailableOnHandQuantity":0,"InventorySiteId":"VEN","dataAreaId":"hgv","ProductColorId":"","ProductConfigurationId":"","ProductSizeId":"","ProductStyleId":""}</t>
  </si>
  <si>
    <t>{"ItemNumber":"210047","ProductName":"Rucolamelange 3*500g","InventoryWarehouseId":"EP","OnHandQuantity":249,"TotalAvailableQuantity":-306,"AvailableOnHandQuantity":0,"InventorySiteId":"VEN","dataAreaId":"hgv","ProductColorId":"","ProductConfigurationId":"","ProductSizeId":"","ProductStyleId":""}</t>
  </si>
  <si>
    <t>{"ItemNumber":"210048","ProductName":"Slamix Speciaal 3*500g","InventoryWarehouseId":"EP","OnHandQuantity":327,"TotalAvailableQuantity":-423,"AvailableOnHandQuantity":27,"InventorySiteId":"VEN","dataAreaId":"hgv","ProductColorId":"","ProductConfigurationId":"","ProductSizeId":"","ProductStyleId":""}</t>
  </si>
  <si>
    <t>{"ItemNumber":"211","ProductName":"Evers Krat","InventoryWarehouseId":"EP","OnHandQuantity":35,"TotalAvailableQuantity":35,"AvailableOnHandQuantity":35,"InventorySiteId":"VEN","dataAreaId":"hgv","ProductColorId":"","ProductConfigurationId":"","ProductSizeId":"","ProductStyleId":""}</t>
  </si>
  <si>
    <t>{"ItemNumber":"211","ProductName":"Evers Krat","InventoryWarehouseId":"GR","OnHandQuantity":150,"TotalAvailableQuantity":150,"AvailableOnHandQuantity":150,"InventorySiteId":"VEN","dataAreaId":"hgv","ProductColorId":"","ProductConfigurationId":"","ProductSizeId":"","ProductStyleId":""}</t>
  </si>
  <si>
    <t>{"ItemNumber":"211165","ProductName":"Mesclun melange 2*500g","InventoryWarehouseId":"EP","OnHandQuantity":100,"TotalAvailableQuantity":100,"AvailableOnHandQuantity":100,"InventorySiteId":"VEN","dataAreaId":"hgv","ProductColorId":"","ProductConfigurationId":"","ProductSizeId":"","ProductStyleId":""}</t>
  </si>
  <si>
    <t>{"ItemNumber":"211166","ProductName":"Mesclun melange 3*250g","InventoryWarehouseId":"EP","OnHandQuantity":102,"TotalAvailableQuantity":102,"AvailableOnHandQuantity":102,"InventorySiteId":"VEN","dataAreaId":"hgv","ProductColorId":"","ProductConfigurationId":"","ProductSizeId":"","ProductStyleId":""}</t>
  </si>
  <si>
    <t>{"ItemNumber":"211167","ProductName":"Rucola 2*500g","InventoryWarehouseId":"EP","OnHandQuantity":100,"TotalAvailableQuantity":100,"AvailableOnHandQuantity":100,"InventorySiteId":"VEN","dataAreaId":"hgv","ProductColorId":"","ProductConfigurationId":"","ProductSizeId":"","ProductStyleId":""}</t>
  </si>
  <si>
    <t>{"ItemNumber":"211168","ProductName":"Rucola 3*250g","InventoryWarehouseId":"EP","OnHandQuantity":810,"TotalAvailableQuantity":-765,"AvailableOnHandQuantity":60,"InventorySiteId":"VEN","dataAreaId":"hgv","ProductColorId":"","ProductConfigurationId":"","ProductSizeId":"","ProductStyleId":""}</t>
  </si>
  <si>
    <t>{"ItemNumber":"214","ProductName":"Eurocom Blauw","InventoryWarehouseId":"GR","OnHandQuantity":3913,"TotalAvailableQuantity":3913,"AvailableOnHandQuantity":3913,"InventorySiteId":"VEN","dataAreaId":"hgv","ProductColorId":"","ProductConfigurationId":"","ProductSizeId":"","ProductStyleId":""}</t>
  </si>
  <si>
    <t>{"ItemNumber":"214","ProductName":"Eurocom Blauw","InventoryWarehouseId":"RL","OnHandQuantity":59,"TotalAvailableQuantity":59,"AvailableOnHandQuantity":59,"InventorySiteId":"VEN","dataAreaId":"hgv","ProductColorId":"","ProductConfigurationId":"","ProductSizeId":"","ProductStyleId":""}</t>
  </si>
  <si>
    <t>{"ItemNumber":"219","ProductName":"van Oers 6423 Groen","InventoryWarehouseId":"GR","OnHandQuantity":0,"TotalAvailableQuantity":0,"AvailableOnHandQuantity":0,"InventorySiteId":"VEN","dataAreaId":"hgv","ProductColorId":"","ProductConfigurationId":"","ProductSizeId":"","ProductStyleId":""}</t>
  </si>
  <si>
    <t>{"ItemNumber":"220005","ProductName":"Kastanjechamp plak 4mm 500g FM","InventoryWarehouseId":"EP","OnHandQuantity":0,"TotalAvailableQuantity":0,"AvailableOnHandQuantity":0,"InventorySiteId":"VEN","dataAreaId":"hgv","ProductColorId":"","ProductConfigurationId":"","ProductSizeId":"","ProductStyleId":""}</t>
  </si>
  <si>
    <t>{"ItemNumber":"220006","ProductName":"Paprika Rood stift 5mm 1kg  FM","InventoryWarehouseId":"EP","OnHandQuantity":6,"TotalAvailableQuantity":0,"AvailableOnHandQuantity":6,"InventorySiteId":"VEN","dataAreaId":"hgv","ProductColorId":"","ProductConfigurationId":"","ProductSizeId":"","ProductStyleId":""}</t>
  </si>
  <si>
    <t>{"ItemNumber":"220007","ProductName":"Uien rood 1/2 ring 4mm 1kg  FM","InventoryWarehouseId":"EP","OnHandQuantity":6,"TotalAvailableQuantity":0,"AvailableOnHandQuantity":6,"InventorySiteId":"VEN","dataAreaId":"hgv","ProductColorId":"","ProductConfigurationId":"","ProductSizeId":"","ProductStyleId":""}</t>
  </si>
  <si>
    <t>{"ItemNumber":"220103","ProductName":"Pizza Topping Papr Rd 3*150gFM","InventoryWarehouseId":"EP","OnHandQuantity":6,"TotalAvailableQuantity":3,"AvailableOnHandQuantity":6,"InventorySiteId":"VEN","dataAreaId":"hgv","ProductColorId":"","ProductConfigurationId":"","ProductSizeId":"","ProductStyleId":""}</t>
  </si>
  <si>
    <t>{"ItemNumber":"220104","ProductName":"Pizza Topping Ui Rood 3*150gFM","InventoryWarehouseId":"EP","OnHandQuantity":18,"TotalAvailableQuantity":0,"AvailableOnHandQuantity":18,"InventorySiteId":"VEN","dataAreaId":"hgv","ProductColorId":"","ProductConfigurationId":"","ProductSizeId":"","ProductStyleId":""}</t>
  </si>
  <si>
    <t>{"ItemNumber":"220191","ProductName":"Uien Wit 1/2 ring 4mm 1*1kg FM","InventoryWarehouseId":"EP","OnHandQuantity":1,"TotalAvailableQuantity":0,"AvailableOnHandQuantity":1,"InventorySiteId":"VEN","dataAreaId":"hgv","ProductColorId":"","ProductConfigurationId":"","ProductSizeId":"","ProductStyleId":""}</t>
  </si>
  <si>
    <t>{"ItemNumber":"220260","ProductName":"Winterpeen 1/2 plak 3mm 1kg FM","InventoryWarehouseId":"EP","OnHandQuantity":0,"TotalAvailableQuantity":0,"AvailableOnHandQuantity":0,"InventorySiteId":"VEN","dataAreaId":"hgv","ProductColorId":"","ProductConfigurationId":"","ProductSizeId":"","ProductStyleId":""}</t>
  </si>
  <si>
    <t>{"ItemNumber":"220261","ProductName":"Bosuien 5mm 500g            FM","InventoryWarehouseId":"EP","OnHandQuantity":0,"TotalAvailableQuantity":0,"AvailableOnHandQuantity":0,"InventorySiteId":"VEN","dataAreaId":"hgv","ProductColorId":"","ProductConfigurationId":"","ProductSizeId":"","ProductStyleId":""}</t>
  </si>
  <si>
    <t>{"ItemNumber":"220264","ProductName":"Paprika Geel blok 25mm 1kg  FM","InventoryWarehouseId":"EP","OnHandQuantity":0,"TotalAvailableQuantity":0,"AvailableOnHandQuantity":0,"InventorySiteId":"VEN","dataAreaId":"hgv","ProductColorId":"","ProductConfigurationId":"","ProductSizeId":"","ProductStyleId":""}</t>
  </si>
  <si>
    <t>{"ItemNumber":"220435","ProductName":"Spinazie 5*400g VF","InventoryWarehouseId":"EP","OnHandQuantity":0,"TotalAvailableQuantity":3,"AvailableOnHandQuantity":0,"InventorySiteId":"VEN","dataAreaId":"hgv","ProductColorId":"","ProductConfigurationId":"","ProductSizeId":"","ProductStyleId":""}</t>
  </si>
  <si>
    <t>{"ItemNumber":"221418","ProductName":"VP Indiase Curry Madras 2*970g","InventoryWarehouseId":"EP","OnHandQuantity":374,"TotalAvailableQuantity":482,"AvailableOnHandQuantity":374,"InventorySiteId":"VEN","dataAreaId":"hgv","ProductColorId":"","ProductConfigurationId":"","ProductSizeId":"","ProductStyleId":""}</t>
  </si>
  <si>
    <t>{"ItemNumber":"221427","ProductName":"Ananas fijn 2*200g FM","InventoryWarehouseId":"EP","OnHandQuantity":10,"TotalAvailableQuantity":0,"AvailableOnHandQuantity":10,"InventorySiteId":"VEN","dataAreaId":"hgv","ProductColorId":"","ProductConfigurationId":"","ProductSizeId":"","ProductStyleId":""}</t>
  </si>
  <si>
    <t>{"ItemNumber":"221431","ProductName":"VP Chinese Sweet Chili 2*1170g","InventoryWarehouseId":"EP","OnHandQuantity":250,"TotalAvailableQuantity":332,"AvailableOnHandQuantity":250,"InventorySiteId":"VEN","dataAreaId":"hgv","ProductColorId":"","ProductConfigurationId":"","ProductSizeId":"","ProductStyleId":""}</t>
  </si>
  <si>
    <t>{"ItemNumber":"221434","ProductName":"VP Japanse Teriyaki 2*980g","InventoryWarehouseId":"EP","OnHandQuantity":412,"TotalAvailableQuantity":558,"AvailableOnHandQuantity":412,"InventorySiteId":"VEN","dataAreaId":"hgv","ProductColorId":"","ProductConfigurationId":"","ProductSizeId":"","ProductStyleId":""}</t>
  </si>
  <si>
    <t>{"ItemNumber":"221436","ProductName":"VP Thaise Rode Curry 2*1250g","InventoryWarehouseId":"EP","OnHandQuantity":730,"TotalAvailableQuantity":928,"AvailableOnHandQuantity":730,"InventorySiteId":"VEN","dataAreaId":"hgv","ProductColorId":"","ProductConfigurationId":"","ProductSizeId":"","ProductStyleId":""}</t>
  </si>
  <si>
    <t>{"ItemNumber":"221455","ProductName":"VP Mexicaanse Burrito 2*950g","InventoryWarehouseId":"EP","OnHandQuantity":254,"TotalAvailableQuantity":360,"AvailableOnHandQuantity":254,"InventorySiteId":"VEN","dataAreaId":"hgv","ProductColorId":"","ProductConfigurationId":"","ProductSizeId":"","ProductStyleId":""}</t>
  </si>
  <si>
    <t>{"ItemNumber":"221459","ProductName":"VP Indon.Nasi speciaal 2*1020g","InventoryWarehouseId":"EP","OnHandQuantity":766,"TotalAvailableQuantity":1016,"AvailableOnHandQuantity":766,"InventorySiteId":"VEN","dataAreaId":"hgv","ProductColorId":"","ProductConfigurationId":"","ProductSizeId":"","ProductStyleId":""}</t>
  </si>
  <si>
    <t>{"ItemNumber":"221460","ProductName":"VP Tikka Masala 2*1430g","InventoryWarehouseId":"EP","OnHandQuantity":464,"TotalAvailableQuantity":644,"AvailableOnHandQuantity":464,"InventorySiteId":"VEN","dataAreaId":"hgv","ProductColorId":"","ProductConfigurationId":"","ProductSizeId":"","ProductStyleId":""}</t>
  </si>
  <si>
    <t>{"ItemNumber":"221486","ProductName":"Fijngesneden Boerenkool 5*500g VF","InventoryWarehouseId":"EP","OnHandQuantity":0,"TotalAvailableQuantity":5,"AvailableOnHandQuantity":0,"InventorySiteId":"VEN","dataAreaId":"hgv","ProductColorId":"","ProductConfigurationId":"","ProductSizeId":"","ProductStyleId":""}</t>
  </si>
  <si>
    <t>{"ItemNumber":"221494","ProductName":"VP Thaise Pad Thai 2*630g","InventoryWarehouseId":"EP","OnHandQuantity":266,"TotalAvailableQuantity":362,"AvailableOnHandQuantity":266,"InventorySiteId":"VEN","dataAreaId":"hgv","ProductColorId":"","ProductConfigurationId":"","ProductSizeId":"","ProductStyleId":""}</t>
  </si>
  <si>
    <t>{"ItemNumber":"221495","ProductName":"VP Jap.Noedels Teriyaki 2*720g","InventoryWarehouseId":"EP","OnHandQuantity":358,"TotalAvailableQuantity":446,"AvailableOnHandQuantity":358,"InventorySiteId":"VEN","dataAreaId":"hgv","ProductColorId":"","ProductConfigurationId":"","ProductSizeId":"","ProductStyleId":""}</t>
  </si>
  <si>
    <t>{"ItemNumber":"221498","ProductName":"VP Soeppakk.Prei Kerrie2*1080g","InventoryWarehouseId":"EP","OnHandQuantity":814,"TotalAvailableQuantity":1082,"AvailableOnHandQuantity":814,"InventorySiteId":"VEN","dataAreaId":"hgv","ProductColorId":"","ProductConfigurationId":"","ProductSizeId":"","ProductStyleId":""}</t>
  </si>
  <si>
    <t>{"ItemNumber":"221522","ProductName":"VP Goulashsoep 2*880g","InventoryWarehouseId":"EP","OnHandQuantity":424,"TotalAvailableQuantity":574,"AvailableOnHandQuantity":424,"InventorySiteId":"VEN","dataAreaId":"hgv","ProductColorId":"","ProductConfigurationId":"","ProductSizeId":"","ProductStyleId":""}</t>
  </si>
  <si>
    <t>{"ItemNumber":"221523","ProductName":"VP Tomatensoep 2*1030g","InventoryWarehouseId":"EP","OnHandQuantity":2098,"TotalAvailableQuantity":2868,"AvailableOnHandQuantity":2098,"InventorySiteId":"VEN","dataAreaId":"hgv","ProductColorId":"","ProductConfigurationId":"","ProductSizeId":"","ProductStyleId":""}</t>
  </si>
  <si>
    <t>{"ItemNumber":"221524","ProductName":"VP Courgette soep 2*835g","InventoryWarehouseId":"EP","OnHandQuantity":280,"TotalAvailableQuantity":398,"AvailableOnHandQuantity":280,"InventorySiteId":"VEN","dataAreaId":"hgv","ProductColorId":"","ProductConfigurationId":"","ProductSizeId":"","ProductStyleId":""}</t>
  </si>
  <si>
    <t>{"ItemNumber":"221566","ProductName":"MTS Geitenkaas 2*450g VF","InventoryWarehouseId":"EP","OnHandQuantity":228,"TotalAvailableQuantity":68,"AvailableOnHandQuantity":228,"InventorySiteId":"VEN","dataAreaId":"hgv","ProductColorId":"","ProductConfigurationId":"","ProductSizeId":"","ProductStyleId":""}</t>
  </si>
  <si>
    <t>{"ItemNumber":"221567","ProductName":"MTS Kip Marokkaans BL1-K1* 2*450g VF V3","InventoryWarehouseId":"EP","OnHandQuantity":0,"TotalAvailableQuantity":0,"AvailableOnHandQuantity":0,"InventorySiteId":"VEN","dataAreaId":"hgv","ProductColorId":"","ProductConfigurationId":"","ProductSizeId":"","ProductStyleId":""}</t>
  </si>
  <si>
    <t>{"ItemNumber":"221569","ProductName":"MTS Libanees vega 2*400g VF","InventoryWarehouseId":"EP","OnHandQuantity":118,"TotalAvailableQuantity":56,"AvailableOnHandQuantity":118,"InventorySiteId":"VEN","dataAreaId":"hgv","ProductColorId":"","ProductConfigurationId":"","ProductSizeId":"","ProductStyleId":""}</t>
  </si>
  <si>
    <t>{"ItemNumber":"221570","ProductName":"LS Caesar 2*250g VF","InventoryWarehouseId":"EP","OnHandQuantity":866,"TotalAvailableQuantity":44,"AvailableOnHandQuantity":866,"InventorySiteId":"VEN","dataAreaId":"hgv","ProductColorId":"","ProductConfigurationId":"","ProductSizeId":"","ProductStyleId":""}</t>
  </si>
  <si>
    <t>{"ItemNumber":"221571","ProductName":"MTS Kip Gyros 2*400g BL1-K1","InventoryWarehouseId":"EP","OnHandQuantity":678,"TotalAvailableQuantity":186,"AvailableOnHandQuantity":678,"InventorySiteId":"VEN","dataAreaId":"hgv","ProductColorId":"","ProductConfigurationId":"","ProductSizeId":"","ProductStyleId":""}</t>
  </si>
  <si>
    <t>{"ItemNumber":"221574","ProductName":"LS Quinoa, geitenkaas, noten 2*250g VF","InventoryWarehouseId":"EP","OnHandQuantity":306,"TotalAvailableQuantity":-32,"AvailableOnHandQuantity":306,"InventorySiteId":"VEN","dataAreaId":"hgv","ProductColorId":"","ProductConfigurationId":"","ProductSizeId":"","ProductStyleId":""}</t>
  </si>
  <si>
    <t>{"ItemNumber":"221580","ProductName":"MTS Garnaal Oosters ASC 2*450g VF","InventoryWarehouseId":"EP","OnHandQuantity":224,"TotalAvailableQuantity":168,"AvailableOnHandQuantity":224,"InventorySiteId":"VEN","dataAreaId":"hgv","ProductColorId":"","ProductConfigurationId":"","ProductSizeId":"","ProductStyleId":""}</t>
  </si>
  <si>
    <t>{"ItemNumber":"221590","ProductName":"MTS Gegr. Kipdij BL1-K1 4*450g  VF JU V2","InventoryWarehouseId":"EP","OnHandQuantity":0,"TotalAvailableQuantity":0,"AvailableOnHandQuantity":0,"InventorySiteId":"VEN","dataAreaId":"hgv","ProductColorId":"","ProductConfigurationId":"","ProductSizeId":"","ProductStyleId":""}</t>
  </si>
  <si>
    <t>{"ItemNumber":"221591","ProductName":"MTS Caesar BL1-K1 4*450g VF","InventoryWarehouseId":"EP","OnHandQuantity":2076,"TotalAvailableQuantity":416,"AvailableOnHandQuantity":2076,"InventorySiteId":"VEN","dataAreaId":"hgv","ProductColorId":"","ProductConfigurationId":"","ProductSizeId":"","ProductStyleId":""}</t>
  </si>
  <si>
    <t>{"ItemNumber":"221593","ProductName":"MTS Falafel Vegan 2*450g VF","InventoryWarehouseId":"EP","OnHandQuantity":344,"TotalAvailableQuantity":216,"AvailableOnHandQuantity":344,"InventorySiteId":"VEN","dataAreaId":"hgv","ProductColorId":"","ProductConfigurationId":"","ProductSizeId":"","ProductStyleId":""}</t>
  </si>
  <si>
    <t>{"ItemNumber":"221597","ProductName":"LS Groene Groenten 2*285g VF","InventoryWarehouseId":"EP","OnHandQuantity":208,"TotalAvailableQuantity":62,"AvailableOnHandQuantity":208,"InventorySiteId":"VEN","dataAreaId":"hgv","ProductColorId":"","ProductConfigurationId":"","ProductSizeId":"","ProductStyleId":""}</t>
  </si>
  <si>
    <t>{"ItemNumber":"221598","ProductName":"MTS Spek Truffel BL1-V1 2*400g VF","InventoryWarehouseId":"EP","OnHandQuantity":160,"TotalAvailableQuantity":22,"AvailableOnHandQuantity":160,"InventorySiteId":"VEN","dataAreaId":"hgv","ProductColorId":"","ProductConfigurationId":"","ProductSizeId":"","ProductStyleId":""}</t>
  </si>
  <si>
    <t>{"ItemNumber":"221599","ProductName":"SNS Quinoa noten 2*205g","InventoryWarehouseId":"EP","OnHandQuantity":408,"TotalAvailableQuantity":62,"AvailableOnHandQuantity":408,"InventorySiteId":"VEN","dataAreaId":"hgv","ProductColorId":"","ProductConfigurationId":"","ProductSizeId":"","ProductStyleId":""}</t>
  </si>
  <si>
    <t>{"ItemNumber":"221600","ProductName":"SNS Green power 2*200g","InventoryWarehouseId":"EP","OnHandQuantity":284,"TotalAvailableQuantity":48,"AvailableOnHandQuantity":284,"InventorySiteId":"VEN","dataAreaId":"hgv","ProductColorId":"","ProductConfigurationId":"","ProductSizeId":"","ProductStyleId":""}</t>
  </si>
  <si>
    <t>{"ItemNumber":"221602","ProductName":"SB Pokebowl Zalm ASC 2*350g","InventoryWarehouseId":"EP","OnHandQuantity":616,"TotalAvailableQuantity":106,"AvailableOnHandQuantity":616,"InventorySiteId":"VEN","dataAreaId":"hgv","ProductColorId":"","ProductConfigurationId":"","ProductSizeId":"","ProductStyleId":""}</t>
  </si>
  <si>
    <t>{"ItemNumber":"221604","ProductName":"SB Falafel 2*335g Vegan","InventoryWarehouseId":"EP","OnHandQuantity":256,"TotalAvailableQuantity":146,"AvailableOnHandQuantity":256,"InventorySiteId":"VEN","dataAreaId":"hgv","ProductColorId":"","ProductConfigurationId":"","ProductSizeId":"","ProductStyleId":""}</t>
  </si>
  <si>
    <t>{"ItemNumber":"221606","ProductName":"SB Sesame Chicken 2*330g BL1-K1","InventoryWarehouseId":"EP","OnHandQuantity":98,"TotalAvailableQuantity":72,"AvailableOnHandQuantity":98,"InventorySiteId":"VEN","dataAreaId":"hgv","ProductColorId":"","ProductConfigurationId":"","ProductSizeId":"","ProductStyleId":""}</t>
  </si>
  <si>
    <t>{"ItemNumber":"221607","ProductName":"SB La Place Arabisch 2*370g vega","InventoryWarehouseId":"EP","OnHandQuantity":130,"TotalAvailableQuantity":98,"AvailableOnHandQuantity":130,"InventorySiteId":"VEN","dataAreaId":"hgv","ProductColorId":"","ProductConfigurationId":"","ProductSizeId":"","ProductStyleId":""}</t>
  </si>
  <si>
    <t>{"ItemNumber":"221643","ProductName":"Verse Ananas 2*1st","InventoryWarehouseId":"EP","OnHandQuantity":750,"TotalAvailableQuantity":1066,"AvailableOnHandQuantity":750,"InventorySiteId":"VEN","dataAreaId":"hgv","ProductColorId":"","ProductConfigurationId":"","ProductSizeId":"","ProductStyleId":""}</t>
  </si>
  <si>
    <t>{"ItemNumber":"221664","ProductName":"VP Ita pasta salsa rossa 2*980g Vegan","InventoryWarehouseId":"EP","OnHandQuantity":354,"TotalAvailableQuantity":482,"AvailableOnHandQuantity":354,"InventorySiteId":"VEN","dataAreaId":"hgv","ProductColorId":"","ProductConfigurationId":"","ProductSizeId":"","ProductStyleId":""}</t>
  </si>
  <si>
    <t>{"ItemNumber":"221669","ProductName":"VP Libanese flatbread 2*680g","InventoryWarehouseId":"EP","OnHandQuantity":56,"TotalAvailableQuantity":288,"AvailableOnHandQuantity":56,"InventorySiteId":"VEN","dataAreaId":"hgv","ProductColorId":"","ProductConfigurationId":"","ProductSizeId":"","ProductStyleId":""}</t>
  </si>
  <si>
    <t>{"ItemNumber":"221671","ProductName":"VP Portugese piri piri 2*1160g","InventoryWarehouseId":"EP","OnHandQuantity":406,"TotalAvailableQuantity":536,"AvailableOnHandQuantity":406,"InventorySiteId":"VEN","dataAreaId":"hgv","ProductColorId":"","ProductConfigurationId":"","ProductSizeId":"","ProductStyleId":""}</t>
  </si>
  <si>
    <t>{"ItemNumber":"221680","ProductName":"MTS Tonijn MSC 2*450g VF","InventoryWarehouseId":"EP","OnHandQuantity":626,"TotalAvailableQuantity":108,"AvailableOnHandQuantity":626,"InventorySiteId":"VEN","dataAreaId":"hgv","ProductColorId":"","ProductConfigurationId":"","ProductSizeId":"","ProductStyleId":""}</t>
  </si>
  <si>
    <t>{"ItemNumber":"221681","ProductName":"MTS Ger. Kip BL1-K1 4*450g VF","InventoryWarehouseId":"EP","OnHandQuantity":1208,"TotalAvailableQuantity":300,"AvailableOnHandQuantity":1208,"InventorySiteId":"VEN","dataAreaId":"hgv","ProductColorId":"","ProductConfigurationId":"","ProductSizeId":"","ProductStyleId":""}</t>
  </si>
  <si>
    <t>{"ItemNumber":"221700","ProductName":"VP Satépannetje met rijst 2*1360g Veggie","InventoryWarehouseId":"EP","OnHandQuantity":392,"TotalAvailableQuantity":528,"AvailableOnHandQuantity":392,"InventorySiteId":"VEN","dataAreaId":"hgv","ProductColorId":"","ProductConfigurationId":"","ProductSizeId":"","ProductStyleId":""}</t>
  </si>
  <si>
    <t>{"ItemNumber":"221704","ProductName":"Stoofkruiden 2*16g","InventoryWarehouseId":"EP","OnHandQuantity":36,"TotalAvailableQuantity":86,"AvailableOnHandQuantity":36,"InventorySiteId":"VEN","dataAreaId":"hgv","ProductColorId":"","ProductConfigurationId":"","ProductSizeId":"","ProductStyleId":""}</t>
  </si>
  <si>
    <t>{"ItemNumber":"221705","ProductName":"VP Italiaanse Lasagne 2*1170g","InventoryWarehouseId":"EP","OnHandQuantity":792,"TotalAvailableQuantity":1120,"AvailableOnHandQuantity":792,"InventorySiteId":"VEN","dataAreaId":"hgv","ProductColorId":"","ProductConfigurationId":"","ProductSizeId":"","ProductStyleId":""}</t>
  </si>
  <si>
    <t>{"ItemNumber":"221707","ProductName":"VP Holl.Preischotel 2*1190g","InventoryWarehouseId":"EP","OnHandQuantity":332,"TotalAvailableQuantity":434,"AvailableOnHandQuantity":332,"InventorySiteId":"VEN","dataAreaId":"hgv","ProductColorId":"","ProductConfigurationId":"","ProductSizeId":"","ProductStyleId":""}</t>
  </si>
  <si>
    <t>{"ItemNumber":"221708","ProductName":"VP Erwtensoep 2*930g","InventoryWarehouseId":"EP","OnHandQuantity":2214,"TotalAvailableQuantity":2464,"AvailableOnHandQuantity":2214,"InventorySiteId":"VEN","dataAreaId":"hgv","ProductColorId":"","ProductConfigurationId":"","ProductSizeId":"","ProductStyleId":""}</t>
  </si>
  <si>
    <t>{"ItemNumber":"221710","ProductName":"VP Pompoensoep 2*1070g","InventoryWarehouseId":"EP","OnHandQuantity":1218,"TotalAvailableQuantity":1328,"AvailableOnHandQuantity":1218,"InventorySiteId":"VEN","dataAreaId":"hgv","ProductColorId":"","ProductConfigurationId":"","ProductSizeId":"","ProductStyleId":""}</t>
  </si>
  <si>
    <t>{"ItemNumber":"221711","ProductName":"VP Mexicaans Nachoschotel 2*715g","InventoryWarehouseId":"EP","OnHandQuantity":164,"TotalAvailableQuantity":228,"AvailableOnHandQuantity":164,"InventorySiteId":"VEN","dataAreaId":"hgv","ProductColorId":"","ProductConfigurationId":"","ProductSizeId":"","ProductStyleId":""}</t>
  </si>
  <si>
    <t>{"ItemNumber":"221753","ProductName":"VP Thaise Kip Siam 2*1060g","InventoryWarehouseId":"EP","OnHandQuantity":324,"TotalAvailableQuantity":414,"AvailableOnHandQuantity":324,"InventorySiteId":"VEN","dataAreaId":"hgv","ProductColorId":"","ProductConfigurationId":"","ProductSizeId":"","ProductStyleId":""}</t>
  </si>
  <si>
    <t>{"ItemNumber":"221754","ProductName":"MTS Kip Guaca BL1-K1 2*400g VF","InventoryWarehouseId":"EP","OnHandQuantity":142,"TotalAvailableQuantity":20,"AvailableOnHandQuantity":142,"InventorySiteId":"VEN","dataAreaId":"hgv","ProductColorId":"","ProductConfigurationId":"","ProductSizeId":"","ProductStyleId":""}</t>
  </si>
  <si>
    <t>{"ItemNumber":"221755","ProductName":"SS Caesar 4*285g VF","InventoryWarehouseId":"EP","OnHandQuantity":2060,"TotalAvailableQuantity":380,"AvailableOnHandQuantity":2060,"InventorySiteId":"VEN","dataAreaId":"hgv","ProductColorId":"","ProductConfigurationId":"","ProductSizeId":"","ProductStyleId":""}</t>
  </si>
  <si>
    <t>{"ItemNumber":"221756","ProductName":"SS Witlof 2*335g VF","InventoryWarehouseId":"EP","OnHandQuantity":772,"TotalAvailableQuantity":172,"AvailableOnHandQuantity":772,"InventorySiteId":"VEN","dataAreaId":"hgv","ProductColorId":"","ProductConfigurationId":"","ProductSizeId":"","ProductStyleId":""}</t>
  </si>
  <si>
    <t>{"ItemNumber":"221757","ProductName":"SS Italiaans 4*250g VF","InventoryWarehouseId":"EP","OnHandQuantity":1572,"TotalAvailableQuantity":316,"AvailableOnHandQuantity":1572,"InventorySiteId":"VEN","dataAreaId":"hgv","ProductColorId":"","ProductConfigurationId":"","ProductSizeId":"","ProductStyleId":""}</t>
  </si>
  <si>
    <t>{"ItemNumber":"221759","ProductName":"SS Tomaat Komkomm 4*330g VF","InventoryWarehouseId":"EP","OnHandQuantity":1160,"TotalAvailableQuantity":292,"AvailableOnHandQuantity":1160,"InventorySiteId":"VEN","dataAreaId":"hgv","ProductColorId":"","ProductConfigurationId":"","ProductSizeId":"","ProductStyleId":""}</t>
  </si>
  <si>
    <t>{"ItemNumber":"221761","ProductName":"LS Gerookte Kip BL1-K1 2*230g VF","InventoryWarehouseId":"EP","OnHandQuantity":142,"TotalAvailableQuantity":20,"AvailableOnHandQuantity":142,"InventorySiteId":"VEN","dataAreaId":"hgv","ProductColorId":"","ProductConfigurationId":"","ProductSizeId":"","ProductStyleId":""}</t>
  </si>
  <si>
    <t>{"ItemNumber":"221775","ProductName":"SB Pokebowl Sweet Chicken BL1-K1 2*350g","InventoryWarehouseId":"EP","OnHandQuantity":342,"TotalAvailableQuantity":22,"AvailableOnHandQuantity":342,"InventorySiteId":"VEN","dataAreaId":"hgv","ProductColorId":"","ProductConfigurationId":"","ProductSizeId":"","ProductStyleId":""}</t>
  </si>
  <si>
    <t>{"ItemNumber":"221781","ProductName":"VP Spaanse Paella 2*880g","InventoryWarehouseId":"EP","OnHandQuantity":274,"TotalAvailableQuantity":318,"AvailableOnHandQuantity":274,"InventorySiteId":"VEN","dataAreaId":"hgv","ProductColorId":"","ProductConfigurationId":"","ProductSizeId":"","ProductStyleId":""}</t>
  </si>
  <si>
    <t>{"ItemNumber":"221782","ProductName":"VP Italiaanse gnocchi truffel 2*1020g","InventoryWarehouseId":"EP","OnHandQuantity":246,"TotalAvailableQuantity":288,"AvailableOnHandQuantity":246,"InventorySiteId":"VEN","dataAreaId":"hgv","ProductColorId":"","ProductConfigurationId":"","ProductSizeId":"","ProductStyleId":""}</t>
  </si>
  <si>
    <t>{"ItemNumber":"221785","ProductName":"MTS Garnaal ASC 2*400g VF JU","InventoryWarehouseId":"EP","OnHandQuantity":492,"TotalAvailableQuantity":82,"AvailableOnHandQuantity":492,"InventorySiteId":"VEN","dataAreaId":"hgv","ProductColorId":"","ProductConfigurationId":"","ProductSizeId":"","ProductStyleId":""}</t>
  </si>
  <si>
    <t>{"ItemNumber":"221786","ProductName":"MTS Zalm Rotelle ASC 2*450g JU VF","InventoryWarehouseId":"EP","OnHandQuantity":406,"TotalAvailableQuantity":30,"AvailableOnHandQuantity":406,"InventorySiteId":"VEN","dataAreaId":"hgv","ProductColorId":"","ProductConfigurationId":"","ProductSizeId":"","ProductStyleId":""}</t>
  </si>
  <si>
    <t>{"ItemNumber":"221787","ProductName":"MTS Kip chili BL1-K1 2*400g VF","InventoryWarehouseId":"EP","OnHandQuantity":136,"TotalAvailableQuantity":0,"AvailableOnHandQuantity":136,"InventorySiteId":"VEN","dataAreaId":"hgv","ProductColorId":"","ProductConfigurationId":"","ProductSizeId":"","ProductStyleId":""}</t>
  </si>
  <si>
    <t>{"ItemNumber":"221788","ProductName":"MTS Kip Ketjap BL1-K1 2*450g VF JU","InventoryWarehouseId":"EP","OnHandQuantity":378,"TotalAvailableQuantity":72,"AvailableOnHandQuantity":378,"InventorySiteId":"VEN","dataAreaId":"hgv","ProductColorId":"","ProductConfigurationId":"","ProductSizeId":"","ProductStyleId":""}</t>
  </si>
  <si>
    <t>{"ItemNumber":"221789","ProductName":"VP Turkse kebab 2*820g","InventoryWarehouseId":"EP","OnHandQuantity":366,"TotalAvailableQuantity":504,"AvailableOnHandQuantity":366,"InventorySiteId":"VEN","dataAreaId":"hgv","ProductColorId":"","ProductConfigurationId":"","ProductSizeId":"","ProductStyleId":""}</t>
  </si>
  <si>
    <t>{"ItemNumber":"221793","ProductName":"MTS Gegr. Kipdij BL1-K1 4*450g VF JU","InventoryWarehouseId":"EP","OnHandQuantity":1732,"TotalAvailableQuantity":440,"AvailableOnHandQuantity":1732,"InventorySiteId":"VEN","dataAreaId":"hgv","ProductColorId":"","ProductConfigurationId":"","ProductSizeId":"","ProductStyleId":""}</t>
  </si>
  <si>
    <t>{"ItemNumber":"221794","ProductName":"MTS Mozzarella 2*450g VF","InventoryWarehouseId":"EP","OnHandQuantity":638,"TotalAvailableQuantity":208,"AvailableOnHandQuantity":638,"InventorySiteId":"VEN","dataAreaId":"hgv","ProductColorId":"","ProductConfigurationId":"","ProductSizeId":"","ProductStyleId":""}</t>
  </si>
  <si>
    <t>{"ItemNumber":"221796","ProductName":"Citroengras 2*100g VF","InventoryWarehouseId":"EP","OnHandQuantity":50,"TotalAvailableQuantity":56,"AvailableOnHandQuantity":50,"InventorySiteId":"VEN","dataAreaId":"hgv","ProductColorId":"","ProductConfigurationId":"","ProductSizeId":"","ProductStyleId":""}</t>
  </si>
  <si>
    <t>{"ItemNumber":"221798","ProductName":"Watermeloen 4*225g","InventoryWarehouseId":"EP","OnHandQuantity":1152,"TotalAvailableQuantity":1496,"AvailableOnHandQuantity":1152,"InventorySiteId":"VEN","dataAreaId":"hgv","ProductColorId":"","ProductConfigurationId":"","ProductSizeId":"","ProductStyleId":""}</t>
  </si>
  <si>
    <t>{"ItemNumber":"221802","ProductName":"VD Mango 4*275g","InventoryWarehouseId":"EP","OnHandQuantity":188,"TotalAvailableQuantity":288,"AvailableOnHandQuantity":188,"InventorySiteId":"VEN","dataAreaId":"hgv","ProductColorId":"","ProductConfigurationId":"","ProductSizeId":"","ProductStyleId":""}</t>
  </si>
  <si>
    <t>{"ItemNumber":"221803","ProductName":"VD Watermeloen 4*325g","InventoryWarehouseId":"EP","OnHandQuantity":264,"TotalAvailableQuantity":348,"AvailableOnHandQuantity":264,"InventorySiteId":"VEN","dataAreaId":"hgv","ProductColorId":"","ProductConfigurationId":"","ProductSizeId":"","ProductStyleId":""}</t>
  </si>
  <si>
    <t>{"ItemNumber":"221804","ProductName":"VD Ananas 4*475","InventoryWarehouseId":"EP","OnHandQuantity":188,"TotalAvailableQuantity":272,"AvailableOnHandQuantity":188,"InventorySiteId":"VEN","dataAreaId":"hgv","ProductColorId":"","ProductConfigurationId":"","ProductSizeId":"","ProductStyleId":""}</t>
  </si>
  <si>
    <t>{"ItemNumber":"221807","ProductName":"Cantaloupe meloen 4*200g","InventoryWarehouseId":"EP","OnHandQuantity":788,"TotalAvailableQuantity":1152,"AvailableOnHandQuantity":788,"InventorySiteId":"VEN","dataAreaId":"hgv","ProductColorId":"","ProductConfigurationId":"","ProductSizeId":"","ProductStyleId":""}</t>
  </si>
  <si>
    <t>{"ItemNumber":"221808","ProductName":"Mango 4*190g","InventoryWarehouseId":"EP","OnHandQuantity":852,"TotalAvailableQuantity":1192,"AvailableOnHandQuantity":852,"InventorySiteId":"VEN","dataAreaId":"hgv","ProductColorId":"","ProductConfigurationId":"","ProductSizeId":"","ProductStyleId":""}</t>
  </si>
  <si>
    <t>{"ItemNumber":"221809","ProductName":"Ananas 4*250g","InventoryWarehouseId":"EP","OnHandQuantity":1100,"TotalAvailableQuantity":1460,"AvailableOnHandQuantity":1100,"InventorySiteId":"VEN","dataAreaId":"hgv","ProductColorId":"","ProductConfigurationId":"","ProductSizeId":"","ProductStyleId":""}</t>
  </si>
  <si>
    <t>{"ItemNumber":"221811","ProductName":"Meloenmix 4*175g","InventoryWarehouseId":"EP","OnHandQuantity":2932,"TotalAvailableQuantity":3668,"AvailableOnHandQuantity":2932,"InventorySiteId":"VEN","dataAreaId":"hgv","ProductColorId":"","ProductConfigurationId":"","ProductSizeId":"","ProductStyleId":""}</t>
  </si>
  <si>
    <t>{"ItemNumber":"221813","ProductName":"Fruitmix Kiwi Aardbei 6*175g","InventoryWarehouseId":"EP","OnHandQuantity":3666,"TotalAvailableQuantity":5022,"AvailableOnHandQuantity":3666,"InventorySiteId":"VEN","dataAreaId":"hgv","ProductColorId":"","ProductConfigurationId":"","ProductSizeId":"","ProductStyleId":""}</t>
  </si>
  <si>
    <t>{"ItemNumber":"221814","ProductName":"Kokosnoot 4*100g","InventoryWarehouseId":"EP","OnHandQuantity":332,"TotalAvailableQuantity":440,"AvailableOnHandQuantity":332,"InventorySiteId":"VEN","dataAreaId":"hgv","ProductColorId":"","ProductConfigurationId":"","ProductSizeId":"","ProductStyleId":""}</t>
  </si>
  <si>
    <t>{"ItemNumber":"221815","ProductName":"Appelpartjes 4*150g","InventoryWarehouseId":"EP","OnHandQuantity":432,"TotalAvailableQuantity":620,"AvailableOnHandQuantity":432,"InventorySiteId":"VEN","dataAreaId":"hgv","ProductColorId":"","ProductConfigurationId":"","ProductSizeId":"","ProductStyleId":""}</t>
  </si>
  <si>
    <t>{"ItemNumber":"221817","ProductName":"Watermeloen 4*175g","InventoryWarehouseId":"EP","OnHandQuantity":2952,"TotalAvailableQuantity":3808,"AvailableOnHandQuantity":2952,"InventorySiteId":"VEN","dataAreaId":"hgv","ProductColorId":"","ProductConfigurationId":"","ProductSizeId":"","ProductStyleId":""}</t>
  </si>
  <si>
    <t>{"ItemNumber":"221818","ProductName":"Ananas 6*175g","InventoryWarehouseId":"EP","OnHandQuantity":3264,"TotalAvailableQuantity":4500,"AvailableOnHandQuantity":3264,"InventorySiteId":"VEN","dataAreaId":"hgv","ProductColorId":"","ProductConfigurationId":"","ProductSizeId":"","ProductStyleId":""}</t>
  </si>
  <si>
    <t>{"ItemNumber":"221819","ProductName":"Mango 6*120g","InventoryWarehouseId":"EP","OnHandQuantity":3498,"TotalAvailableQuantity":4470,"AvailableOnHandQuantity":3498,"InventorySiteId":"VEN","dataAreaId":"hgv","ProductColorId":"","ProductConfigurationId":"","ProductSizeId":"","ProductStyleId":""}</t>
  </si>
  <si>
    <t>{"ItemNumber":"221820","ProductName":"Bietensalade 4*200g","InventoryWarehouseId":"EP","OnHandQuantity":428,"TotalAvailableQuantity":108,"AvailableOnHandQuantity":428,"InventorySiteId":"VEN","dataAreaId":"hgv","ProductColorId":"","ProductConfigurationId":"","ProductSizeId":"","ProductStyleId":""}</t>
  </si>
  <si>
    <t>{"ItemNumber":"221821","ProductName":"Komkommer Ei Salade 4*200g","InventoryWarehouseId":"EP","OnHandQuantity":272,"TotalAvailableQuantity":32,"AvailableOnHandQuantity":272,"InventorySiteId":"VEN","dataAreaId":"hgv","ProductColorId":"","ProductConfigurationId":"","ProductSizeId":"","ProductStyleId":""}</t>
  </si>
  <si>
    <t>{"ItemNumber":"221822","ProductName":"Waldorf Salade 4*200g","InventoryWarehouseId":"EP","OnHandQuantity":172,"TotalAvailableQuantity":56,"AvailableOnHandQuantity":172,"InventorySiteId":"VEN","dataAreaId":"hgv","ProductColorId":"","ProductConfigurationId":"","ProductSizeId":"","ProductStyleId":""}</t>
  </si>
  <si>
    <t>{"ItemNumber":"221823","ProductName":"Kool Salade 4*200g","InventoryWarehouseId":"EP","OnHandQuantity":260,"TotalAvailableQuantity":148,"AvailableOnHandQuantity":260,"InventorySiteId":"VEN","dataAreaId":"hgv","ProductColorId":"","ProductConfigurationId":"","ProductSizeId":"","ProductStyleId":""}</t>
  </si>
  <si>
    <t>{"ItemNumber":"221824","ProductName":"Spitskool 4*200g VF","InventoryWarehouseId":"EP","OnHandQuantity":740,"TotalAvailableQuantity":-228,"AvailableOnHandQuantity":740,"InventorySiteId":"VEN","dataAreaId":"hgv","ProductColorId":"","ProductConfigurationId":"","ProductSizeId":"","ProductStyleId":""}</t>
  </si>
  <si>
    <t>{"ItemNumber":"221825","ProductName":"Bio+ Rode kool 2*300g VF","InventoryWarehouseId":"EP","OnHandQuantity":1548,"TotalAvailableQuantity":558,"AvailableOnHandQuantity":1548,"InventorySiteId":"VEN","dataAreaId":"hgv","ProductColorId":"","ProductConfigurationId":"","ProductSizeId":"","ProductStyleId":""}</t>
  </si>
  <si>
    <t>{"ItemNumber":"221826","ProductName":"Bio Witte Kool 2*300g VF","InventoryWarehouseId":"EP","OnHandQuantity":578,"TotalAvailableQuantity":152,"AvailableOnHandQuantity":578,"InventorySiteId":"VEN","dataAreaId":"hgv","ProductColorId":"","ProductConfigurationId":"","ProductSizeId":"","ProductStyleId":""}</t>
  </si>
  <si>
    <t>{"ItemNumber":"221827","ProductName":"Bio Spinazie 2*200g VF","InventoryWarehouseId":"EP","OnHandQuantity":1452,"TotalAvailableQuantity":582,"AvailableOnHandQuantity":1452,"InventorySiteId":"VEN","dataAreaId":"hgv","ProductColorId":"","ProductConfigurationId":"","ProductSizeId":"","ProductStyleId":""}</t>
  </si>
  <si>
    <t>{"ItemNumber":"221828","ProductName":"Spinazie 4*200g VF","InventoryWarehouseId":"EP","OnHandQuantity":6144,"TotalAvailableQuantity":2192,"AvailableOnHandQuantity":6144,"InventorySiteId":"VEN","dataAreaId":"hgv","ProductColorId":"","ProductConfigurationId":"","ProductSizeId":"","ProductStyleId":""}</t>
  </si>
  <si>
    <t>{"ItemNumber":"221829","ProductName":"Spinazie 4*600g VF","InventoryWarehouseId":"EP","OnHandQuantity":2260,"TotalAvailableQuantity":820,"AvailableOnHandQuantity":2260,"InventorySiteId":"VEN","dataAreaId":"hgv","ProductColorId":"","ProductConfigurationId":"","ProductSizeId":"","ProductStyleId":""}</t>
  </si>
  <si>
    <t>{"ItemNumber":"221830","ProductName":"Spinazie 5*400g VF","InventoryWarehouseId":"EP","OnHandQuantity":5475,"TotalAvailableQuantity":2315,"AvailableOnHandQuantity":5475,"InventorySiteId":"VEN","dataAreaId":"hgv","ProductColorId":"","ProductConfigurationId":"","ProductSizeId":"","ProductStyleId":""}</t>
  </si>
  <si>
    <t>{"ItemNumber":"221831","ProductName":"Pompoenblokjes 2*400g VF","InventoryWarehouseId":"EP","OnHandQuantity":2390,"TotalAvailableQuantity":1148,"AvailableOnHandQuantity":2390,"InventorySiteId":"VEN","dataAreaId":"hgv","ProductColorId":"","ProductConfigurationId":"","ProductSizeId":"","ProductStyleId":""}</t>
  </si>
  <si>
    <t>{"ItemNumber":"221832","ProductName":"Sperziebonen 5*200g VF","InventoryWarehouseId":"EP","OnHandQuantity":3115,"TotalAvailableQuantity":1330,"AvailableOnHandQuantity":3115,"InventorySiteId":"VEN","dataAreaId":"hgv","ProductColorId":"","ProductConfigurationId":"","ProductSizeId":"","ProductStyleId":""}</t>
  </si>
  <si>
    <t>{"ItemNumber":"221833","ProductName":"Sperziebonen 8*400g VF","InventoryWarehouseId":"EP","OnHandQuantity":4072,"TotalAvailableQuantity":-256,"AvailableOnHandQuantity":4072,"InventorySiteId":"VEN","dataAreaId":"hgv","ProductColorId":"","ProductConfigurationId":"","ProductSizeId":"","ProductStyleId":""}</t>
  </si>
  <si>
    <t>{"ItemNumber":"221834","ProductName":"Sperziebonen 4*600g VF","InventoryWarehouseId":"EP","OnHandQuantity":2092,"TotalAvailableQuantity":-940,"AvailableOnHandQuantity":2092,"InventorySiteId":"VEN","dataAreaId":"hgv","ProductColorId":"","ProductConfigurationId":"","ProductSizeId":"","ProductStyleId":""}</t>
  </si>
  <si>
    <t>{"ItemNumber":"221835","ProductName":"Snijbonen 3*200g VF","InventoryWarehouseId":"EP","OnHandQuantity":1308,"TotalAvailableQuantity":81,"AvailableOnHandQuantity":1308,"InventorySiteId":"VEN","dataAreaId":"hgv","ProductColorId":"","ProductConfigurationId":"","ProductSizeId":"","ProductStyleId":""}</t>
  </si>
  <si>
    <t>{"ItemNumber":"221836","ProductName":"Snijbonen 4*400g VF","InventoryWarehouseId":"EP","OnHandQuantity":3060,"TotalAvailableQuantity":624,"AvailableOnHandQuantity":3060,"InventorySiteId":"VEN","dataAreaId":"hgv","ProductColorId":"","ProductConfigurationId":"","ProductSizeId":"","ProductStyleId":""}</t>
  </si>
  <si>
    <t>{"ItemNumber":"221838","ProductName":"Prei 6*400g VF","InventoryWarehouseId":"EP","OnHandQuantity":1842,"TotalAvailableQuantity":4998,"AvailableOnHandQuantity":1842,"InventorySiteId":"VEN","dataAreaId":"hgv","ProductColorId":"","ProductConfigurationId":"","ProductSizeId":"","ProductStyleId":""}</t>
  </si>
  <si>
    <t>{"ItemNumber":"221839","ProductName":"Prei fijn 6*200g VF","InventoryWarehouseId":"EP","OnHandQuantity":1848,"TotalAvailableQuantity":768,"AvailableOnHandQuantity":1848,"InventorySiteId":"VEN","dataAreaId":"hgv","ProductColorId":"","ProductConfigurationId":"","ProductSizeId":"","ProductStyleId":""}</t>
  </si>
  <si>
    <t>{"ItemNumber":"221842","ProductName":"Broccoliroos 4*400g VF","InventoryWarehouseId":"EP","OnHandQuantity":2520,"TotalAvailableQuantity":960,"AvailableOnHandQuantity":2520,"InventorySiteId":"VEN","dataAreaId":"hgv","ProductColorId":"","ProductConfigurationId":"","ProductSizeId":"","ProductStyleId":""}</t>
  </si>
  <si>
    <t>{"ItemNumber":"221843","ProductName":"Bloemkoolroos 3*200g VF","InventoryWarehouseId":"EP","OnHandQuantity":636,"TotalAvailableQuantity":-159,"AvailableOnHandQuantity":636,"InventorySiteId":"VEN","dataAreaId":"hgv","ProductColorId":"","ProductConfigurationId":"","ProductSizeId":"","ProductStyleId":""}</t>
  </si>
  <si>
    <t>{"ItemNumber":"221844","ProductName":"Bloemkoolroos 4*400g VF","InventoryWarehouseId":"EP","OnHandQuantity":1588,"TotalAvailableQuantity":448,"AvailableOnHandQuantity":1588,"InventorySiteId":"VEN","dataAreaId":"hgv","ProductColorId":"","ProductConfigurationId":"","ProductSizeId":"","ProductStyleId":""}</t>
  </si>
  <si>
    <t>{"ItemNumber":"221845","ProductName":"Groentemix 3*400g VF","InventoryWarehouseId":"EP","OnHandQuantity":1383,"TotalAvailableQuantity":-1407,"AvailableOnHandQuantity":1383,"InventorySiteId":"VEN","dataAreaId":"hgv","ProductColorId":"","ProductConfigurationId":"","ProductSizeId":"","ProductStyleId":""}</t>
  </si>
  <si>
    <t>{"ItemNumber":"221847","ProductName":"Bloemkool Broccoli 4*400g VF","InventoryWarehouseId":"EP","OnHandQuantity":1680,"TotalAvailableQuantity":720,"AvailableOnHandQuantity":1680,"InventorySiteId":"VEN","dataAreaId":"hgv","ProductColorId":"","ProductConfigurationId":"","ProductSizeId":"","ProductStyleId":""}</t>
  </si>
  <si>
    <t>{"ItemNumber":"221848","ProductName":"Geschoonde spruitjes 4*350g VF","InventoryWarehouseId":"EP","OnHandQuantity":2396,"TotalAvailableQuantity":748,"AvailableOnHandQuantity":2396,"InventorySiteId":"VEN","dataAreaId":"hgv","ProductColorId":"","ProductConfigurationId":"","ProductSizeId":"","ProductStyleId":""}</t>
  </si>
  <si>
    <t>{"ItemNumber":"221849","ProductName":"ZoeteAardappelblokjes 2*400g VF","InventoryWarehouseId":"EP","OnHandQuantity":500,"TotalAvailableQuantity":-360,"AvailableOnHandQuantity":500,"InventorySiteId":"VEN","dataAreaId":"hgv","ProductColorId":"","ProductConfigurationId":"","ProductSizeId":"","ProductStyleId":""}</t>
  </si>
  <si>
    <t>{"ItemNumber":"221850","ProductName":"Ovengr PaprChamp 2*600g VF","InventoryWarehouseId":"EP","OnHandQuantity":1008,"TotalAvailableQuantity":234,"AvailableOnHandQuantity":1008,"InventorySiteId":"VEN","dataAreaId":"hgv","ProductColorId":"","ProductConfigurationId":"","ProductSizeId":"","ProductStyleId":""}</t>
  </si>
  <si>
    <t>{"ItemNumber":"221851","ProductName":"Mosselgroenten 4*400g VF","InventoryWarehouseId":"EP","OnHandQuantity":856,"TotalAvailableQuantity":644,"AvailableOnHandQuantity":856,"InventorySiteId":"VEN","dataAreaId":"hgv","ProductColorId":"","ProductConfigurationId":"","ProductSizeId":"","ProductStyleId":""}</t>
  </si>
  <si>
    <t>{"ItemNumber":"221853","ProductName":"Wok Oosters 4*400g VF","InventoryWarehouseId":"EP","OnHandQuantity":2032,"TotalAvailableQuantity":444,"AvailableOnHandQuantity":2032,"InventorySiteId":"VEN","dataAreaId":"hgv","ProductColorId":"","ProductConfigurationId":"","ProductSizeId":"","ProductStyleId":""}</t>
  </si>
  <si>
    <t>{"ItemNumber":"221854","ProductName":"Wok Oosters 2*600g VF","InventoryWarehouseId":"EP","OnHandQuantity":1104,"TotalAvailableQuantity":330,"AvailableOnHandQuantity":1104,"InventorySiteId":"VEN","dataAreaId":"hgv","ProductColorId":"","ProductConfigurationId":"","ProductSizeId":"","ProductStyleId":""}</t>
  </si>
  <si>
    <t>{"ItemNumber":"221855","ProductName":"Bloemkoolrijst 2*400g VF","InventoryWarehouseId":"EP","OnHandQuantity":1026,"TotalAvailableQuantity":450,"AvailableOnHandQuantity":1026,"InventorySiteId":"VEN","dataAreaId":"hgv","ProductColorId":"","ProductConfigurationId":"","ProductSizeId":"","ProductStyleId":""}</t>
  </si>
  <si>
    <t>{"ItemNumber":"221856","ProductName":"Courgette spaghetti 2*400g","InventoryWarehouseId":"EP","OnHandQuantity":584,"TotalAvailableQuantity":-236,"AvailableOnHandQuantity":584,"InventorySiteId":"VEN","dataAreaId":"hgv","ProductColorId":"","ProductConfigurationId":"","ProductSizeId":"","ProductStyleId":""}</t>
  </si>
  <si>
    <t>{"ItemNumber":"221858","ProductName":"Rbg Thais 4*400g VF","InventoryWarehouseId":"EP","OnHandQuantity":1916,"TotalAvailableQuantity":460,"AvailableOnHandQuantity":1916,"InventorySiteId":"VEN","dataAreaId":"hgv","ProductColorId":"","ProductConfigurationId":"","ProductSizeId":"","ProductStyleId":""}</t>
  </si>
  <si>
    <t>{"ItemNumber":"221859","ProductName":"Wok Cambodjaans 2*400g VF","InventoryWarehouseId":"EP","OnHandQuantity":670,"TotalAvailableQuantity":-224,"AvailableOnHandQuantity":670,"InventorySiteId":"VEN","dataAreaId":"hgv","ProductColorId":"","ProductConfigurationId":"","ProductSizeId":"","ProductStyleId":""}</t>
  </si>
  <si>
    <t>{"ItemNumber":"221860","ProductName":"Mac Spagh zak 6*450g VF","InventoryWarehouseId":"EP","OnHandQuantity":10020,"TotalAvailableQuantity":3360,"AvailableOnHandQuantity":10020,"InventorySiteId":"VEN","dataAreaId":"hgv","ProductColorId":"","ProductConfigurationId":"","ProductSizeId":"","ProductStyleId":""}</t>
  </si>
  <si>
    <t>{"ItemNumber":"221861","ProductName":"Witte champignons 4*250g VF","InventoryWarehouseId":"EP","OnHandQuantity":3368,"TotalAvailableQuantity":1404,"AvailableOnHandQuantity":3368,"InventorySiteId":"VEN","dataAreaId":"hgv","ProductColorId":"","ProductConfigurationId":"","ProductSizeId":"","ProductStyleId":""}</t>
  </si>
  <si>
    <t>{"ItemNumber":"221862","ProductName":"Witte champignons 6*125g VF","InventoryWarehouseId":"EP","OnHandQuantity":3096,"TotalAvailableQuantity":1122,"AvailableOnHandQuantity":3096,"InventorySiteId":"VEN","dataAreaId":"hgv","ProductColorId":"","ProductConfigurationId":"","ProductSizeId":"","ProductStyleId":""}</t>
  </si>
  <si>
    <t>{"ItemNumber":"221863","ProductName":"Wok Japans 2*400g VF","InventoryWarehouseId":"EP","OnHandQuantity":958,"TotalAvailableQuantity":276,"AvailableOnHandQuantity":958,"InventorySiteId":"VEN","dataAreaId":"hgv","ProductColorId":"","ProductConfigurationId":"","ProductSizeId":"","ProductStyleId":""}</t>
  </si>
  <si>
    <t>{"ItemNumber":"221864","ProductName":"Wok Thais 4*400g VF","InventoryWarehouseId":"EP","OnHandQuantity":1532,"TotalAvailableQuantity":584,"AvailableOnHandQuantity":1532,"InventorySiteId":"VEN","dataAreaId":"hgv","ProductColorId":"","ProductConfigurationId":"","ProductSizeId":"","ProductStyleId":""}</t>
  </si>
  <si>
    <t>{"ItemNumber":"221865","ProductName":"Wok Oosters 2*250g VF","InventoryWarehouseId":"EP","OnHandQuantity":888,"TotalAvailableQuantity":376,"AvailableOnHandQuantity":888,"InventorySiteId":"VEN","dataAreaId":"hgv","ProductColorId":"","ProductConfigurationId":"","ProductSizeId":"","ProductStyleId":""}</t>
  </si>
  <si>
    <t>{"ItemNumber":"221866","ProductName":"Basismix Aziatisch 4*600g VF","InventoryWarehouseId":"EP","OnHandQuantity":784,"TotalAvailableQuantity":120,"AvailableOnHandQuantity":784,"InventorySiteId":"VEN","dataAreaId":"hgv","ProductColorId":"","ProductConfigurationId":"","ProductSizeId":"","ProductStyleId":""}</t>
  </si>
  <si>
    <t>{"ItemNumber":"221867","ProductName":"Bami nasi 6*250g VF","InventoryWarehouseId":"EP","OnHandQuantity":2838,"TotalAvailableQuantity":930,"AvailableOnHandQuantity":2838,"InventorySiteId":"VEN","dataAreaId":"hgv","ProductColorId":"","ProductConfigurationId":"","ProductSizeId":"","ProductStyleId":""}</t>
  </si>
  <si>
    <t>{"ItemNumber":"221868","ProductName":"Nasi Zak 4*450g VF","InventoryWarehouseId":"EP","OnHandQuantity":5480,"TotalAvailableQuantity":1416,"AvailableOnHandQuantity":5480,"InventorySiteId":"VEN","dataAreaId":"hgv","ProductColorId":"","ProductConfigurationId":"","ProductSizeId":"","ProductStyleId":""}</t>
  </si>
  <si>
    <t>{"ItemNumber":"221869","ProductName":"RBG Italiaans basis 4*600g","InventoryWarehouseId":"EP","OnHandQuantity":848,"TotalAvailableQuantity":268,"AvailableOnHandQuantity":848,"InventorySiteId":"VEN","dataAreaId":"hgv","ProductColorId":"","ProductConfigurationId":"","ProductSizeId":"","ProductStyleId":""}</t>
  </si>
  <si>
    <t>{"ItemNumber":"221870","ProductName":"Mac Spagh 6*250g VF","InventoryWarehouseId":"EP","OnHandQuantity":2514,"TotalAvailableQuantity":672,"AvailableOnHandQuantity":2514,"InventorySiteId":"VEN","dataAreaId":"hgv","ProductColorId":"","ProductConfigurationId":"","ProductSizeId":"","ProductStyleId":""}</t>
  </si>
  <si>
    <t>{"ItemNumber":"221871","ProductName":"Rbg Hollands 2*400g VF","InventoryWarehouseId":"EP","OnHandQuantity":810,"TotalAvailableQuantity":88,"AvailableOnHandQuantity":810,"InventorySiteId":"VEN","dataAreaId":"hgv","ProductColorId":"","ProductConfigurationId":"","ProductSizeId":"","ProductStyleId":""}</t>
  </si>
  <si>
    <t>{"ItemNumber":"221872","ProductName":"Rbg Mexicaans 4*400g VF","InventoryWarehouseId":"EP","OnHandQuantity":2132,"TotalAvailableQuantity":528,"AvailableOnHandQuantity":2132,"InventorySiteId":"VEN","dataAreaId":"hgv","ProductColorId":"","ProductConfigurationId":"","ProductSizeId":"","ProductStyleId":""}</t>
  </si>
  <si>
    <t>{"ItemNumber":"221873","ProductName":"Rbg Italiaans z\\ ui 4*400g VF","InventoryWarehouseId":"EP","OnHandQuantity":1260,"TotalAvailableQuantity":300,"AvailableOnHandQuantity":1260,"InventorySiteId":"VEN","dataAreaId":"hgv","ProductColorId":"","ProductConfigurationId":"","ProductSizeId":"","ProductStyleId":""}</t>
  </si>
  <si>
    <t>{"ItemNumber":"221874","ProductName":"Rbg Provencaalse 2*400g VF","InventoryWarehouseId":"EP","OnHandQuantity":1044,"TotalAvailableQuantity":252,"AvailableOnHandQuantity":1044,"InventorySiteId":"VEN","dataAreaId":"hgv","ProductColorId":"","ProductConfigurationId":"","ProductSizeId":"","ProductStyleId":""}</t>
  </si>
  <si>
    <t>{"ItemNumber":"221875","ProductName":"Rbg Champignon 4*250g VF","InventoryWarehouseId":"EP","OnHandQuantity":1488,"TotalAvailableQuantity":540,"AvailableOnHandQuantity":1488,"InventorySiteId":"VEN","dataAreaId":"hgv","ProductColorId":"","ProductConfigurationId":"","ProductSizeId":"","ProductStyleId":""}</t>
  </si>
  <si>
    <t>{"ItemNumber":"221876","ProductName":"Rbg Champignon 8*400g VF","InventoryWarehouseId":"EP","OnHandQuantity":2528,"TotalAvailableQuantity":520,"AvailableOnHandQuantity":2528,"InventorySiteId":"VEN","dataAreaId":"hgv","ProductColorId":"","ProductConfigurationId":"","ProductSizeId":"","ProductStyleId":""}</t>
  </si>
  <si>
    <t>{"ItemNumber":"221877","ProductName":"Taugé (zakje) 4*250g VF","InventoryWarehouseId":"EP","OnHandQuantity":2656,"TotalAvailableQuantity":-1292,"AvailableOnHandQuantity":2656,"InventorySiteId":"VEN","dataAreaId":"hgv","ProductColorId":"","ProductConfigurationId":"","ProductSizeId":"","ProductStyleId":""}</t>
  </si>
  <si>
    <t>{"ItemNumber":"221878","ProductName":"Taugé (zakje) 8*125g VF","InventoryWarehouseId":"EP","OnHandQuantity":4880,"TotalAvailableQuantity":1376,"AvailableOnHandQuantity":4880,"InventorySiteId":"VEN","dataAreaId":"hgv","ProductColorId":"","ProductConfigurationId":"","ProductSizeId":"","ProductStyleId":""}</t>
  </si>
  <si>
    <t>{"ItemNumber":"221879","ProductName":"Rbg Chinees 4*250g VF","InventoryWarehouseId":"EP","OnHandQuantity":1928,"TotalAvailableQuantity":624,"AvailableOnHandQuantity":1928,"InventorySiteId":"VEN","dataAreaId":"hgv","ProductColorId":"","ProductConfigurationId":"","ProductSizeId":"","ProductStyleId":""}</t>
  </si>
  <si>
    <t>{"ItemNumber":"221880","ProductName":"Rbg Chinees 8*400g VF","InventoryWarehouseId":"EP","OnHandQuantity":3120,"TotalAvailableQuantity":1000,"AvailableOnHandQuantity":3120,"InventorySiteId":"VEN","dataAreaId":"hgv","ProductColorId":"","ProductConfigurationId":"","ProductSizeId":"","ProductStyleId":""}</t>
  </si>
  <si>
    <t>{"ItemNumber":"221881","ProductName":"Rbg Chinees 4*600g VF","InventoryWarehouseId":"EP","OnHandQuantity":1408,"TotalAvailableQuantity":220,"AvailableOnHandQuantity":1408,"InventorySiteId":"VEN","dataAreaId":"hgv","ProductColorId":"","ProductConfigurationId":"","ProductSizeId":"","ProductStyleId":""}</t>
  </si>
  <si>
    <t>{"ItemNumber":"221883","ProductName":"Rbg Italiaans 8*400g VF","InventoryWarehouseId":"EP","OnHandQuantity":6640,"TotalAvailableQuantity":2520,"AvailableOnHandQuantity":6640,"InventorySiteId":"VEN","dataAreaId":"hgv","ProductColorId":"","ProductConfigurationId":"","ProductSizeId":"","ProductStyleId":""}</t>
  </si>
  <si>
    <t>{"ItemNumber":"221884","ProductName":"Rbg Italiaans 4*600g VF","InventoryWarehouseId":"EP","OnHandQuantity":2612,"TotalAvailableQuantity":384,"AvailableOnHandQuantity":2612,"InventorySiteId":"VEN","dataAreaId":"hgv","ProductColorId":"","ProductConfigurationId":"","ProductSizeId":"","ProductStyleId":""}</t>
  </si>
  <si>
    <t>{"ItemNumber":"221885","ProductName":"Champignon kastanje 4*250g VF","InventoryWarehouseId":"EP","OnHandQuantity":2324,"TotalAvailableQuantity":816,"AvailableOnHandQuantity":2324,"InventorySiteId":"VEN","dataAreaId":"hgv","ProductColorId":"","ProductConfigurationId":"","ProductSizeId":"","ProductStyleId":""}</t>
  </si>
  <si>
    <t>{"ItemNumber":"221886","ProductName":"Champignon kastanje 5*125g VF","InventoryWarehouseId":"EP","OnHandQuantity":1790,"TotalAvailableQuantity":640,"AvailableOnHandQuantity":1790,"InventorySiteId":"VEN","dataAreaId":"hgv","ProductColorId":"","ProductConfigurationId":"","ProductSizeId":"","ProductStyleId":""}</t>
  </si>
  <si>
    <t>{"ItemNumber":"221887","ProductName":"Andijvie fijn 4*500g VF","InventoryWarehouseId":"EP","OnHandQuantity":2344,"TotalAvailableQuantity":360,"AvailableOnHandQuantity":2344,"InventorySiteId":"VEN","dataAreaId":"hgv","ProductColorId":"","ProductConfigurationId":"","ProductSizeId":"","ProductStyleId":""}</t>
  </si>
  <si>
    <t>{"ItemNumber":"221888","ProductName":"Andijvie fijn 6*250g VF","InventoryWarehouseId":"EP","OnHandQuantity":3918,"TotalAvailableQuantity":858,"AvailableOnHandQuantity":3918,"InventorySiteId":"VEN","dataAreaId":"hgv","ProductColorId":"","ProductConfigurationId":"","ProductSizeId":"","ProductStyleId":""}</t>
  </si>
  <si>
    <t>{"ItemNumber":"221889","ProductName":"Andijvie 4*400g VF","InventoryWarehouseId":"EP","OnHandQuantity":3428,"TotalAvailableQuantity":616,"AvailableOnHandQuantity":3428,"InventorySiteId":"VEN","dataAreaId":"hgv","ProductColorId":"","ProductConfigurationId":"","ProductSizeId":"","ProductStyleId":""}</t>
  </si>
  <si>
    <t>{"ItemNumber":"221890","ProductName":"Zoete Aardapp. Friet 3*400g VF","InventoryWarehouseId":"EP","OnHandQuantity":123,"TotalAvailableQuantity":366,"AvailableOnHandQuantity":123,"InventorySiteId":"VEN","dataAreaId":"hgv","ProductColorId":"","ProductConfigurationId":"","ProductSizeId":"","ProductStyleId":""}</t>
  </si>
  <si>
    <t>{"ItemNumber":"221891","ProductName":"Uien Rood gesneden 4*150g VF","InventoryWarehouseId":"EP","OnHandQuantity":1424,"TotalAvailableQuantity":68,"AvailableOnHandQuantity":1424,"InventorySiteId":"VEN","dataAreaId":"hgv","ProductColorId":"","ProductConfigurationId":"","ProductSizeId":"","ProductStyleId":""}</t>
  </si>
  <si>
    <t>{"ItemNumber":"221893","ProductName":"Uien gesneden 6*300g VF","InventoryWarehouseId":"EP","OnHandQuantity":3930,"TotalAvailableQuantity":5688,"AvailableOnHandQuantity":3930,"InventorySiteId":"VEN","dataAreaId":"hgv","ProductColorId":"","ProductConfigurationId":"","ProductSizeId":"","ProductStyleId":""}</t>
  </si>
  <si>
    <t>{"ItemNumber":"221895","ProductName":"RBG Fijne mix 2*400g VF","InventoryWarehouseId":"EP","OnHandQuantity":642,"TotalAvailableQuantity":250,"AvailableOnHandQuantity":642,"InventorySiteId":"VEN","dataAreaId":"hgv","ProductColorId":"","ProductConfigurationId":"","ProductSizeId":"","ProductStyleId":""}</t>
  </si>
  <si>
    <t>{"ItemNumber":"221896","ProductName":"Bami zak 6*450g VF","InventoryWarehouseId":"EP","OnHandQuantity":5202,"TotalAvailableQuantity":1386,"AvailableOnHandQuantity":5202,"InventorySiteId":"VEN","dataAreaId":"hgv","ProductColorId":"","ProductConfigurationId":"","ProductSizeId":"","ProductStyleId":""}</t>
  </si>
  <si>
    <t>{"ItemNumber":"221897","ProductName":"Wok Chinees 2*400g VF","InventoryWarehouseId":"EP","OnHandQuantity":424,"TotalAvailableQuantity":120,"AvailableOnHandQuantity":424,"InventorySiteId":"VEN","dataAreaId":"hgv","ProductColorId":"","ProductConfigurationId":"","ProductSizeId":"","ProductStyleId":""}</t>
  </si>
  <si>
    <t>{"ItemNumber":"221898","ProductName":"MTS Kip Pesto 2*400g VF","InventoryWarehouseId":"EP","OnHandQuantity":428,"TotalAvailableQuantity":160,"AvailableOnHandQuantity":428,"InventorySiteId":"VEN","dataAreaId":"hgv","ProductColorId":"","ProductConfigurationId":"","ProductSizeId":"","ProductStyleId":""}</t>
  </si>
  <si>
    <t>{"ItemNumber":"221900","ProductName":"PS Tomaat Bleekselderij Vegan 2*600g","InventoryWarehouseId":"EP","OnHandQuantity":210,"TotalAvailableQuantity":60,"AvailableOnHandQuantity":210,"InventorySiteId":"VEN","dataAreaId":"hgv","ProductColorId":"","ProductConfigurationId":"","ProductSizeId":"","ProductStyleId":""}</t>
  </si>
  <si>
    <t>{"ItemNumber":"221902","ProductName":"Spaghettigroenten 4*400g","InventoryWarehouseId":"EP","OnHandQuantity":312,"TotalAvailableQuantity":-244,"AvailableOnHandQuantity":312,"InventorySiteId":"VEN","dataAreaId":"hgv","ProductColorId":"","ProductConfigurationId":"","ProductSizeId":"","ProductStyleId":""}</t>
  </si>
  <si>
    <t>{"ItemNumber":"221903","ProductName":"Soepgroenten Julienne 4*500g","InventoryWarehouseId":"EP","OnHandQuantity":76,"TotalAvailableQuantity":-88,"AvailableOnHandQuantity":76,"InventorySiteId":"VEN","dataAreaId":"hgv","ProductColorId":"","ProductConfigurationId":"","ProductSizeId":"","ProductStyleId":""}</t>
  </si>
  <si>
    <t>{"ItemNumber":"221904","ProductName":"Rwk Hollands zak 2*150g VF","InventoryWarehouseId":"EP","OnHandQuantity":444,"TotalAvailableQuantity":140,"AvailableOnHandQuantity":444,"InventorySiteId":"VEN","dataAreaId":"hgv","ProductColorId":"","ProductConfigurationId":"","ProductSizeId":"","ProductStyleId":""}</t>
  </si>
  <si>
    <t>{"ItemNumber":"221905","ProductName":"Rwk Komkommer zak 2*150g VF","InventoryWarehouseId":"EP","OnHandQuantity":4,"TotalAvailableQuantity":-366,"AvailableOnHandQuantity":4,"InventorySiteId":"VEN","dataAreaId":"hgv","ProductColorId":"","ProductConfigurationId":"","ProductSizeId":"","ProductStyleId":""}</t>
  </si>
  <si>
    <t>{"ItemNumber":"221906","ProductName":"Rwk Pittig zak 2*150g VF","InventoryWarehouseId":"EP","OnHandQuantity":738,"TotalAvailableQuantity":160,"AvailableOnHandQuantity":738,"InventorySiteId":"VEN","dataAreaId":"hgv","ProductColorId":"","ProductConfigurationId":"","ProductSizeId":"","ProductStyleId":""}</t>
  </si>
  <si>
    <t>{"ItemNumber":"221907","ProductName":"Wortelsalade 4*150g VF","InventoryWarehouseId":"EP","OnHandQuantity":3220,"TotalAvailableQuantity":936,"AvailableOnHandQuantity":3220,"InventorySiteId":"VEN","dataAreaId":"hgv","ProductColorId":"","ProductConfigurationId":"","ProductSizeId":"","ProductStyleId":""}</t>
  </si>
  <si>
    <t>{"ItemNumber":"221908","ProductName":"Wortel julienne 2*300g VF","InventoryWarehouseId":"EP","OnHandQuantity":602,"TotalAvailableQuantity":254,"AvailableOnHandQuantity":602,"InventorySiteId":"VEN","dataAreaId":"hgv","ProductColorId":"","ProductConfigurationId":"","ProductSizeId":"","ProductStyleId":""}</t>
  </si>
  <si>
    <t>{"ItemNumber":"221909","ProductName":"SS Oosters Veggie 2*250g VF","InventoryWarehouseId":"EP","OnHandQuantity":204,"TotalAvailableQuantity":62,"AvailableOnHandQuantity":204,"InventorySiteId":"VEN","dataAreaId":"hgv","ProductColorId":"","ProductConfigurationId":"","ProductSizeId":"","ProductStyleId":""}</t>
  </si>
  <si>
    <t>{"ItemNumber":"221911","ProductName":"SS Hollands 2*275g VF","InventoryWarehouseId":"EP","OnHandQuantity":450,"TotalAvailableQuantity":140,"AvailableOnHandQuantity":450,"InventorySiteId":"VEN","dataAreaId":"hgv","ProductColorId":"","ProductConfigurationId":"","ProductSizeId":"","ProductStyleId":""}</t>
  </si>
  <si>
    <t>{"ItemNumber":"221912","ProductName":"SS Grieks Veggie 2*300g VF","InventoryWarehouseId":"EP","OnHandQuantity":358,"TotalAvailableQuantity":154,"AvailableOnHandQuantity":358,"InventorySiteId":"VEN","dataAreaId":"hgv","ProductColorId":"","ProductConfigurationId":"","ProductSizeId":"","ProductStyleId":""}</t>
  </si>
  <si>
    <t>{"ItemNumber":"221913","ProductName":"SS Rauwkost 6*275g VF","InventoryWarehouseId":"EP","OnHandQuantity":2622,"TotalAvailableQuantity":870,"AvailableOnHandQuantity":2622,"InventorySiteId":"VEN","dataAreaId":"hgv","ProductColorId":"","ProductConfigurationId":"","ProductSizeId":"","ProductStyleId":""}</t>
  </si>
  <si>
    <t>{"ItemNumber":"221914","ProductName":"Sojabonen 2*150g VF","InventoryWarehouseId":"EP","OnHandQuantity":188,"TotalAvailableQuantity":-262,"AvailableOnHandQuantity":188,"InventorySiteId":"VEN","dataAreaId":"hgv","ProductColorId":"","ProductConfigurationId":"","ProductSizeId":"","ProductStyleId":""}</t>
  </si>
  <si>
    <t>{"ItemNumber":"221915","ProductName":"Alfalfa 2*100g","InventoryWarehouseId":"EP","OnHandQuantity":256,"TotalAvailableQuantity":278,"AvailableOnHandQuantity":256,"InventorySiteId":"VEN","dataAreaId":"hgv","ProductColorId":"","ProductConfigurationId":"","ProductSizeId":"","ProductStyleId":""}</t>
  </si>
  <si>
    <t>{"ItemNumber":"221916","ProductName":"Kiemmix 2*60g","InventoryWarehouseId":"EP","OnHandQuantity":710,"TotalAvailableQuantity":902,"AvailableOnHandQuantity":710,"InventorySiteId":"VEN","dataAreaId":"hgv","ProductColorId":"","ProductConfigurationId":"","ProductSizeId":"","ProductStyleId":""}</t>
  </si>
  <si>
    <t>{"ItemNumber":"221917","ProductName":"Munt 6*40g","InventoryWarehouseId":"EP","OnHandQuantity":4692,"TotalAvailableQuantity":9954,"AvailableOnHandQuantity":4692,"InventorySiteId":"VEN","dataAreaId":"hgv","ProductColorId":"","ProductConfigurationId":"","ProductSizeId":"","ProductStyleId":""}</t>
  </si>
  <si>
    <t>{"ItemNumber":"221918","ProductName":"Munt 3*85g","InventoryWarehouseId":"EP","OnHandQuantity":1821,"TotalAvailableQuantity":5346,"AvailableOnHandQuantity":1821,"InventorySiteId":"VEN","dataAreaId":"hgv","ProductColorId":"","ProductConfigurationId":"","ProductSizeId":"","ProductStyleId":""}</t>
  </si>
  <si>
    <t>{"ItemNumber":"221919","ProductName":"Koriander 4*40g","InventoryWarehouseId":"EP","OnHandQuantity":2348,"TotalAvailableQuantity":5428,"AvailableOnHandQuantity":2348,"InventorySiteId":"VEN","dataAreaId":"hgv","ProductColorId":"","ProductConfigurationId":"","ProductSizeId":"","ProductStyleId":""}</t>
  </si>
  <si>
    <t>{"ItemNumber":"221920","ProductName":"Salie 2*15g","InventoryWarehouseId":"EP","OnHandQuantity":456,"TotalAvailableQuantity":1006,"AvailableOnHandQuantity":456,"InventorySiteId":"VEN","dataAreaId":"hgv","ProductColorId":"","ProductConfigurationId":"","ProductSizeId":"","ProductStyleId":""}</t>
  </si>
  <si>
    <t>{"ItemNumber":"221921","ProductName":"Italiaanse mix 2*20g","InventoryWarehouseId":"EP","OnHandQuantity":720,"TotalAvailableQuantity":1772,"AvailableOnHandQuantity":720,"InventorySiteId":"VEN","dataAreaId":"hgv","ProductColorId":"","ProductConfigurationId":"","ProductSizeId":"","ProductStyleId":""}</t>
  </si>
  <si>
    <t>{"ItemNumber":"221922","ProductName":"Selderij 8*40g","InventoryWarehouseId":"EP","OnHandQuantity":4064,"TotalAvailableQuantity":8472,"AvailableOnHandQuantity":4064,"InventorySiteId":"VEN","dataAreaId":"hgv","ProductColorId":"","ProductConfigurationId":"","ProductSizeId":"","ProductStyleId":""}</t>
  </si>
  <si>
    <t>{"ItemNumber":"221923","ProductName":"Peterselie 8*40g","InventoryWarehouseId":"EP","OnHandQuantity":3008,"TotalAvailableQuantity":6888,"AvailableOnHandQuantity":3008,"InventorySiteId":"VEN","dataAreaId":"hgv","ProductColorId":"","ProductConfigurationId":"","ProductSizeId":"","ProductStyleId":""}</t>
  </si>
  <si>
    <t>{"ItemNumber":"221924","ProductName":"Bieslook 4*20g","InventoryWarehouseId":"EP","OnHandQuantity":2836,"TotalAvailableQuantity":6160,"AvailableOnHandQuantity":2836,"InventorySiteId":"VEN","dataAreaId":"hgv","ProductColorId":"","ProductConfigurationId":"","ProductSizeId":"","ProductStyleId":""}</t>
  </si>
  <si>
    <t>{"ItemNumber":"221925","ProductName":"Koriander 4*15g","InventoryWarehouseId":"EP","OnHandQuantity":3668,"TotalAvailableQuantity":8976,"AvailableOnHandQuantity":3668,"InventorySiteId":"VEN","dataAreaId":"hgv","ProductColorId":"","ProductConfigurationId":"","ProductSizeId":"","ProductStyleId":""}</t>
  </si>
  <si>
    <t>{"ItemNumber":"221926","ProductName":"Rozemarijn 2*15g","InventoryWarehouseId":"EP","OnHandQuantity":1478,"TotalAvailableQuantity":3362,"AvailableOnHandQuantity":1478,"InventorySiteId":"VEN","dataAreaId":"hgv","ProductColorId":"","ProductConfigurationId":"","ProductSizeId":"","ProductStyleId":""}</t>
  </si>
  <si>
    <t>{"ItemNumber":"221927","ProductName":"Oregano 2*15g","InventoryWarehouseId":"EP","OnHandQuantity":364,"TotalAvailableQuantity":752,"AvailableOnHandQuantity":364,"InventorySiteId":"VEN","dataAreaId":"hgv","ProductColorId":"","ProductConfigurationId":"","ProductSizeId":"","ProductStyleId":""}</t>
  </si>
  <si>
    <t>{"ItemNumber":"221928","ProductName":"Platte Peterselie 4*15g","InventoryWarehouseId":"EP","OnHandQuantity":4180,"TotalAvailableQuantity":10056,"AvailableOnHandQuantity":4180,"InventorySiteId":"VEN","dataAreaId":"hgv","ProductColorId":"","ProductConfigurationId":"","ProductSizeId":"","ProductStyleId":""}</t>
  </si>
  <si>
    <t>{"ItemNumber":"221929","ProductName":"Platte peterselie 2*40g","InventoryWarehouseId":"EP","OnHandQuantity":2774,"TotalAvailableQuantity":6896,"AvailableOnHandQuantity":2774,"InventorySiteId":"VEN","dataAreaId":"hgv","ProductColorId":"","ProductConfigurationId":"","ProductSizeId":"","ProductStyleId":""}</t>
  </si>
  <si>
    <t>{"ItemNumber":"221930","ProductName":"Dille 3*15g","InventoryWarehouseId":"EP","OnHandQuantity":2862,"TotalAvailableQuantity":5619,"AvailableOnHandQuantity":2862,"InventorySiteId":"VEN","dataAreaId":"hgv","ProductColorId":"","ProductConfigurationId":"","ProductSizeId":"","ProductStyleId":""}</t>
  </si>
  <si>
    <t>{"ItemNumber":"221931","ProductName":"Tijm 3*15g","InventoryWarehouseId":"EP","OnHandQuantity":1986,"TotalAvailableQuantity":4815,"AvailableOnHandQuantity":1986,"InventorySiteId":"VEN","dataAreaId":"hgv","ProductColorId":"","ProductConfigurationId":"","ProductSizeId":"","ProductStyleId":""}</t>
  </si>
  <si>
    <t>{"ItemNumber":"221932","ProductName":"Bavarois Aardbeien Aardbei 4*110g","InventoryWarehouseId":"EP","OnHandQuantity":1780,"TotalAvailableQuantity":2156,"AvailableOnHandQuantity":1780,"InventorySiteId":"VEN","dataAreaId":"hgv","ProductColorId":"","ProductConfigurationId":"","ProductSizeId":"","ProductStyleId":""}</t>
  </si>
  <si>
    <t>{"ItemNumber":"221933","ProductName":"Bavarois Frambozen Roodfruit 4*110g","InventoryWarehouseId":"EP","OnHandQuantity":1260,"TotalAvailableQuantity":1592,"AvailableOnHandQuantity":1260,"InventorySiteId":"VEN","dataAreaId":"hgv","ProductColorId":"","ProductConfigurationId":"","ProductSizeId":"","ProductStyleId":""}</t>
  </si>
  <si>
    <t>{"ItemNumber":"221935","ProductName":"Luchtige Yoghurt Rode vruchten 4*80g","InventoryWarehouseId":"EP","OnHandQuantity":492,"TotalAvailableQuantity":632,"AvailableOnHandQuantity":492,"InventorySiteId":"VEN","dataAreaId":"hgv","ProductColorId":"","ProductConfigurationId":"","ProductSizeId":"","ProductStyleId":""}</t>
  </si>
  <si>
    <t>{"ItemNumber":"221936","ProductName":"IJsbergsla fijn 4*200g VF","InventoryWarehouseId":"EP","OnHandQuantity":8956,"TotalAvailableQuantity":3884,"AvailableOnHandQuantity":8956,"InventorySiteId":"VEN","dataAreaId":"hgv","ProductColorId":"","ProductConfigurationId":"","ProductSizeId":"","ProductStyleId":""}</t>
  </si>
  <si>
    <t>{"ItemNumber":"221937","ProductName":"Soepgr Fijn 8*250g VF","InventoryWarehouseId":"EP","OnHandQuantity":5424,"TotalAvailableQuantity":1736,"AvailableOnHandQuantity":5424,"InventorySiteId":"VEN","dataAreaId":"hgv","ProductColorId":"","ProductConfigurationId":"","ProductSizeId":"","ProductStyleId":""}</t>
  </si>
  <si>
    <t>{"ItemNumber":"221938","ProductName":"Basis Soepgroenten 8*400g VF","InventoryWarehouseId":"EP","OnHandQuantity":5560,"TotalAvailableQuantity":816,"AvailableOnHandQuantity":5560,"InventorySiteId":"VEN","dataAreaId":"hgv","ProductColorId":"","ProductConfigurationId":"","ProductSizeId":"","ProductStyleId":""}</t>
  </si>
  <si>
    <t>{"ItemNumber":"221939","ProductName":"Soepgr Fijn 8*400g VF","InventoryWarehouseId":"EP","OnHandQuantity":3256,"TotalAvailableQuantity":384,"AvailableOnHandQuantity":3256,"InventorySiteId":"VEN","dataAreaId":"hgv","ProductColorId":"","ProductConfigurationId":"","ProductSizeId":"","ProductStyleId":""}</t>
  </si>
  <si>
    <t>{"ItemNumber":"221940","ProductName":"Boerensoep 4*400g VF","InventoryWarehouseId":"EP","OnHandQuantity":2880,"TotalAvailableQuantity":1044,"AvailableOnHandQuantity":2880,"InventorySiteId":"VEN","dataAreaId":"hgv","ProductColorId":"","ProductConfigurationId":"","ProductSizeId":"","ProductStyleId":""}</t>
  </si>
  <si>
    <t>{"ItemNumber":"221941","ProductName":"IJsbergsla fijn 8*100g VF","InventoryWarehouseId":"EP","OnHandQuantity":19504,"TotalAvailableQuantity":24264,"AvailableOnHandQuantity":19504,"InventorySiteId":"VEN","dataAreaId":"hgv","ProductColorId":"","ProductConfigurationId":"","ProductSizeId":"","ProductStyleId":""}</t>
  </si>
  <si>
    <t>{"ItemNumber":"221942","ProductName":"Salade Gemengd 4*150g VF","InventoryWarehouseId":"EP","OnHandQuantity":460,"TotalAvailableQuantity":-200,"AvailableOnHandQuantity":460,"InventorySiteId":"VEN","dataAreaId":"hgv","ProductColorId":"","ProductConfigurationId":"","ProductSizeId":"","ProductStyleId":""}</t>
  </si>
  <si>
    <t>{"ItemNumber":"221943","ProductName":"Botersla 4*100g VF","InventoryWarehouseId":"EP","OnHandQuantity":744,"TotalAvailableQuantity":-120,"AvailableOnHandQuantity":744,"InventorySiteId":"VEN","dataAreaId":"hgv","ProductColorId":"","ProductConfigurationId":"","ProductSizeId":"","ProductStyleId":""}</t>
  </si>
  <si>
    <t>{"ItemNumber":"221944","ProductName":"Eikenbladsla melange 4*100g VF","InventoryWarehouseId":"EP","OnHandQuantity":532,"TotalAvailableQuantity":-68,"AvailableOnHandQuantity":532,"InventorySiteId":"VEN","dataAreaId":"hgv","ProductColorId":"","ProductConfigurationId":"","ProductSizeId":"","ProductStyleId":""}</t>
  </si>
  <si>
    <t>{"ItemNumber":"221945","ProductName":"Eikenbladsla melange 4*200g VF","InventoryWarehouseId":"EP","OnHandQuantity":316,"TotalAvailableQuantity":164,"AvailableOnHandQuantity":316,"InventorySiteId":"VEN","dataAreaId":"hgv","ProductColorId":"","ProductConfigurationId":"","ProductSizeId":"","ProductStyleId":""}</t>
  </si>
  <si>
    <t>{"ItemNumber":"221946","ProductName":"IJsberg Veldsla 4*200g VF","InventoryWarehouseId":"EP","OnHandQuantity":1140,"TotalAvailableQuantity":236,"AvailableOnHandQuantity":1140,"InventorySiteId":"VEN","dataAreaId":"hgv","ProductColorId":"","ProductConfigurationId":"","ProductSizeId":"","ProductStyleId":""}</t>
  </si>
  <si>
    <t>{"ItemNumber":"221947","ProductName":"Fijnproeverssla 4*150g VF","InventoryWarehouseId":"EP","OnHandQuantity":980,"TotalAvailableQuantity":368,"AvailableOnHandQuantity":980,"InventorySiteId":"VEN","dataAreaId":"hgv","ProductColorId":"","ProductConfigurationId":"","ProductSizeId":"","ProductStyleId":""}</t>
  </si>
  <si>
    <t>{"ItemNumber":"221948","ProductName":"Romaine sla 3*200g VF","InventoryWarehouseId":"EP","OnHandQuantity":1200,"TotalAvailableQuantity":459,"AvailableOnHandQuantity":1200,"InventorySiteId":"VEN","dataAreaId":"hgv","ProductColorId":"","ProductConfigurationId":"","ProductSizeId":"","ProductStyleId":""}</t>
  </si>
  <si>
    <t>{"ItemNumber":"221949","ProductName":"Salademix 6*300g VF","InventoryWarehouseId":"EP","OnHandQuantity":2070,"TotalAvailableQuantity":450,"AvailableOnHandQuantity":2070,"InventorySiteId":"VEN","dataAreaId":"hgv","ProductColorId":"","ProductConfigurationId":"","ProductSizeId":"","ProductStyleId":""}</t>
  </si>
  <si>
    <t>{"ItemNumber":"221950","ProductName":"IJsberg gemengd 4*400g VF","InventoryWarehouseId":"EP","OnHandQuantity":1688,"TotalAvailableQuantity":500,"AvailableOnHandQuantity":1688,"InventorySiteId":"VEN","dataAreaId":"hgv","ProductColorId":"","ProductConfigurationId":"","ProductSizeId":"","ProductStyleId":""}</t>
  </si>
  <si>
    <t>{"ItemNumber":"221951","ProductName":"VP Groentesoep 2*900g","InventoryWarehouseId":"EP","OnHandQuantity":778,"TotalAvailableQuantity":1074,"AvailableOnHandQuantity":778,"InventorySiteId":"VEN","dataAreaId":"hgv","ProductColorId":"","ProductConfigurationId":"","ProductSizeId":"","ProductStyleId":""}</t>
  </si>
  <si>
    <t>{"ItemNumber":"221952","ProductName":"Gemengde IJsbergsla 8*200g VF","InventoryWarehouseId":"EP","OnHandQuantity":5064,"TotalAvailableQuantity":512,"AvailableOnHandQuantity":5064,"InventorySiteId":"VEN","dataAreaId":"hgv","ProductColorId":"","ProductConfigurationId":"","ProductSizeId":"","ProductStyleId":""}</t>
  </si>
  <si>
    <t>{"ItemNumber":"221953","ProductName":"IJsberg Naturel 5*400g VF","InventoryWarehouseId":"EP","OnHandQuantity":4655,"TotalAvailableQuantity":2145,"AvailableOnHandQuantity":4655,"InventorySiteId":"VEN","dataAreaId":"hgv","ProductColorId":"","ProductConfigurationId":"","ProductSizeId":"","ProductStyleId":""}</t>
  </si>
  <si>
    <t>{"ItemNumber":"221954","ProductName":"IJsberg Naturel 10*200g VF","InventoryWarehouseId":"EP","OnHandQuantity":17150,"TotalAvailableQuantity":22120,"AvailableOnHandQuantity":17150,"InventorySiteId":"VEN","dataAreaId":"hgv","ProductColorId":"","ProductConfigurationId":"","ProductSizeId":"","ProductStyleId":""}</t>
  </si>
  <si>
    <t>{"ItemNumber":"221955","ProductName":"Wortelen 8*500g VF","InventoryWarehouseId":"EP","OnHandQuantity":2632,"TotalAvailableQuantity":544,"AvailableOnHandQuantity":2632,"InventorySiteId":"VEN","dataAreaId":"hgv","ProductColorId":"","ProductConfigurationId":"","ProductSizeId":"","ProductStyleId":""}</t>
  </si>
  <si>
    <t>{"ItemNumber":"221956","ProductName":"Geschrapte wortelen 8*500g VF","InventoryWarehouseId":"EP","OnHandQuantity":3344,"TotalAvailableQuantity":1344,"AvailableOnHandQuantity":3344,"InventorySiteId":"VEN","dataAreaId":"hgv","ProductColorId":"","ProductConfigurationId":"","ProductSizeId":"","ProductStyleId":""}</t>
  </si>
  <si>
    <t>{"ItemNumber":"221958","ProductName":"Snack worteltjes 10*150g VF","InventoryWarehouseId":"EP","OnHandQuantity":3010,"TotalAvailableQuantity":630,"AvailableOnHandQuantity":3010,"InventorySiteId":"VEN","dataAreaId":"hgv","ProductColorId":"","ProductConfigurationId":"","ProductSizeId":"","ProductStyleId":""}</t>
  </si>
  <si>
    <t>{"ItemNumber":"221960","ProductName":"Spruiten 4*200g VF","InventoryWarehouseId":"EP","OnHandQuantity":1424,"TotalAvailableQuantity":256,"AvailableOnHandQuantity":1424,"InventorySiteId":"VEN","dataAreaId":"hgv","ProductColorId":"","ProductConfigurationId":"","ProductSizeId":"","ProductStyleId":""}</t>
  </si>
  <si>
    <t>{"ItemNumber":"221961","ProductName":"Snack worteltjes 12*300g VF","InventoryWarehouseId":"EP","OnHandQuantity":7680,"TotalAvailableQuantity":2808,"AvailableOnHandQuantity":7680,"InventorySiteId":"VEN","dataAreaId":"hgv","ProductColorId":"","ProductConfigurationId":"","ProductSizeId":"","ProductStyleId":""}</t>
  </si>
  <si>
    <t>{"ItemNumber":"221962","ProductName":"Luchtige Yoghurt Blauwe Bes Mango 4*80","InventoryWarehouseId":"EP","OnHandQuantity":316,"TotalAvailableQuantity":420,"AvailableOnHandQuantity":316,"InventorySiteId":"VEN","dataAreaId":"hgv","ProductColorId":"","ProductConfigurationId":"","ProductSizeId":"","ProductStyleId":""}</t>
  </si>
  <si>
    <t>{"ItemNumber":"221963","ProductName":"Hutsepot 4*500g","InventoryWarehouseId":"EP","OnHandQuantity":92,"TotalAvailableQuantity":-120,"AvailableOnHandQuantity":92,"InventorySiteId":"VEN","dataAreaId":"hgv","ProductColorId":"","ProductConfigurationId":"","ProductSizeId":"","ProductStyleId":""}</t>
  </si>
  <si>
    <t>{"ItemNumber":"221964","ProductName":"Erwtensoepgr 2*500g VF","InventoryWarehouseId":"EP","OnHandQuantity":1948,"TotalAvailableQuantity":524,"AvailableOnHandQuantity":1748,"InventorySiteId":"VEN","dataAreaId":"hgv","ProductColorId":"","ProductConfigurationId":"","ProductSizeId":"","ProductStyleId":""}</t>
  </si>
  <si>
    <t>{"ItemNumber":"221965","ProductName":"Bio Boerenkool 2*150g VF","InventoryWarehouseId":"EP","OnHandQuantity":278,"TotalAvailableQuantity":10,"AvailableOnHandQuantity":278,"InventorySiteId":"VEN","dataAreaId":"hgv","ProductColorId":"","ProductConfigurationId":"","ProductSizeId":"","ProductStyleId":""}</t>
  </si>
  <si>
    <t>{"ItemNumber":"221966","ProductName":"VP Mexicaanse tortillataart 2*1160g","InventoryWarehouseId":"EP","OnHandQuantity":240,"TotalAvailableQuantity":350,"AvailableOnHandQuantity":240,"InventorySiteId":"VEN","dataAreaId":"hgv","ProductColorId":"","ProductConfigurationId":"","ProductSizeId":"","ProductStyleId":""}</t>
  </si>
  <si>
    <t>{"ItemNumber":"221967","ProductName":"VP Thaise wortelsoep 2*1110g","InventoryWarehouseId":"EP","OnHandQuantity":334,"TotalAvailableQuantity":418,"AvailableOnHandQuantity":334,"InventorySiteId":"VEN","dataAreaId":"hgv","ProductColorId":"","ProductConfigurationId":"","ProductSizeId":"","ProductStyleId":""}</t>
  </si>
  <si>
    <t>{"ItemNumber":"221969","ProductName":"VP Shepherd's Pie 2*1080g","InventoryWarehouseId":"EP","OnHandQuantity":296,"TotalAvailableQuantity":422,"AvailableOnHandQuantity":296,"InventorySiteId":"VEN","dataAreaId":"hgv","ProductColorId":"","ProductConfigurationId":"","ProductSizeId":"","ProductStyleId":""}</t>
  </si>
  <si>
    <t>{"ItemNumber":"221970","ProductName":"Hutspot 6*1kg VF","InventoryWarehouseId":"EP","OnHandQuantity":2916,"TotalAvailableQuantity":768,"AvailableOnHandQuantity":2916,"InventorySiteId":"VEN","dataAreaId":"hgv","ProductColorId":"","ProductConfigurationId":"","ProductSizeId":"","ProductStyleId":""}</t>
  </si>
  <si>
    <t>{"ItemNumber":"221971","ProductName":"Koolraap 4*400g VF","InventoryWarehouseId":"EP","OnHandQuantity":892,"TotalAvailableQuantity":168,"AvailableOnHandQuantity":892,"InventorySiteId":"VEN","dataAreaId":"hgv","ProductColorId":"","ProductConfigurationId":"","ProductSizeId":"","ProductStyleId":""}</t>
  </si>
  <si>
    <t>{"ItemNumber":"221972","ProductName":"Boerenkool Fijn 5*500g VF","InventoryWarehouseId":"EP","OnHandQuantity":4410,"TotalAvailableQuantity":735,"AvailableOnHandQuantity":4410,"InventorySiteId":"VEN","dataAreaId":"hgv","ProductColorId":"","ProductConfigurationId":"","ProductSizeId":"","ProductStyleId":""}</t>
  </si>
  <si>
    <t>{"ItemNumber":"221973","ProductName":"Boerenkool 4*300g VF","InventoryWarehouseId":"EP","OnHandQuantity":6420,"TotalAvailableQuantity":3576,"AvailableOnHandQuantity":6420,"InventorySiteId":"VEN","dataAreaId":"hgv","ProductColorId":"","ProductConfigurationId":"","ProductSizeId":"","ProductStyleId":""}</t>
  </si>
  <si>
    <t>{"ItemNumber":"221974","ProductName":"Boerenkool Grof 4*150g VF","InventoryWarehouseId":"EP","OnHandQuantity":496,"TotalAvailableQuantity":88,"AvailableOnHandQuantity":496,"InventorySiteId":"VEN","dataAreaId":"hgv","ProductColorId":"","ProductConfigurationId":"","ProductSizeId":"","ProductStyleId":""}</t>
  </si>
  <si>
    <t>{"ItemNumber":"221975","ProductName":"Verse Zuurkool 6*500 VF","InventoryWarehouseId":"EP","OnHandQuantity":2472,"TotalAvailableQuantity":11022,"AvailableOnHandQuantity":2472,"InventorySiteId":"VEN","dataAreaId":"hgv","ProductColorId":"","ProductConfigurationId":"","ProductSizeId":"","ProductStyleId":""}</t>
  </si>
  <si>
    <t>{"ItemNumber":"221976","ProductName":"Verse Zuurkool 8*250 VF","InventoryWarehouseId":"EP","OnHandQuantity":1616,"TotalAvailableQuantity":5536,"AvailableOnHandQuantity":1616,"InventorySiteId":"VEN","dataAreaId":"hgv","ProductColorId":"","ProductConfigurationId":"","ProductSizeId":"","ProductStyleId":""}</t>
  </si>
  <si>
    <t>{"ItemNumber":"221980","ProductName":"SNS Pompoen 2*200g","InventoryWarehouseId":"EP","OnHandQuantity":126,"TotalAvailableQuantity":24,"AvailableOnHandQuantity":126,"InventorySiteId":"VEN","dataAreaId":"hgv","ProductColorId":"","ProductConfigurationId":"","ProductSizeId":"","ProductStyleId":""}</t>
  </si>
  <si>
    <t>{"ItemNumber":"221981","ProductName":"SS Heksenkaas 2*215g","InventoryWarehouseId":"EP","OnHandQuantity":476,"TotalAvailableQuantity":188,"AvailableOnHandQuantity":476,"InventorySiteId":"VEN","dataAreaId":"hgv","ProductColorId":"","ProductConfigurationId":"","ProductSizeId":"","ProductStyleId":""}</t>
  </si>
  <si>
    <t>{"ItemNumber":"221982","ProductName":"PS Rode Paprika 2*460g","InventoryWarehouseId":"EP","OnHandQuantity":122,"TotalAvailableQuantity":44,"AvailableOnHandQuantity":122,"InventorySiteId":"VEN","dataAreaId":"hgv","ProductColorId":"","ProductConfigurationId":"","ProductSizeId":"","ProductStyleId":""}</t>
  </si>
  <si>
    <t>{"ItemNumber":"221983","ProductName":"Gourmetschotel champ, r.papr, r.ui, courg. 4-vaks 4*250g","InventoryWarehouseId":"EP","OnHandQuantity":0,"TotalAvailableQuantity":0,"AvailableOnHandQuantity":0,"InventorySiteId":"VEN","dataAreaId":"hgv","ProductColorId":"","ProductConfigurationId":"","ProductSizeId":"","ProductStyleId":""}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</si>
  <si>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{"ItemNumber":"221988","ProductName":"OG Kriel, spruit, pompoen 2*600g VF","InventoryWarehouseId":"EP","OnHandQuantity":208,"TotalAvailableQuantity":-86,"AvailableOnHandQuantity":208,"InventorySiteId":"VEN","dataAreaId":"hgv","ProductColorId":"","ProductConfigurationId":"","ProductSizeId":"","ProductStyleId":""}</t>
  </si>
  <si>
    <t>{"ItemNumber":"221990","ProductName":"OG Courgette Paprika Wortel 2*600g","InventoryWarehouseId":"EP","OnHandQuantity":552,"TotalAvailableQuantity":10,"AvailableOnHandQuantity":552,"InventorySiteId":"VEN","dataAreaId":"hgv","ProductColorId":"","ProductConfigurationId":"","ProductSizeId":"","ProductStyleId":""}</t>
  </si>
  <si>
    <t>{"ItemNumber":"221991","ProductName":"VP Butter chicken 2*1220g","InventoryWarehouseId":"EP","OnHandQuantity":554,"TotalAvailableQuantity":716,"AvailableOnHandQuantity":554,"InventorySiteId":"VEN","dataAreaId":"hgv","ProductColorId":"","ProductConfigurationId":"","ProductSizeId":"","ProductStyleId":""}</t>
  </si>
  <si>
    <t>{"ItemNumber":"221993","ProductName":"VP Mex kip limoensoep 2*980g","InventoryWarehouseId":"EP","OnHandQuantity":190,"TotalAvailableQuantity":248,"AvailableOnHandQuantity":190,"InventorySiteId":"VEN","dataAreaId":"hgv","ProductColorId":"","ProductConfigurationId":"","ProductSizeId":"","ProductStyleId":""}</t>
  </si>
  <si>
    <t>{"ItemNumber":"221994","ProductName":"VP Pasta tonijn 2*1090g","InventoryWarehouseId":"EP","OnHandQuantity":334,"TotalAvailableQuantity":472,"AvailableOnHandQuantity":334,"InventorySiteId":"VEN","dataAreaId":"hgv","ProductColorId":"","ProductConfigurationId":"","ProductSizeId":"","ProductStyleId":""}</t>
  </si>
  <si>
    <t>{"ItemNumber":"221995","ProductName":"VP Kip Hawai 2*930g","InventoryWarehouseId":"EP","OnHandQuantity":328,"TotalAvailableQuantity":450,"AvailableOnHandQuantity":328,"InventorySiteId":"VEN","dataAreaId":"hgv","ProductColorId":"","ProductConfigurationId":"","ProductSizeId":"","ProductStyleId":""}</t>
  </si>
  <si>
    <t>{"ItemNumber":"221996","ProductName":"VP Traybake gnocchi chorizo 2*880g","InventoryWarehouseId":"EP","OnHandQuantity":166,"TotalAvailableQuantity":256,"AvailableOnHandQuantity":166,"InventorySiteId":"VEN","dataAreaId":"hgv","ProductColorId":"","ProductConfigurationId":"","ProductSizeId":"","ProductStyleId":""}</t>
  </si>
  <si>
    <t>{"ItemNumber":"221999","ProductName":"Eetbare bloemen viooltjes 2*10g","InventoryWarehouseId":"EP","OnHandQuantity":0,"TotalAvailableQuantity":0,"AvailableOnHandQuantity":0,"InventorySiteId":"VEN","dataAreaId":"hgv","ProductColorId":"","ProductConfigurationId":"","ProductSizeId":"","ProductStyleId":""}</t>
  </si>
  <si>
    <t>{"ItemNumber":"222000","ProductName":"Dragon 2*15g","InventoryWarehouseId":"EP","OnHandQuantity":0,"TotalAvailableQuantity":0,"AvailableOnHandQuantity":0,"InventorySiteId":"VEN","dataAreaId":"hgv","ProductColorId":"","ProductConfigurationId":"","ProductSizeId":"","ProductStyleId":""}</t>
  </si>
  <si>
    <t>{"ItemNumber":"222001","ProductName":"PS Pompoen Wortel 2*500g Vegan","InventoryWarehouseId":"EP","OnHandQuantity":362,"TotalAvailableQuantity":140,"AvailableOnHandQuantity":362,"InventorySiteId":"VEN","dataAreaId":"hgv","ProductColorId":"","ProductConfigurationId":"","ProductSizeId":"","ProductStyleId":""}</t>
  </si>
  <si>
    <t>{"ItemNumber":"222002","ProductName":"VP Snelle hutspot 2*1650g","InventoryWarehouseId":"EP","OnHandQuantity":290,"TotalAvailableQuantity":370,"AvailableOnHandQuantity":290,"InventorySiteId":"VEN","dataAreaId":"hgv","ProductColorId":"","ProductConfigurationId":"","ProductSizeId":"","ProductStyleId":""}</t>
  </si>
  <si>
    <t>{"ItemNumber":"222003","ProductName":"VP Snelle witlof ovenschotel 2*980g","InventoryWarehouseId":"EP","OnHandQuantity":340,"TotalAvailableQuantity":446,"AvailableOnHandQuantity":340,"InventorySiteId":"VEN","dataAreaId":"hgv","ProductColorId":"","ProductConfigurationId":"","ProductSizeId":"","ProductStyleId":""}</t>
  </si>
  <si>
    <t>{"ItemNumber":"222008","ProductName":"VP Tomatenrisotto 2*1000g","InventoryWarehouseId":"EP","OnHandQuantity":278,"TotalAvailableQuantity":372,"AvailableOnHandQuantity":278,"InventorySiteId":"VEN","dataAreaId":"hgv","ProductColorId":"","ProductConfigurationId":"","ProductSizeId":"","ProductStyleId":""}</t>
  </si>
  <si>
    <t>{"ItemNumber":"222009","ProductName":"VP Traybake met vissticks 2*920g","InventoryWarehouseId":"EP","OnHandQuantity":268,"TotalAvailableQuantity":322,"AvailableOnHandQuantity":268,"InventorySiteId":"VEN","dataAreaId":"hgv","ProductColorId":"","ProductConfigurationId":"","ProductSizeId":"","ProductStyleId":""}</t>
  </si>
  <si>
    <t>{"ItemNumber":"222011","ProductName":"Bio Biet geraspt 4*400g","InventoryWarehouseId":"EP","OnHandQuantity":2280,"TotalAvailableQuantity":1852,"AvailableOnHandQuantity":2280,"InventorySiteId":"VEN","dataAreaId":"hgv","ProductColorId":"","ProductConfigurationId":"","ProductSizeId":"","ProductStyleId":""}</t>
  </si>
  <si>
    <t>{"ItemNumber":"222014","ProductName":"Hutspot 10*500g","InventoryWarehouseId":"EP","OnHandQuantity":4640,"TotalAvailableQuantity":1590,"AvailableOnHandQuantity":4640,"InventorySiteId":"VEN","dataAreaId":"hgv","ProductColorId":"","ProductConfigurationId":"","ProductSizeId":"","ProductStyleId":""}</t>
  </si>
  <si>
    <t>{"ItemNumber":"222016","ProductName":"Pokebowl Garnaal 2*400g","InventoryWarehouseId":"EP","OnHandQuantity":186,"TotalAvailableQuantity":-304,"AvailableOnHandQuantity":186,"InventorySiteId":"VEN","dataAreaId":"hgv","ProductColorId":"","ProductConfigurationId":"","ProductSizeId":"","ProductStyleId":""}</t>
  </si>
  <si>
    <t>{"ItemNumber":"222017","ProductName":"Pokebowl Kip Teriyaki BL1-K1 2*400g","InventoryWarehouseId":"EP","OnHandQuantity":368,"TotalAvailableQuantity":-524,"AvailableOnHandQuantity":368,"InventorySiteId":"VEN","dataAreaId":"hgv","ProductColorId":"","ProductConfigurationId":"","ProductSizeId":"","ProductStyleId":""}</t>
  </si>
  <si>
    <t>{"ItemNumber":"222018","ProductName":"Pokebowl Tonijn 2*400g","InventoryWarehouseId":"EP","OnHandQuantity":118,"TotalAvailableQuantity":-154,"AvailableOnHandQuantity":118,"InventorySiteId":"VEN","dataAreaId":"hgv","ProductColorId":"","ProductConfigurationId":"","ProductSizeId":"","ProductStyleId":""}</t>
  </si>
  <si>
    <t>{"ItemNumber":"222019","ProductName":"Pokebowl Zalm 2*400g","InventoryWarehouseId":"EP","OnHandQuantity":348,"TotalAvailableQuantity":-490,"AvailableOnHandQuantity":348,"InventorySiteId":"VEN","dataAreaId":"hgv","ProductColorId":"","ProductConfigurationId":"","ProductSizeId":"","ProductStyleId":""}</t>
  </si>
  <si>
    <t>{"ItemNumber":"222020","ProductName":"Fruitmix Sinaasappel Rode appel Ananas 4*175g","InventoryWarehouseId":"EP","OnHandQuantity":432,"TotalAvailableQuantity":536,"AvailableOnHandQuantity":432,"InventorySiteId":"VEN","dataAreaId":"hgv","ProductColorId":"","ProductConfigurationId":"","ProductSizeId":"","ProductStyleId":""}</t>
  </si>
  <si>
    <t>{"ItemNumber":"222021","ProductName":"Fruitschaal Ananas Cantaloupe Appel Honing mln Druif 2*400g","InventoryWarehouseId":"EP","OnHandQuantity":340,"TotalAvailableQuantity":534,"AvailableOnHandQuantity":340,"InventorySiteId":"VEN","dataAreaId":"hgv","ProductColorId":"","ProductConfigurationId":"","ProductSizeId":"","ProductStyleId":""}</t>
  </si>
  <si>
    <t>{"ItemNumber":"222022","ProductName":"Fruitschaal Ananas Honingmeloen Rode appel Blauwe bes 2*400g","InventoryWarehouseId":"EP","OnHandQuantity":130,"TotalAvailableQuantity":180,"AvailableOnHandQuantity":130,"InventorySiteId":"VEN","dataAreaId":"hgv","ProductColorId":"","ProductConfigurationId":"","ProductSizeId":"","ProductStyleId":""}</t>
  </si>
  <si>
    <t>{"ItemNumber":"222023","ProductName":"Fruitmix Ananas Mango Rode appel Druif 4*225g","InventoryWarehouseId":"EP","OnHandQuantity":508,"TotalAvailableQuantity":688,"AvailableOnHandQuantity":508,"InventorySiteId":"VEN","dataAreaId":"hgv","ProductColorId":"","ProductConfigurationId":"","ProductSizeId":"","ProductStyleId":""}</t>
  </si>
  <si>
    <t>{"ItemNumber":"222024","ProductName":"Fruitmix Cantaloupe Galia Rode appel Kiwi 4*225g","InventoryWarehouseId":"EP","OnHandQuantity":436,"TotalAvailableQuantity":644,"AvailableOnHandQuantity":436,"InventorySiteId":"VEN","dataAreaId":"hgv","ProductColorId":"","ProductConfigurationId":"","ProductSizeId":"","ProductStyleId":""}</t>
  </si>
  <si>
    <t>{"ItemNumber":"222025","ProductName":"Fruitmix Tropisch 4*175g","InventoryWarehouseId":"EP","OnHandQuantity":1536,"TotalAvailableQuantity":1960,"AvailableOnHandQuantity":1536,"InventorySiteId":"VEN","dataAreaId":"hgv","ProductColorId":"","ProductConfigurationId":"","ProductSizeId":"","ProductStyleId":""}</t>
  </si>
  <si>
    <t>{"ItemNumber":"222026","ProductName":"Sinaasappel 4*150g","InventoryWarehouseId":"EP","OnHandQuantity":476,"TotalAvailableQuantity":652,"AvailableOnHandQuantity":476,"InventorySiteId":"VEN","dataAreaId":"hgv","ProductColorId":"","ProductConfigurationId":"","ProductSizeId":"","ProductStyleId":""}</t>
  </si>
  <si>
    <t>{"ItemNumber":"222027","ProductName":"Fruitmix Peer Cantaloupe Druif 4*175g","InventoryWarehouseId":"EP","OnHandQuantity":0,"TotalAvailableQuantity":0,"AvailableOnHandQuantity":0,"InventorySiteId":"VEN","dataAreaId":"hgv","ProductColorId":"","ProductConfigurationId":"","ProductSizeId":"","ProductStyleId":""}</t>
  </si>
  <si>
    <t>{"ItemNumber":"222028","ProductName":"Bio Bieten blokjes 4*200g","InventoryWarehouseId":"EP","OnHandQuantity":1144,"TotalAvailableQuantity":1056,"AvailableOnHandQuantity":1144,"InventorySiteId":"VEN","dataAreaId":"hgv","ProductColorId":"","ProductConfigurationId":"","ProductSizeId":"","ProductStyleId":""}</t>
  </si>
  <si>
    <t>{"ItemNumber":"222029","ProductName":"Spitskool 4*400g VF","InventoryWarehouseId":"EP","OnHandQuantity":1500,"TotalAvailableQuantity":172,"AvailableOnHandQuantity":1500,"InventorySiteId":"VEN","dataAreaId":"hgv","ProductColorId":"","ProductConfigurationId":"","ProductSizeId":"","ProductStyleId":""}</t>
  </si>
  <si>
    <t>{"ItemNumber":"222030","ProductName":"Rbg Italiaans 4*250g VF","InventoryWarehouseId":"EP","OnHandQuantity":2268,"TotalAvailableQuantity":596,"AvailableOnHandQuantity":2268,"InventorySiteId":"VEN","dataAreaId":"hgv","ProductColorId":"","ProductConfigurationId":"","ProductSizeId":"","ProductStyleId":""}</t>
  </si>
  <si>
    <t>{"ItemNumber":"222031","ProductName":"Broccoliroos 3*200g VF","InventoryWarehouseId":"EP","OnHandQuantity":1083,"TotalAvailableQuantity":165,"AvailableOnHandQuantity":1083,"InventorySiteId":"VEN","dataAreaId":"hgv","ProductColorId":"","ProductConfigurationId":"","ProductSizeId":"","ProductStyleId":""}</t>
  </si>
  <si>
    <t>{"ItemNumber":"222032","ProductName":"Uien gesneden 6*250g VF","InventoryWarehouseId":"EP","OnHandQuantity":2958,"TotalAvailableQuantity":732,"AvailableOnHandQuantity":2958,"InventorySiteId":"VEN","dataAreaId":"hgv","ProductColorId":"","ProductConfigurationId":"","ProductSizeId":"","ProductStyleId":""}</t>
  </si>
  <si>
    <t>{"ItemNumber":"222033","ProductName":"Bavarois Passievrucht Mango 4*110g","InventoryWarehouseId":"EP","OnHandQuantity":792,"TotalAvailableQuantity":20192,"AvailableOnHandQuantity":792,"InventorySiteId":"VEN","dataAreaId":"hgv","ProductColorId":"","ProductConfigurationId":"","ProductSizeId":"","ProductStyleId":""}</t>
  </si>
  <si>
    <t>{"ItemNumber":"222034","ProductName":"Pokebowl Spicy Chicken BLK-K1 2*400g","InventoryWarehouseId":"EP","OnHandQuantity":152,"TotalAvailableQuantity":-238,"AvailableOnHandQuantity":152,"InventorySiteId":"VEN","dataAreaId":"hgv","ProductColorId":"","ProductConfigurationId":"","ProductSizeId":"","ProductStyleId":""}</t>
  </si>
  <si>
    <t>{"ItemNumber":"222035","ProductName":"Pokebowl Mango Vegetarisch 2*400g","InventoryWarehouseId":"EP","OnHandQuantity":152,"TotalAvailableQuantity":-286,"AvailableOnHandQuantity":152,"InventorySiteId":"VEN","dataAreaId":"hgv","ProductColorId":"","ProductConfigurationId":"","ProductSizeId":"","ProductStyleId":""}</t>
  </si>
  <si>
    <t>{"ItemNumber":"222036","ProductName":"Geschrapte wortelen 6*300g VF","InventoryWarehouseId":"EP","OnHandQuantity":1440,"TotalAvailableQuantity":384,"AvailableOnHandQuantity":1440,"InventorySiteId":"VEN","dataAreaId":"hgv","ProductColorId":"","ProductConfigurationId":"","ProductSizeId":"","ProductStyleId":""}</t>
  </si>
  <si>
    <t>{"ItemNumber":"222037","ProductName":"MTS Kip Marokkaans BL1-K1 2*450g VF","InventoryWarehouseId":"EP","OnHandQuantity":534,"TotalAvailableQuantity":252,"AvailableOnHandQuantity":534,"InventorySiteId":"VEN","dataAreaId":"hgv","ProductColorId":"","ProductConfigurationId":"","ProductSizeId":"","ProductStyleId":""}</t>
  </si>
  <si>
    <t>{"ItemNumber":"222039","ProductName":"SS Boer UI BL1-V1-Z3 4*295g VF","InventoryWarehouseId":"EP","OnHandQuantity":1700,"TotalAvailableQuantity":372,"AvailableOnHandQuantity":1700,"InventorySiteId":"VEN","dataAreaId":"hgv","ProductColorId":"","ProductConfigurationId":"","ProductSizeId":"","ProductStyleId":""}</t>
  </si>
  <si>
    <t>{"ItemNumber":"222040","ProductName":"Fruittrio Druif Dadel Blauwe bes 2*245g","InventoryWarehouseId":"EP","OnHandQuantity":156,"TotalAvailableQuantity":244,"AvailableOnHandQuantity":156,"InventorySiteId":"VEN","dataAreaId":"hgv","ProductColorId":"","ProductConfigurationId":"","ProductSizeId":"","ProductStyleId":""}</t>
  </si>
  <si>
    <t>{"ItemNumber":"222041","ProductName":"Fruittrio Sinaasappel Rode Grapefruit Mandarijn 2*255g","InventoryWarehouseId":"EP","OnHandQuantity":272,"TotalAvailableQuantity":394,"AvailableOnHandQuantity":272,"InventorySiteId":"VEN","dataAreaId":"hgv","ProductColorId":"","ProductConfigurationId":"","ProductSizeId":"","ProductStyleId":""}</t>
  </si>
  <si>
    <t>{"ItemNumber":"222042","ProductName":"JUMBO'S Groene Pesto 6*90","InventoryWarehouseId":"EP","OnHandQuantity":0,"TotalAvailableQuantity":5160,"AvailableOnHandQuantity":0,"InventorySiteId":"VEN","dataAreaId":"hgv","ProductColorId":"","ProductConfigurationId":"","ProductSizeId":"","ProductStyleId":""}</t>
  </si>
  <si>
    <t>{"ItemNumber":"222043","ProductName":"JUMBO'S Truffelsaus 6*150","InventoryWarehouseId":"EP","OnHandQuantity":0,"TotalAvailableQuantity":2880,"AvailableOnHandQuantity":0,"InventorySiteId":"VEN","dataAreaId":"hgv","ProductColorId":"","ProductConfigurationId":"","ProductSizeId":"","ProductStyleId":""}</t>
  </si>
  <si>
    <t>{"ItemNumber":"222044","ProductName":"JUMBO'S cocktailsaus 6*150","InventoryWarehouseId":"EP","OnHandQuantity":0,"TotalAvailableQuantity":3360,"AvailableOnHandQuantity":0,"InventorySiteId":"VEN","dataAreaId":"hgv","ProductColorId":"","ProductConfigurationId":"","ProductSizeId":"","ProductStyleId":""}</t>
  </si>
  <si>
    <t>{"ItemNumber":"222045","ProductName":"JUMBO'S Knoflooksaus 6*150","InventoryWarehouseId":"EP","OnHandQuantity":0,"TotalAvailableQuantity":4560,"AvailableOnHandQuantity":0,"InventorySiteId":"VEN","dataAreaId":"hgv","ProductColorId":"","ProductConfigurationId":"","ProductSizeId":"","ProductStyleId":""}</t>
  </si>
  <si>
    <t>{"ItemNumber":"222046","ProductName":"JUMBO SOUS-V SHOAR AUBERG 3*200","InventoryWarehouseId":"EP","OnHandQuantity":0,"TotalAvailableQuantity":408,"AvailableOnHandQuantity":0,"InventorySiteId":"VEN","dataAreaId":"hgv","ProductColorId":"","ProductConfigurationId":"","ProductSizeId":"","ProductStyleId":""}</t>
  </si>
  <si>
    <t>{"ItemNumber":"222047","ProductName":"JUMBO SOUS-VIDE MUSHROOM 3*200","InventoryWarehouseId":"EP","OnHandQuantity":0,"TotalAvailableQuantity":120,"AvailableOnHandQuantity":0,"InventorySiteId":"VEN","dataAreaId":"hgv","ProductColorId":"","ProductConfigurationId":"","ProductSizeId":"","ProductStyleId":""}</t>
  </si>
  <si>
    <t>{"ItemNumber":"222048","ProductName":"JUMBO SOUS-V KNOLSE STEAK 3*250","InventoryWarehouseId":"EP","OnHandQuantity":0,"TotalAvailableQuantity":168,"AvailableOnHandQuantity":0,"InventorySiteId":"VEN","dataAreaId":"hgv","ProductColorId":"","ProductConfigurationId":"","ProductSizeId":"","ProductStyleId":""}</t>
  </si>
  <si>
    <t>{"ItemNumber":"222049","ProductName":"JUMBO SOUS-VIDE GR KERRIE 3*350","InventoryWarehouseId":"EP","OnHandQuantity":0,"TotalAvailableQuantity":168,"AvailableOnHandQuantity":0,"InventorySiteId":"VEN","dataAreaId":"hgv","ProductColorId":"","ProductConfigurationId":"","ProductSizeId":"","ProductStyleId":""}</t>
  </si>
  <si>
    <t>{"ItemNumber":"222059","ProductName":"NFAIRY TORTIL BLOEMK VOLK 6*200","InventoryWarehouseId":"EP","OnHandQuantity":30,"TotalAvailableQuantity":288,"AvailableOnHandQuantity":30,"InventorySiteId":"VEN","dataAreaId":"hgv","ProductColorId":"","ProductConfigurationId":"","ProductSizeId":"","ProductStyleId":""}</t>
  </si>
  <si>
    <t>{"ItemNumber":"222060","ProductName":"NFAIRY BIETEN TORTILLA'S 6*200","InventoryWarehouseId":"EP","OnHandQuantity":0,"TotalAvailableQuantity":1008,"AvailableOnHandQuantity":0,"InventorySiteId":"VEN","dataAreaId":"hgv","ProductColorId":"","ProductConfigurationId":"","ProductSizeId":"","ProductStyleId":""}</t>
  </si>
  <si>
    <t>{"ItemNumber":"222061","ProductName":"NFAIRY WORTEL TORTILLA'S 8*200","InventoryWarehouseId":"EP","OnHandQuantity":2328,"TotalAvailableQuantity":3488,"AvailableOnHandQuantity":2328,"InventorySiteId":"VEN","dataAreaId":"hgv","ProductColorId":"","ProductConfigurationId":"","ProductSizeId":"","ProductStyleId":""}</t>
  </si>
  <si>
    <t>{"ItemNumber":"222062","ProductName":"NFAIRY PAPRIKA TORTILLA 8*200","InventoryWarehouseId":"EP","OnHandQuantity":2088,"TotalAvailableQuantity":3088,"AvailableOnHandQuantity":2088,"InventorySiteId":"VEN","dataAreaId":"hgv","ProductColorId":"","ProductConfigurationId":"","ProductSizeId":"","ProductStyleId":""}</t>
  </si>
  <si>
    <t>{"ItemNumber":"222065","ProductName":"JUMBO'S Atjar 6*250","InventoryWarehouseId":"EP","OnHandQuantity":0,"TotalAvailableQuantity":384,"AvailableOnHandQuantity":0,"InventorySiteId":"VEN","dataAreaId":"hgv","ProductColorId":"","ProductConfigurationId":"","ProductSizeId":"","ProductStyleId":""}</t>
  </si>
  <si>
    <t>{"ItemNumber":"222066","ProductName":"JUMBO'S Kimchi 6*200","InventoryWarehouseId":"EP","OnHandQuantity":0,"TotalAvailableQuantity":384,"AvailableOnHandQuantity":0,"InventorySiteId":"VEN","dataAreaId":"hgv","ProductColorId":"","ProductConfigurationId":"","ProductSizeId":"","ProductStyleId":""}</t>
  </si>
  <si>
    <t>{"ItemNumber":"222067","ProductName":"JUMBO'S Ingelegde rode ui 6*200","InventoryWarehouseId":"EP","OnHandQuantity":0,"TotalAvailableQuantity":384,"AvailableOnHandQuantity":0,"InventorySiteId":"VEN","dataAreaId":"hgv","ProductColorId":"","ProductConfigurationId":"","ProductSizeId":"","ProductStyleId":""}</t>
  </si>
  <si>
    <t>{"ItemNumber":"222069","ProductName":"JUMBO'S Groene Harissa 6*90","InventoryWarehouseId":"EP","OnHandQuantity":0,"TotalAvailableQuantity":2880,"AvailableOnHandQuantity":0,"InventorySiteId":"VEN","dataAreaId":"hgv","ProductColorId":"","ProductConfigurationId":"","ProductSizeId":"","ProductStyleId":""}</t>
  </si>
  <si>
    <t>{"ItemNumber":"222070","ProductName":"JUMBO'S Honing Mosterd dressing 6*125","InventoryWarehouseId":"EP","OnHandQuantity":0,"TotalAvailableQuantity":2880,"AvailableOnHandQuantity":0,"InventorySiteId":"VEN","dataAreaId":"hgv","ProductColorId":"","ProductConfigurationId":"","ProductSizeId":"","ProductStyleId":""}</t>
  </si>
  <si>
    <t>{"ItemNumber":"222071","ProductName":"JUMBO'S Caesar dressing 6*125","InventoryWarehouseId":"EP","OnHandQuantity":0,"TotalAvailableQuantity":2880,"AvailableOnHandQuantity":0,"InventorySiteId":"VEN","dataAreaId":"hgv","ProductColorId":"","ProductConfigurationId":"","ProductSizeId":"","ProductStyleId":""}</t>
  </si>
  <si>
    <t>{"ItemNumber":"222072","ProductName":"JUMBO'S Truffel dressing 6*125","InventoryWarehouseId":"EP","OnHandQuantity":0,"TotalAvailableQuantity":2880,"AvailableOnHandQuantity":0,"InventorySiteId":"VEN","dataAreaId":"hgv","ProductColorId":"","ProductConfigurationId":"","ProductSizeId":"","ProductStyleId":""}</t>
  </si>
  <si>
    <t>{"ItemNumber":"222073","ProductName":"JUMBO'S Pestodressing 6*125","InventoryWarehouseId":"EP","OnHandQuantity":0,"TotalAvailableQuantity":2880,"AvailableOnHandQuantity":0,"InventorySiteId":"VEN","dataAreaId":"hgv","ProductColorId":"","ProductConfigurationId":"","ProductSizeId":"","ProductStyleId":""}</t>
  </si>
  <si>
    <t>{"ItemNumber":"222074","ProductName":"JUMBO'S Basilicum smaakboter 6*75","InventoryWarehouseId":"EP","OnHandQuantity":0,"TotalAvailableQuantity":2880,"AvailableOnHandQuantity":0,"InventorySiteId":"VEN","dataAreaId":"hgv","ProductColorId":"","ProductConfigurationId":"","ProductSizeId":"","ProductStyleId":""}</t>
  </si>
  <si>
    <t>{"ItemNumber":"222075","ProductName":"JUMBO'S Chili smaakboter 6*75","InventoryWarehouseId":"EP","OnHandQuantity":0,"TotalAvailableQuantity":486,"AvailableOnHandQuantity":0,"InventorySiteId":"VEN","dataAreaId":"hgv","ProductColorId":"","ProductConfigurationId":"","ProductSizeId":"","ProductStyleId":""}</t>
  </si>
  <si>
    <t>{"ItemNumber":"222076","ProductName":"JUMBO'S Miso lente-ui smaakboter 6*75","InventoryWarehouseId":"EP","OnHandQuantity":0,"TotalAvailableQuantity":2880,"AvailableOnHandQuantity":0,"InventorySiteId":"VEN","dataAreaId":"hgv","ProductColorId":"","ProductConfigurationId":"","ProductSizeId":"","ProductStyleId":""}</t>
  </si>
  <si>
    <t>{"ItemNumber":"222084","ProductName":"JUMBOS Gehakte gember 12*90g","InventoryWarehouseId":"EP","OnHandQuantity":0,"TotalAvailableQuantity":3024,"AvailableOnHandQuantity":0,"InventorySiteId":"VEN","dataAreaId":"hgv","ProductColorId":"","ProductConfigurationId":"","ProductSizeId":"","ProductStyleId":""}</t>
  </si>
  <si>
    <t>{"ItemNumber":"222085","ProductName":"JUMBOS Gehakte chilipeper 12*90g","InventoryWarehouseId":"EP","OnHandQuantity":0,"TotalAvailableQuantity":3024,"AvailableOnHandQuantity":0,"InventorySiteId":"VEN","dataAreaId":"hgv","ProductColorId":"","ProductConfigurationId":"","ProductSizeId":"","ProductStyleId":""}</t>
  </si>
  <si>
    <t>{"ItemNumber":"222086","ProductName":"JUMBOS Gehakte knoflook 12*90g","InventoryWarehouseId":"EP","OnHandQuantity":0,"TotalAvailableQuantity":9072,"AvailableOnHandQuantity":0,"InventorySiteId":"VEN","dataAreaId":"hgv","ProductColorId":"","ProductConfigurationId":"","ProductSizeId":"","ProductStyleId":""}</t>
  </si>
  <si>
    <t>{"ItemNumber":"222091","ProductName":"Turkse Pizza Lahmacun 4*300g","InventoryWarehouseId":"EP","OnHandQuantity":1128,"TotalAvailableQuantity":1552,"AvailableOnHandQuantity":1128,"InventorySiteId":"VEN","dataAreaId":"hgv","ProductColorId":"","ProductConfigurationId":"","ProductSizeId":"","ProductStyleId":""}</t>
  </si>
  <si>
    <t>{"ItemNumber":"222092","ProductName":"MAGION CARROT CAKE PANCAK 6*160g","InventoryWarehouseId":"EP","OnHandQuantity":1080,"TotalAvailableQuantity":2616,"AvailableOnHandQuantity":1080,"InventorySiteId":"VEN","dataAreaId":"hgv","ProductColorId":"","ProductConfigurationId":"","ProductSizeId":"","ProductStyleId":""}</t>
  </si>
  <si>
    <t>{"ItemNumber":"222093","ProductName":"BMAGION PUMPK CINNA PANCAK6*160g","InventoryWarehouseId":"EP","OnHandQuantity":180,"TotalAvailableQuantity":1416,"AvailableOnHandQuantity":180,"InventorySiteId":"VEN","dataAreaId":"hgv","ProductColorId":"","ProductConfigurationId":"","ProductSizeId":"","ProductStyleId":""}</t>
  </si>
  <si>
    <t>{"ItemNumber":"222094","ProductName":"BERNAR CREPES NATUREL 14C 6*8st","InventoryWarehouseId":"EP","OnHandQuantity":0,"TotalAvailableQuantity":1440,"AvailableOnHandQuantity":0,"InventorySiteId":"VEN","dataAreaId":"hgv","ProductColorId":"","ProductConfigurationId":"","ProductSizeId":"","ProductStyleId":""}</t>
  </si>
  <si>
    <t>{"ItemNumber":"222095","ProductName":"BERNAR FRENCH CREPES NAT 6*6st","InventoryWarehouseId":"EP","OnHandQuantity":0,"TotalAvailableQuantity":2880,"AvailableOnHandQuantity":0,"InventorySiteId":"VEN","dataAreaId":"hgv","ProductColorId":"","ProductConfigurationId":"","ProductSizeId":"","ProductStyleId":""}</t>
  </si>
  <si>
    <t>{"ItemNumber":"222096","ProductName":"JOHMA RAUWKOST TW KRUIDEN 6*200g","InventoryWarehouseId":"EP","OnHandQuantity":648,"TotalAvailableQuantity":1608,"AvailableOnHandQuantity":648,"InventorySiteId":"VEN","dataAreaId":"hgv","ProductColorId":"","ProductConfigurationId":"","ProductSizeId":"","ProductStyleId":""}</t>
  </si>
  <si>
    <t>{"ItemNumber":"222097","ProductName":"JOHMA RAUWKOST KOMKOMMER 6*200g","InventoryWarehouseId":"EP","OnHandQuantity":1626,"TotalAvailableQuantity":2478,"AvailableOnHandQuantity":1626,"InventorySiteId":"VEN","dataAreaId":"hgv","ProductColorId":"","ProductConfigurationId":"","ProductSizeId":"","ProductStyleId":""}</t>
  </si>
  <si>
    <t>{"ItemNumber":"222098","ProductName":"JOHMA RAUWKOST WIT KOOL 6*200g","InventoryWarehouseId":"EP","OnHandQuantity":1122,"TotalAvailableQuantity":1908,"AvailableOnHandQuantity":1122,"InventorySiteId":"VEN","dataAreaId":"hgv","ProductColorId":"","ProductConfigurationId":"","ProductSizeId":"","ProductStyleId":""}</t>
  </si>
  <si>
    <t>{"ItemNumber":"222099","ProductName":"JOHMA RAUWKOST COLESLAW 6*200g","InventoryWarehouseId":"EP","OnHandQuantity":2196,"TotalAvailableQuantity":5922,"AvailableOnHandQuantity":2196,"InventorySiteId":"VEN","dataAreaId":"hgv","ProductColorId":"","ProductConfigurationId":"","ProductSizeId":"","ProductStyleId":""}</t>
  </si>
  <si>
    <t>{"ItemNumber":"222100","ProductName":"MAGION BLOEMKOOL BODEM 4*390g","InventoryWarehouseId":"EP","OnHandQuantity":-8,"TotalAvailableQuantity":7460,"AvailableOnHandQuantity":-8,"InventorySiteId":"VEN","dataAreaId":"hgv","ProductColorId":"","ProductConfigurationId":"","ProductSizeId":"","ProductStyleId":""}</t>
  </si>
  <si>
    <t>{"ItemNumber":"222102","ProductName":"RAUWKOST BOEREN 6*400g","InventoryWarehouseId":"EP","OnHandQuantity":3642,"TotalAvailableQuantity":7686,"AvailableOnHandQuantity":3642,"InventorySiteId":"VEN","dataAreaId":"hgv","ProductColorId":"","ProductConfigurationId":"","ProductSizeId":"","ProductStyleId":""}</t>
  </si>
  <si>
    <t>{"ItemNumber":"222104","ProductName":"RAUWKOST KOMKOMMER 6*400g","InventoryWarehouseId":"EP","OnHandQuantity":5094,"TotalAvailableQuantity":7968,"AvailableOnHandQuantity":5094,"InventorySiteId":"VEN","dataAreaId":"hgv","ProductColorId":"","ProductConfigurationId":"","ProductSizeId":"","ProductStyleId":""}</t>
  </si>
  <si>
    <t>{"ItemNumber":"222105","ProductName":"JOHMA RAUWKOST FARMER 6*200g","InventoryWarehouseId":"EP","OnHandQuantity":2508,"TotalAvailableQuantity":4212,"AvailableOnHandQuantity":2508,"InventorySiteId":"VEN","dataAreaId":"hgv","ProductColorId":"","ProductConfigurationId":"","ProductSizeId":"","ProductStyleId":""}</t>
  </si>
  <si>
    <t>{"ItemNumber":"222155","ProductName":"JUMBO SOUS-VIDE GEGR GROENTE 3*350","InventoryWarehouseId":"EP","OnHandQuantity":0,"TotalAvailableQuantity":288,"AvailableOnHandQuantity":0,"InventorySiteId":"VEN","dataAreaId":"hgv","ProductColorId":"","ProductConfigurationId":"","ProductSizeId":"","ProductStyleId":""}</t>
  </si>
  <si>
    <t>{"ItemNumber":"222168","ProductName":"IJsberg Naturel 8*200g VF","InventoryWarehouseId":"EP","OnHandQuantity":0,"TotalAvailableQuantity":-8,"AvailableOnHandQuantity":0,"InventorySiteId":"VEN","dataAreaId":"hgv","ProductColorId":"","ProductConfigurationId":"","ProductSizeId":"","ProductStyleId":""}</t>
  </si>
  <si>
    <t>{"ItemNumber":"228","ProductName":"Green Produce Lila 6424","InventoryWarehouseId":"GR","OnHandQuantity":19,"TotalAvailableQuantity":19,"AvailableOnHandQuantity":19,"InventorySiteId":"VEN","dataAreaId":"hgv","ProductColorId":"","ProductConfigurationId":"","ProductSizeId":"","ProductStyleId":""}</t>
  </si>
  <si>
    <t>{"ItemNumber":"230028","ProductName":"DELI Champ wit 4*250g","InventoryWarehouseId":"EP","OnHandQuantity":0,"TotalAvailableQuantity":-144,"AvailableOnHandQuantity":0,"InventorySiteId":"VEN","dataAreaId":"hgv","ProductColorId":"","ProductConfigurationId":"","ProductSizeId":"","ProductStyleId":""}</t>
  </si>
  <si>
    <t>{"ItemNumber":"230029","ProductName":"DELI Lollo Bionda blad 2*450g","InventoryWarehouseId":"EP","OnHandQuantity":0,"TotalAvailableQuantity":-1666,"AvailableOnHandQuantity":0,"InventorySiteId":"VEN","dataAreaId":"hgv","ProductColorId":"","ProductConfigurationId":"","ProductSizeId":"","ProductStyleId":""}</t>
  </si>
  <si>
    <t>{"ItemNumber":"230036","ProductName":"DELI Tomaten plak 4mm 2*500g","InventoryWarehouseId":"EP","OnHandQuantity":0,"TotalAvailableQuantity":0,"AvailableOnHandQuantity":0,"InventorySiteId":"VEN","dataAreaId":"hgv","ProductColorId":"","ProductConfigurationId":"","ProductSizeId":"","ProductStyleId":""}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</si>
  <si>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{"ItemNumber":"230042","ProductName":"DELI Veldsla/ijsbergmix6*200g","InventoryWarehouseId":"EP","OnHandQuantity":0,"TotalAvailableQuantity":-528,"AvailableOnHandQuantity":0,"InventorySiteId":"VEN","dataAreaId":"hgv","ProductColorId":"","ProductConfigurationId":"","ProductSizeId":"","ProductStyleId":""}</t>
  </si>
  <si>
    <t>{"ItemNumber":"230052","ProductName":"DELI Peterselie gehakt 2*100g","InventoryWarehouseId":"EP","OnHandQuantity":0,"TotalAvailableQuantity":0,"AvailableOnHandQuantity":0,"InventorySiteId":"VEN","dataAreaId":"hgv","ProductColorId":"","ProductConfigurationId":"","ProductSizeId":"","ProductStyleId":""}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</si>
  <si>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{"ItemNumber":"230053","ProductName":"DELI Bieslook 5mm 2*100gr","InventoryWarehouseId":"EP","OnHandQuantity":0,"TotalAvailableQuantity":0,"AvailableOnHandQuantity":0,"InventorySiteId":"VEN","dataAreaId":"hgv","ProductColorId":"","ProductConfigurationId":"","ProductSizeId":"","ProductStyleId":""}</t>
  </si>
  <si>
    <t>{"ItemNumber":"230080","ProductName":"Gourmetschotel 1*300g","InventoryWarehouseId":"EP","OnHandQuantity":109,"TotalAvailableQuantity":65,"AvailableOnHandQuantity":109,"InventorySiteId":"VEN","dataAreaId":"hgv","ProductColorId":"","ProductConfigurationId":"","ProductSizeId":"","ProductStyleId":""}</t>
  </si>
  <si>
    <t>{"ItemNumber":"230447","ProductName":"Gourmetschotel 6*300g","InventoryWarehouseId":"EP","OnHandQuantity":-732,"TotalAvailableQuantity":-732,"AvailableOnHandQuantity":-732,"InventorySiteId":"VEN","dataAreaId":"hgv","ProductColorId":"","ProductConfigurationId":"","ProductSizeId":"","ProductStyleId":""}</t>
  </si>
  <si>
    <t>{"ItemNumber":"230534","ProductName":"DELI Apple Cubes 2*150g","InventoryWarehouseId":"EP","OnHandQuantity":0,"TotalAvailableQuantity":0,"AvailableOnHandQuantity":0,"InventorySiteId":"VEN","dataAreaId":"hgv","ProductColorId":"","ProductConfigurationId":"","ProductSizeId":"","ProductStyleId":""}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</si>
  <si>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{"ItemNumber":"230535","ProductName":"DELI Pointed Cabbage 6*200g","InventoryWarehouseId":"EP","OnHandQuantity":0,"TotalAvailableQuantity":-1584,"AvailableOnHandQuantity":0,"InventorySiteId":"VEN","dataAreaId":"hgv","ProductColorId":"","ProductConfigurationId":"","ProductSizeId":"","ProductStyleId":""}</t>
  </si>
  <si>
    <t>{"ItemNumber":"230536","ProductName":"DELI Frisee&amp;Radicch.mix 2*600g","InventoryWarehouseId":"EP","OnHandQuantity":0,"TotalAvailableQuantity":0,"AvailableOnHandQuantity":0,"InventorySiteId":"VEN","dataAreaId":"hgv","ProductColorId":"","ProductConfigurationId":"","ProductSizeId":"","ProductStyleId":""}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</si>
  <si>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{"ItemNumber":"230828","ProductName":"SB Classic 2*250g DK","InventoryWarehouseId":"EP","OnHandQuantity":424,"TotalAvailableQuantity":424,"AvailableOnHandQuantity":424,"InventorySiteId":"VEN","dataAreaId":"hgv","ProductColorId":"","ProductConfigurationId":"","ProductSizeId":"","ProductStyleId":""}</t>
  </si>
  <si>
    <t>{"ItemNumber":"230830","ProductName":"SB Protein 2*250g DK","InventoryWarehouseId":"EP","OnHandQuantity":336,"TotalAvailableQuantity":336,"AvailableOnHandQuantity":336,"InventorySiteId":"VEN","dataAreaId":"hgv","ProductColorId":"","ProductConfigurationId":"","ProductSizeId":"","ProductStyleId":""}</t>
  </si>
  <si>
    <t>{"ItemNumber":"230856","ProductName":"SB Pasta 2*250g","InventoryWarehouseId":"EP","OnHandQuantity":0,"TotalAvailableQuantity":-192,"AvailableOnHandQuantity":0,"InventorySiteId":"VEN","dataAreaId":"hgv","ProductColorId":"","ProductConfigurationId":"","ProductSizeId":"","ProductStyleId":""}</t>
  </si>
  <si>
    <t>{"ItemNumber":"230903","ProductName":"SB Protein 2*250g DK","InventoryWarehouseId":"EP","OnHandQuantity":0,"TotalAvailableQuantity":-160,"AvailableOnHandQuantity":0,"InventorySiteId":"VEN","dataAreaId":"hgv","ProductColorId":"","ProductConfigurationId":"","ProductSizeId":"","ProductStyleId":""}</t>
  </si>
  <si>
    <t>{"ItemNumber":"230904","ProductName":"SB Classic 2*250g DK","InventoryWarehouseId":"EP","OnHandQuantity":0,"TotalAvailableQuantity":-500,"AvailableOnHandQuantity":0,"InventorySiteId":"VEN","dataAreaId":"hgv","ProductColorId":"","ProductConfigurationId":"","ProductSizeId":"","ProductStyleId":""}</t>
  </si>
  <si>
    <t>{"ItemNumber":"230918","ProductName":"Melon trio 4*400g","InventoryWarehouseId":"EP","OnHandQuantity":0,"TotalAvailableQuantity":0,"AvailableOnHandQuantity":0,"InventorySiteId":"VEN","dataAreaId":"hgv","ProductColorId":"","ProductConfigurationId":"","ProductSizeId":"","ProductStyleId":""}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</si>
  <si>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{"ItemNumber":"230919","ProductName":"Pineapple 4*400g","InventoryWarehouseId":"EP","OnHandQuantity":0,"TotalAvailableQuantity":0,"AvailableOnHandQuantity":0,"InventorySiteId":"VEN","dataAreaId":"hgv","ProductColorId":"","ProductConfigurationId":"","ProductSizeId":"","ProductStyleId":""}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</si>
  <si>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{"ItemNumber":"230922","ProductName":"Melon mix duo 4*400g","InventoryWarehouseId":"EP","OnHandQuantity":0,"TotalAvailableQuantity":0,"AvailableOnHandQuantity":0,"InventorySiteId":"VEN","dataAreaId":"hgv","ProductColorId":"","ProductConfigurationId":"","ProductSizeId":"","ProductStyleId":""}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</si>
  <si>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{"ItemNumber":"230958","ProductName":"Nordic insp. vegetables mix 4*500g","InventoryWarehouseId":"EP","OnHandQuantity":0,"TotalAvailableQuantity":388,"AvailableOnHandQuantity":0,"InventorySiteId":"VEN","dataAreaId":"hgv","ProductColorId":"","ProductConfigurationId":"","ProductSizeId":"","ProductStyleId":""}</t>
  </si>
  <si>
    <t>{"ItemNumber":"230959","ProductName":"Holland insp. vegetables mix 4*500g","InventoryWarehouseId":"EP","OnHandQuantity":0,"TotalAvailableQuantity":160,"AvailableOnHandQuantity":0,"InventorySiteId":"VEN","dataAreaId":"hgv","ProductColorId":"","ProductConfigurationId":"","ProductSizeId":"","ProductStyleId":""}</t>
  </si>
  <si>
    <t>{"ItemNumber":"230960","ProductName":"Fruit Mixdoos Netto MD 6st","InventoryWarehouseId":"EP","OnHandQuantity":0,"TotalAvailableQuantity":6060,"AvailableOnHandQuantity":0,"InventorySiteId":"VEN","dataAreaId":"hgv","ProductColorId":"","ProductConfigurationId":"","ProductSizeId":"","ProductStyleId":""}</t>
  </si>
  <si>
    <t>{"ItemNumber":"230962","ProductName":"CAR Bavarois Kaneel Appel Crunch 4*110g","InventoryWarehouseId":"EP","OnHandQuantity":252,"TotalAvailableQuantity":528,"AvailableOnHandQuantity":252,"InventorySiteId":"VEN","dataAreaId":"hgv","ProductColorId":"","ProductConfigurationId":"","ProductSizeId":"","ProductStyleId":""}</t>
  </si>
  <si>
    <t>{"ItemNumber":"230963","ProductName":"CAR Bavarois Passievrucht Mango 4*110g","InventoryWarehouseId":"EP","OnHandQuantity":212,"TotalAvailableQuantity":392,"AvailableOnHandQuantity":212,"InventorySiteId":"VEN","dataAreaId":"hgv","ProductColorId":"","ProductConfigurationId":"","ProductSizeId":"","ProductStyleId":""}</t>
  </si>
  <si>
    <t>{"ItemNumber":"230966","ProductName":"Witte uien snippers 12*150g","InventoryWarehouseId":"EP","OnHandQuantity":0,"TotalAvailableQuantity":0,"AvailableOnHandQuantity":0,"InventorySiteId":"VEN","dataAreaId":"hgv","ProductColorId":"","ProductConfigurationId":"","ProductSizeId":"","ProductStyleId":""}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</si>
  <si>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{"ItemNumber":"230967","ProductName":"Rote Zwiebel gehackt 12*150g","InventoryWarehouseId":"EP","OnHandQuantity":0,"TotalAvailableQuantity":0,"AvailableOnHandQuantity":0,"InventorySiteId":"VEN","dataAreaId":"hgv","ProductColorId":"","ProductConfigurationId":"","ProductSizeId":"","ProductStyleId":""}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</si>
  <si>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{"ItemNumber":"230968","ProductName":"Spitzkohl 12*400g","InventoryWarehouseId":"EP","OnHandQuantity":0,"TotalAvailableQuantity":0,"AvailableOnHandQuantity":0,"InventorySiteId":"VEN","dataAreaId":"hgv","ProductColorId":"","ProductConfigurationId":"","ProductSizeId":"","ProductStyleId":""}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</si>
  <si>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{"ItemNumber":"230969","ProductName":"Rotkohl 12*300g","InventoryWarehouseId":"EP","OnHandQuantity":0,"TotalAvailableQuantity":0,"AvailableOnHandQuantity":0,"InventorySiteId":"VEN","dataAreaId":"hgv","ProductColorId":"","ProductConfigurationId":"","ProductSizeId":"","ProductStyleId":""}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</si>
  <si>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{"ItemNumber":"230970","ProductName":"Weißkohl 12*300g","InventoryWarehouseId":"EP","OnHandQuantity":0,"TotalAvailableQuantity":0,"AvailableOnHandQuantity":0,"InventorySiteId":"VEN","dataAreaId":"hgv","ProductColorId":"","ProductConfigurationId":"","ProductSizeId":"","ProductStyleId":""}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</si>
  <si>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{"ItemNumber":"230971","ProductName":"Rbg Italienische Art 12*400g","InventoryWarehouseId":"EP","OnHandQuantity":0,"TotalAvailableQuantity":0,"AvailableOnHandQuantity":0,"InventorySiteId":"VEN","dataAreaId":"hgv","ProductColorId":"","ProductConfigurationId":"","ProductSizeId":"","ProductStyleId":""}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</si>
  <si>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{"ItemNumber":"230972","ProductName":"Rbg Chinesisch 12*400g","InventoryWarehouseId":"EP","OnHandQuantity":84,"TotalAvailableQuantity":84,"AvailableOnHandQuantity":84,"InventorySiteId":"VEN","dataAreaId":"hgv","ProductColorId":"","ProductConfigurationId":"","ProductSizeId":"","ProductStyleId":""}</t>
  </si>
  <si>
    <t>{"ItemNumber":"230973","ProductName":"Rbg Mexikanisch 12*400g","InventoryWarehouseId":"EP","OnHandQuantity":48,"TotalAvailableQuantity":48,"AvailableOnHandQuantity":48,"InventorySiteId":"VEN","dataAreaId":"hgv","ProductColorId":"","ProductConfigurationId":"","ProductSizeId":"","ProductStyleId":""}</t>
  </si>
  <si>
    <t>{"ItemNumber":"230974","ProductName":"Suppengrün fein 12*250g","InventoryWarehouseId":"EP","OnHandQuantity":0,"TotalAvailableQuantity":0,"AvailableOnHandQuantity":0,"InventorySiteId":"VEN","dataAreaId":"hgv","ProductColorId":"","ProductConfigurationId":"","ProductSizeId":"","ProductStyleId":""}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</si>
  <si>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{"ItemNumber":"230975","ProductName":"Gemüse Trio 12*400g","InventoryWarehouseId":"EP","OnHandQuantity":0,"TotalAvailableQuantity":0,"AvailableOnHandQuantity":0,"InventorySiteId":"VEN","dataAreaId":"hgv","ProductColorId":"","ProductConfigurationId":"","ProductSizeId":"","ProductStyleId":""}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</si>
  <si>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{"ItemNumber":"230976","ProductName":"Blumenkohlröschen 12*400gr","InventoryWarehouseId":"EP","OnHandQuantity":0,"TotalAvailableQuantity":0,"AvailableOnHandQuantity":0,"InventorySiteId":"VEN","dataAreaId":"hgv","ProductColorId":"","ProductConfigurationId":"","ProductSizeId":"","ProductStyleId":""}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</si>
  <si>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{"ItemNumber":"230977","ProductName":"Süßkartoffelchips 12*400g","InventoryWarehouseId":"EP","OnHandQuantity":96,"TotalAvailableQuantity":12,"AvailableOnHandQuantity":96,"InventorySiteId":"VEN","dataAreaId":"hgv","ProductColorId":"","ProductConfigurationId":"","ProductSizeId":"","ProductStyleId":""}</t>
  </si>
  <si>
    <t>{"ItemNumber":"230978","ProductName":"Brokkoli-Röschen 12*400g","InventoryWarehouseId":"EP","OnHandQuantity":0,"TotalAvailableQuantity":0,"AvailableOnHandQuantity":0,"InventorySiteId":"VEN","dataAreaId":"hgv","ProductColorId":"","ProductConfigurationId":"","ProductSizeId":"","ProductStyleId":""}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</si>
  <si>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{"ItemNumber":"230979","ProductName":"Thailändisches Wok-Gemüse 12*400g","InventoryWarehouseId":"EP","OnHandQuantity":0,"TotalAvailableQuantity":0,"AvailableOnHandQuantity":0,"InventorySiteId":"VEN","dataAreaId":"hgv","ProductColorId":"","ProductConfigurationId":"","ProductSizeId":"","ProductStyleId":""}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</si>
  <si>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{"ItemNumber":"230980","ProductName":"Boerenkool 12*300g","InventoryWarehouseId":"EP","OnHandQuantity":0,"TotalAvailableQuantity":0,"AvailableOnHandQuantity":0,"InventorySiteId":"VEN","dataAreaId":"hgv","ProductColorId":"","ProductConfigurationId":"","ProductSizeId":"","ProductStyleId":""}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</si>
  <si>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{"ItemNumber":"230981","ProductName":"Butternut 12*400g","InventoryWarehouseId":"EP","OnHandQuantity":0,"TotalAvailableQuantity":0,"AvailableOnHandQuantity":0,"InventorySiteId":"VEN","dataAreaId":"hgv","ProductColorId":"","ProductConfigurationId":"","ProductSizeId":"","ProductStyleId":""}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</si>
  <si>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{"ItemNumber":"230989","ProductName":"DELI Beetroot julienne 6*250g","InventoryWarehouseId":"EP","OnHandQuantity":0,"TotalAvailableQuantity":6,"AvailableOnHandQuantity":0,"InventorySiteId":"VEN","dataAreaId":"hgv","ProductColorId":"","ProductConfigurationId":"","ProductSizeId":"","ProductStyleId":""}</t>
  </si>
  <si>
    <t>{"ItemNumber":"230990","ProductName":"DELI Radish slices 6*250g","InventoryWarehouseId":"EP","OnHandQuantity":0,"TotalAvailableQuantity":6,"AvailableOnHandQuantity":0,"InventorySiteId":"VEN","dataAreaId":"hgv","ProductColorId":"","ProductConfigurationId":"","ProductSizeId":"","ProductStyleId":""}</t>
  </si>
  <si>
    <t>{"ItemNumber":"230991","ProductName":"Fruit Mixdoos Netto MD 6st - Displaydoos","InventoryWarehouseId":"EP","OnHandQuantity":5256,"TotalAvailableQuantity":12582,"AvailableOnHandQuantity":5256,"InventorySiteId":"VEN","dataAreaId":"hgv","ProductColorId":"","ProductConfigurationId":"","ProductSizeId":"","ProductStyleId":""}</t>
  </si>
  <si>
    <t>{"ItemNumber":"232","ProductName":"Morando Krat","InventoryWarehouseId":"EP","OnHandQuantity":50,"TotalAvailableQuantity":50,"AvailableOnHandQuantity":50,"InventorySiteId":"VEN","dataAreaId":"hgv","ProductColorId":"","ProductConfigurationId":"","ProductSizeId":"","ProductStyleId":""}</t>
  </si>
  <si>
    <t>{"ItemNumber":"232","ProductName":"Morando Krat","InventoryWarehouseId":"GR","OnHandQuantity":-350,"TotalAvailableQuantity":-350,"AvailableOnHandQuantity":-350,"InventorySiteId":"VEN","dataAreaId":"hgv","ProductColorId":"","ProductConfigurationId":"","ProductSizeId":"","ProductStyleId":""}</t>
  </si>
  <si>
    <t>{"ItemNumber":"235","ProductName":"FL Versland Krat Hoog Blauw","InventoryWarehouseId":"GR","OnHandQuantity":21839,"TotalAvailableQuantity":21877,"AvailableOnHandQuantity":21839,"InventorySiteId":"VEN","dataAreaId":"hgv","ProductColorId":"","ProductConfigurationId":"","ProductSizeId":"","ProductStyleId":""}</t>
  </si>
  <si>
    <t>{"ItemNumber":"235","ProductName":"FL Versland Krat Hoog Blauw","InventoryWarehouseId":"RL","OnHandQuantity":3112,"TotalAvailableQuantity":3112,"AvailableOnHandQuantity":3112,"InventorySiteId":"VEN","dataAreaId":"hgv","ProductColorId":"","ProductConfigurationId":"","ProductSizeId":"","ProductStyleId":""}</t>
  </si>
  <si>
    <t>{"ItemNumber":"236","ProductName":"La Rocca Krat","InventoryWarehouseId":"GR","OnHandQuantity":6450,"TotalAvailableQuantity":6450,"AvailableOnHandQuantity":6450,"InventorySiteId":"VEN","dataAreaId":"hgv","ProductColorId":"","ProductConfigurationId":"","ProductSizeId":"","ProductStyleId":""}</t>
  </si>
  <si>
    <t>{"ItemNumber":"237","ProductName":"Primaflor Krat Geel","InventoryWarehouseId":"GR","OnHandQuantity":0,"TotalAvailableQuantity":0,"AvailableOnHandQuantity":0,"InventorySiteId":"VEN","dataAreaId":"hgv","ProductColorId":"","ProductConfigurationId":"","ProductSizeId":"","ProductStyleId":""}</t>
  </si>
  <si>
    <t>{"ItemNumber":"240","ProductName":"Lev_hoog","InventoryWarehouseId":"GR","OnHandQuantity":-164,"TotalAvailableQuantity":-164,"AvailableOnHandQuantity":-164,"InventorySiteId":"VEN","dataAreaId":"hgv","ProductColorId":"","ProductConfigurationId":"","ProductSizeId":"","ProductStyleId":""}</t>
  </si>
  <si>
    <t>{"ItemNumber":"240235","ProductName":"SS Italiaanse mix 3*250g VF","InventoryWarehouseId":"EP","OnHandQuantity":345,"TotalAvailableQuantity":186,"AvailableOnHandQuantity":345,"InventorySiteId":"VEN","dataAreaId":"hgv","ProductColorId":"","ProductConfigurationId":"","ProductSizeId":"","ProductStyleId":""}</t>
  </si>
  <si>
    <t>{"ItemNumber":"240248","ProductName":"SS Italiaanse mix 1*250g VF","InventoryWarehouseId":"EP","OnHandQuantity":143,"TotalAvailableQuantity":37,"AvailableOnHandQuantity":143,"InventorySiteId":"VEN","dataAreaId":"hgv","ProductColorId":"","ProductConfigurationId":"","ProductSizeId":"","ProductStyleId":""}</t>
  </si>
  <si>
    <t>{"ItemNumber":"240249","ProductName":"Andijvie fijn 5*250g VF","InventoryWarehouseId":"EP","OnHandQuantity":640,"TotalAvailableQuantity":120,"AvailableOnHandQuantity":640,"InventorySiteId":"VEN","dataAreaId":"hgv","ProductColorId":"","ProductConfigurationId":"","ProductSizeId":"","ProductStyleId":""}</t>
  </si>
  <si>
    <t>{"ItemNumber":"240254","ProductName":"Kropsla mix 4*200g VF","InventoryWarehouseId":"EP","OnHandQuantity":80,"TotalAvailableQuantity":-32,"AvailableOnHandQuantity":80,"InventorySiteId":"VEN","dataAreaId":"hgv","ProductColorId":"","ProductConfigurationId":"","ProductSizeId":"","ProductStyleId":""}</t>
  </si>
  <si>
    <t>{"ItemNumber":"240255","ProductName":"SS Komkommer Tomaat 2*330g VF","InventoryWarehouseId":"EP","OnHandQuantity":158,"TotalAvailableQuantity":96,"AvailableOnHandQuantity":158,"InventorySiteId":"VEN","dataAreaId":"hgv","ProductColorId":"","ProductConfigurationId":"","ProductSizeId":"","ProductStyleId":""}</t>
  </si>
  <si>
    <t>{"ItemNumber":"240258","ProductName":"Gemengde Sla 1*60g VF","InventoryWarehouseId":"EP","OnHandQuantity":431,"TotalAvailableQuantity":268,"AvailableOnHandQuantity":431,"InventorySiteId":"VEN","dataAreaId":"hgv","ProductColorId":"","ProductConfigurationId":"","ProductSizeId":"","ProductStyleId":""}</t>
  </si>
  <si>
    <t>{"ItemNumber":"240260","ProductName":"Rbg Mexicaans 5*400g VF","InventoryWarehouseId":"EP","OnHandQuantity":280,"TotalAvailableQuantity":170,"AvailableOnHandQuantity":280,"InventorySiteId":"VEN","dataAreaId":"hgv","ProductColorId":"","ProductConfigurationId":"","ProductSizeId":"","ProductStyleId":""}</t>
  </si>
  <si>
    <t>{"ItemNumber":"240261","ProductName":"Mac./Spagh.mix 4*250gr VF","InventoryWarehouseId":"EP","OnHandQuantity":460,"TotalAvailableQuantity":120,"AvailableOnHandQuantity":460,"InventorySiteId":"VEN","dataAreaId":"hgv","ProductColorId":"","ProductConfigurationId":"","ProductSizeId":"","ProductStyleId":""}</t>
  </si>
  <si>
    <t>{"ItemNumber":"240270","ProductName":"Rucola Naturel 5*85g VF","InventoryWarehouseId":"EP","OnHandQuantity":980,"TotalAvailableQuantity":-50,"AvailableOnHandQuantity":980,"InventorySiteId":"VEN","dataAreaId":"hgv","ProductColorId":"","ProductConfigurationId":"","ProductSizeId":"","ProductStyleId":""}</t>
  </si>
  <si>
    <t>{"ItemNumber":"240271","ProductName":"Rucola Naturel 1*85g VF","InventoryWarehouseId":"EP","OnHandQuantity":401,"TotalAvailableQuantity":117,"AvailableOnHandQuantity":401,"InventorySiteId":"VEN","dataAreaId":"hgv","ProductColorId":"","ProductConfigurationId":"","ProductSizeId":"","ProductStyleId":""}</t>
  </si>
  <si>
    <t>{"ItemNumber":"240272","ProductName":"Erwtensoep 5*500g VF","InventoryWarehouseId":"EP","OnHandQuantity":-10,"TotalAvailableQuantity":-25,"AvailableOnHandQuantity":-10,"InventorySiteId":"VEN","dataAreaId":"hgv","ProductColorId":"","ProductConfigurationId":"","ProductSizeId":"","ProductStyleId":""}</t>
  </si>
  <si>
    <t>{"ItemNumber":"240274","ProductName":"Erwtensoep 1*500g VF","InventoryWarehouseId":"EP","OnHandQuantity":88,"TotalAvailableQuantity":46,"AvailableOnHandQuantity":88,"InventorySiteId":"VEN","dataAreaId":"hgv","ProductColorId":"","ProductConfigurationId":"","ProductSizeId":"","ProductStyleId":""}</t>
  </si>
  <si>
    <t>{"ItemNumber":"240275","ProductName":"Rwk Wortel julienne 3*150g VF","InventoryWarehouseId":"EP","OnHandQuantity":402,"TotalAvailableQuantity":102,"AvailableOnHandQuantity":402,"InventorySiteId":"VEN","dataAreaId":"hgv","ProductColorId":"","ProductConfigurationId":"","ProductSizeId":"","ProductStyleId":""}</t>
  </si>
  <si>
    <t>{"ItemNumber":"240276","ProductName":"Rwk Radijs 3*150g VF","InventoryWarehouseId":"EP","OnHandQuantity":150,"TotalAvailableQuantity":78,"AvailableOnHandQuantity":150,"InventorySiteId":"VEN","dataAreaId":"hgv","ProductColorId":"","ProductConfigurationId":"","ProductSizeId":"","ProductStyleId":""}</t>
  </si>
  <si>
    <t>{"ItemNumber":"240286","ProductName":"Rwk Komkommer 3*150g VF","InventoryWarehouseId":"EP","OnHandQuantity":12,"TotalAvailableQuantity":-72,"AvailableOnHandQuantity":12,"InventorySiteId":"VEN","dataAreaId":"hgv","ProductColorId":"","ProductConfigurationId":"","ProductSizeId":"","ProductStyleId":""}</t>
  </si>
  <si>
    <t>{"ItemNumber":"240287","ProductName":"Rbg Thais 5*400g VF","InventoryWarehouseId":"EP","OnHandQuantity":310,"TotalAvailableQuantity":75,"AvailableOnHandQuantity":310,"InventorySiteId":"VEN","dataAreaId":"hgv","ProductColorId":"","ProductConfigurationId":"","ProductSizeId":"","ProductStyleId":""}</t>
  </si>
  <si>
    <t>{"ItemNumber":"240289","ProductName":"Andijvie fijn 1*250g VF","InventoryWarehouseId":"EP","OnHandQuantity":267,"TotalAvailableQuantity":-14,"AvailableOnHandQuantity":267,"InventorySiteId":"VEN","dataAreaId":"hgv","ProductColorId":"","ProductConfigurationId":"","ProductSizeId":"","ProductStyleId":""}</t>
  </si>
  <si>
    <t>{"ItemNumber":"240290","ProductName":"Andijvie fijn 4*500g VF","InventoryWarehouseId":"EP","OnHandQuantity":460,"TotalAvailableQuantity":228,"AvailableOnHandQuantity":460,"InventorySiteId":"VEN","dataAreaId":"hgv","ProductColorId":"","ProductConfigurationId":"","ProductSizeId":"","ProductStyleId":""}</t>
  </si>
  <si>
    <t>{"ItemNumber":"240291","ProductName":"Andijvie grof 5*400g VF","InventoryWarehouseId":"EP","OnHandQuantity":1550,"TotalAvailableQuantity":20,"AvailableOnHandQuantity":1550,"InventorySiteId":"VEN","dataAreaId":"hgv","ProductColorId":"","ProductConfigurationId":"","ProductSizeId":"","ProductStyleId":""}</t>
  </si>
  <si>
    <t>{"ItemNumber":"240292","ProductName":"Andijvie grof 1*400g VF","InventoryWarehouseId":"EP","OnHandQuantity":173,"TotalAvailableQuantity":-20,"AvailableOnHandQuantity":173,"InventorySiteId":"VEN","dataAreaId":"hgv","ProductColorId":"","ProductConfigurationId":"","ProductSizeId":"","ProductStyleId":""}</t>
  </si>
  <si>
    <t>{"ItemNumber":"240294","ProductName":"Boerenkool Fijn 4*500g VF","InventoryWarehouseId":"EP","OnHandQuantity":860,"TotalAvailableQuantity":672,"AvailableOnHandQuantity":860,"InventorySiteId":"VEN","dataAreaId":"hgv","ProductColorId":"","ProductConfigurationId":"","ProductSizeId":"","ProductStyleId":""}</t>
  </si>
  <si>
    <t>{"ItemNumber":"240295","ProductName":"Boerenkool Grof 5*300g VF","InventoryWarehouseId":"EP","OnHandQuantity":125,"TotalAvailableQuantity":65,"AvailableOnHandQuantity":125,"InventorySiteId":"VEN","dataAreaId":"hgv","ProductColorId":"","ProductConfigurationId":"","ProductSizeId":"","ProductStyleId":""}</t>
  </si>
  <si>
    <t>{"ItemNumber":"240296","ProductName":"Boerenkool Grof 1*300g VF","InventoryWarehouseId":"EP","OnHandQuantity":343,"TotalAvailableQuantity":17,"AvailableOnHandQuantity":343,"InventorySiteId":"VEN","dataAreaId":"hgv","ProductColorId":"","ProductConfigurationId":"","ProductSizeId":"","ProductStyleId":""}</t>
  </si>
  <si>
    <t>{"ItemNumber":"240300","ProductName":"Prei fijn 4*200g VF","InventoryWarehouseId":"EP","OnHandQuantity":468,"TotalAvailableQuantity":160,"AvailableOnHandQuantity":468,"InventorySiteId":"VEN","dataAreaId":"hgv","ProductColorId":"","ProductConfigurationId":"","ProductSizeId":"","ProductStyleId":""}</t>
  </si>
  <si>
    <t>{"ItemNumber":"240302","ProductName":"Prei Fijn 1*200g VF","InventoryWarehouseId":"EP","OnHandQuantity":245,"TotalAvailableQuantity":138,"AvailableOnHandQuantity":245,"InventorySiteId":"VEN","dataAreaId":"hgv","ProductColorId":"","ProductConfigurationId":"","ProductSizeId":"","ProductStyleId":""}</t>
  </si>
  <si>
    <t>{"ItemNumber":"240305","ProductName":"Pompoen naturel 3*400g VF","InventoryWarehouseId":"EP","OnHandQuantity":279,"TotalAvailableQuantity":168,"AvailableOnHandQuantity":279,"InventorySiteId":"VEN","dataAreaId":"hgv","ProductColorId":"","ProductConfigurationId":"","ProductSizeId":"","ProductStyleId":""}</t>
  </si>
  <si>
    <t>{"ItemNumber":"240306","ProductName":"Snijbonen 4*400g VF","InventoryWarehouseId":"EP","OnHandQuantity":500,"TotalAvailableQuantity":236,"AvailableOnHandQuantity":500,"InventorySiteId":"VEN","dataAreaId":"hgv","ProductColorId":"","ProductConfigurationId":"","ProductSizeId":"","ProductStyleId":""}</t>
  </si>
  <si>
    <t>{"ItemNumber":"240308","ProductName":"Bami Nasi zak 6*500g VF","InventoryWarehouseId":"EP","OnHandQuantity":462,"TotalAvailableQuantity":216,"AvailableOnHandQuantity":462,"InventorySiteId":"VEN","dataAreaId":"hgv","ProductColorId":"","ProductConfigurationId":"","ProductSizeId":"","ProductStyleId":""}</t>
  </si>
  <si>
    <t>{"ItemNumber":"240309","ProductName":"Bami Nasi zak 1*500g VF","InventoryWarehouseId":"EP","OnHandQuantity":126,"TotalAvailableQuantity":7,"AvailableOnHandQuantity":126,"InventorySiteId":"VEN","dataAreaId":"hgv","ProductColorId":"","ProductConfigurationId":"","ProductSizeId":"","ProductStyleId":""}</t>
  </si>
  <si>
    <t>{"ItemNumber":"240310","ProductName":"Snijbonen 4*200g VF","InventoryWarehouseId":"EP","OnHandQuantity":212,"TotalAvailableQuantity":48,"AvailableOnHandQuantity":212,"InventorySiteId":"VEN","dataAreaId":"hgv","ProductColorId":"","ProductConfigurationId":"","ProductSizeId":"","ProductStyleId":""}</t>
  </si>
  <si>
    <t>{"ItemNumber":"240311","ProductName":"Snijbonen 1*200g VF","InventoryWarehouseId":"EP","OnHandQuantity":63,"TotalAvailableQuantity":4,"AvailableOnHandQuantity":63,"InventorySiteId":"VEN","dataAreaId":"hgv","ProductColorId":"","ProductConfigurationId":"","ProductSizeId":"","ProductStyleId":""}</t>
  </si>
  <si>
    <t>{"ItemNumber":"240312","ProductName":"Hutspot 5*1kg VF","InventoryWarehouseId":"EP","OnHandQuantity":215,"TotalAvailableQuantity":135,"AvailableOnHandQuantity":215,"InventorySiteId":"VEN","dataAreaId":"hgv","ProductColorId":"","ProductConfigurationId":"","ProductSizeId":"","ProductStyleId":""}</t>
  </si>
  <si>
    <t>{"ItemNumber":"240322","ProductName":"Sperziebonen 4*200g VF","InventoryWarehouseId":"EP","OnHandQuantity":240,"TotalAvailableQuantity":32,"AvailableOnHandQuantity":240,"InventorySiteId":"VEN","dataAreaId":"hgv","ProductColorId":"","ProductConfigurationId":"","ProductSizeId":"","ProductStyleId":""}</t>
  </si>
  <si>
    <t>{"ItemNumber":"240324","ProductName":"Sperziebonen 1*200g VF","InventoryWarehouseId":"EP","OnHandQuantity":105,"TotalAvailableQuantity":15,"AvailableOnHandQuantity":105,"InventorySiteId":"VEN","dataAreaId":"hgv","ProductColorId":"","ProductConfigurationId":"","ProductSizeId":"","ProductStyleId":""}</t>
  </si>
  <si>
    <t>{"ItemNumber":"240327","ProductName":"Rbg Italiaans 5*400g VF","InventoryWarehouseId":"EP","OnHandQuantity":785,"TotalAvailableQuantity":100,"AvailableOnHandQuantity":785,"InventorySiteId":"VEN","dataAreaId":"hgv","ProductColorId":"","ProductConfigurationId":"","ProductSizeId":"","ProductStyleId":""}</t>
  </si>
  <si>
    <t>{"ItemNumber":"240328","ProductName":"Rbg Italiaans 1*400g VF","InventoryWarehouseId":"EP","OnHandQuantity":329,"TotalAvailableQuantity":86,"AvailableOnHandQuantity":329,"InventorySiteId":"VEN","dataAreaId":"hgv","ProductColorId":"","ProductConfigurationId":"","ProductSizeId":"","ProductStyleId":""}</t>
  </si>
  <si>
    <t>{"ItemNumber":"240333","ProductName":"Rbg Italiaans 1*250g VF","InventoryWarehouseId":"EP","OnHandQuantity":82,"TotalAvailableQuantity":-5,"AvailableOnHandQuantity":82,"InventorySiteId":"VEN","dataAreaId":"hgv","ProductColorId":"","ProductConfigurationId":"","ProductSizeId":"","ProductStyleId":""}</t>
  </si>
  <si>
    <t>{"ItemNumber":"240338","ProductName":"Rbg Hollands 5*400g VF","InventoryWarehouseId":"EP","OnHandQuantity":315,"TotalAvailableQuantity":80,"AvailableOnHandQuantity":315,"InventorySiteId":"VEN","dataAreaId":"hgv","ProductColorId":"","ProductConfigurationId":"","ProductSizeId":"","ProductStyleId":""}</t>
  </si>
  <si>
    <t>{"ItemNumber":"240339","ProductName":"Rbg Hollands 1*400g VF","InventoryWarehouseId":"EP","OnHandQuantity":120,"TotalAvailableQuantity":-23,"AvailableOnHandQuantity":120,"InventorySiteId":"VEN","dataAreaId":"hgv","ProductColorId":"","ProductConfigurationId":"","ProductSizeId":"","ProductStyleId":""}</t>
  </si>
  <si>
    <t>{"ItemNumber":"240340","ProductName":"Rbg Fijn 5*400g VF","InventoryWarehouseId":"EP","OnHandQuantity":330,"TotalAvailableQuantity":190,"AvailableOnHandQuantity":330,"InventorySiteId":"VEN","dataAreaId":"hgv","ProductColorId":"","ProductConfigurationId":"","ProductSizeId":"","ProductStyleId":""}</t>
  </si>
  <si>
    <t>{"ItemNumber":"240341","ProductName":"Rbg Fijn 1*400g VF","InventoryWarehouseId":"EP","OnHandQuantity":162,"TotalAvailableQuantity":39,"AvailableOnHandQuantity":162,"InventorySiteId":"VEN","dataAreaId":"hgv","ProductColorId":"","ProductConfigurationId":"","ProductSizeId":"","ProductStyleId":""}</t>
  </si>
  <si>
    <t>{"ItemNumber":"240344","ProductName":"Rbg Chinees 5*400g VF","InventoryWarehouseId":"EP","OnHandQuantity":520,"TotalAvailableQuantity":180,"AvailableOnHandQuantity":520,"InventorySiteId":"VEN","dataAreaId":"hgv","ProductColorId":"","ProductConfigurationId":"","ProductSizeId":"","ProductStyleId":""}</t>
  </si>
  <si>
    <t>{"ItemNumber":"240345","ProductName":"Rbg Chinees 1*400g VF","InventoryWarehouseId":"EP","OnHandQuantity":299,"TotalAvailableQuantity":89,"AvailableOnHandQuantity":299,"InventorySiteId":"VEN","dataAreaId":"hgv","ProductColorId":"","ProductConfigurationId":"","ProductSizeId":"","ProductStyleId":""}</t>
  </si>
  <si>
    <t>{"ItemNumber":"240346","ProductName":"Japanse wok 5*400g VF","InventoryWarehouseId":"EP","OnHandQuantity":285,"TotalAvailableQuantity":70,"AvailableOnHandQuantity":285,"InventorySiteId":"VEN","dataAreaId":"hgv","ProductColorId":"","ProductConfigurationId":"","ProductSizeId":"","ProductStyleId":""}</t>
  </si>
  <si>
    <t>{"ItemNumber":"240348","ProductName":"Rbg Champignons 5*400g VF","InventoryWarehouseId":"EP","OnHandQuantity":350,"TotalAvailableQuantity":20,"AvailableOnHandQuantity":350,"InventorySiteId":"VEN","dataAreaId":"hgv","ProductColorId":"","ProductConfigurationId":"","ProductSizeId":"","ProductStyleId":""}</t>
  </si>
  <si>
    <t>{"ItemNumber":"240349","ProductName":"Rbg Champignons 1*400g VF","InventoryWarehouseId":"EP","OnHandQuantity":225,"TotalAvailableQuantity":19,"AvailableOnHandQuantity":225,"InventorySiteId":"VEN","dataAreaId":"hgv","ProductColorId":"","ProductConfigurationId":"","ProductSizeId":"","ProductStyleId":""}</t>
  </si>
  <si>
    <t>{"ItemNumber":"240350","ProductName":"Broccoliroosjes 3*400g VF","InventoryWarehouseId":"EP","OnHandQuantity":231,"TotalAvailableQuantity":81,"AvailableOnHandQuantity":231,"InventorySiteId":"VEN","dataAreaId":"hgv","ProductColorId":"","ProductConfigurationId":"","ProductSizeId":"","ProductStyleId":""}</t>
  </si>
  <si>
    <t>{"ItemNumber":"240351","ProductName":"Broccoliroosjes 1*400g VF","InventoryWarehouseId":"EP","OnHandQuantity":238,"TotalAvailableQuantity":115,"AvailableOnHandQuantity":238,"InventorySiteId":"VEN","dataAreaId":"hgv","ProductColorId":"","ProductConfigurationId":"","ProductSizeId":"","ProductStyleId":""}</t>
  </si>
  <si>
    <t>{"ItemNumber":"240352","ProductName":"Bloemkool roosjes 3*400g VF","InventoryWarehouseId":"EP","OnHandQuantity":210,"TotalAvailableQuantity":69,"AvailableOnHandQuantity":210,"InventorySiteId":"VEN","dataAreaId":"hgv","ProductColorId":"","ProductConfigurationId":"","ProductSizeId":"","ProductStyleId":""}</t>
  </si>
  <si>
    <t>{"ItemNumber":"240353","ProductName":"Bloemkool roosjes 1*400g VF","InventoryWarehouseId":"EP","OnHandQuantity":123,"TotalAvailableQuantity":29,"AvailableOnHandQuantity":123,"InventorySiteId":"VEN","dataAreaId":"hgv","ProductColorId":"","ProductConfigurationId":"","ProductSizeId":"","ProductStyleId":""}</t>
  </si>
  <si>
    <t>{"ItemNumber":"240354","ProductName":"Bami Nasi Zak 4*250g VF","InventoryWarehouseId":"EP","OnHandQuantity":292,"TotalAvailableQuantity":28,"AvailableOnHandQuantity":292,"InventorySiteId":"VEN","dataAreaId":"hgv","ProductColorId":"","ProductConfigurationId":"","ProductSizeId":"","ProductStyleId":""}</t>
  </si>
  <si>
    <t>{"ItemNumber":"240357","ProductName":"Rucola melange 5*75g VF","InventoryWarehouseId":"EP","OnHandQuantity":705,"TotalAvailableQuantity":245,"AvailableOnHandQuantity":705,"InventorySiteId":"VEN","dataAreaId":"hgv","ProductColorId":"","ProductConfigurationId":"","ProductSizeId":"","ProductStyleId":""}</t>
  </si>
  <si>
    <t>{"ItemNumber":"240358","ProductName":"Rucola melange 1*75g VF","InventoryWarehouseId":"EP","OnHandQuantity":201,"TotalAvailableQuantity":-94,"AvailableOnHandQuantity":201,"InventorySiteId":"VEN","dataAreaId":"hgv","ProductColorId":"","ProductConfigurationId":"","ProductSizeId":"","ProductStyleId":""}</t>
  </si>
  <si>
    <t>{"ItemNumber":"240360","ProductName":"Rucola melange 4*150g VF","InventoryWarehouseId":"EP","OnHandQuantity":172,"TotalAvailableQuantity":64,"AvailableOnHandQuantity":172,"InventorySiteId":"VEN","dataAreaId":"hgv","ProductColorId":"","ProductConfigurationId":"","ProductSizeId":"","ProductStyleId":""}</t>
  </si>
  <si>
    <t>{"ItemNumber":"240364","ProductName":"Kropsla mix 1*100g VF","InventoryWarehouseId":"EP","OnHandQuantity":385,"TotalAvailableQuantity":228,"AvailableOnHandQuantity":385,"InventorySiteId":"VEN","dataAreaId":"hgv","ProductColorId":"","ProductConfigurationId":"","ProductSizeId":"","ProductStyleId":""}</t>
  </si>
  <si>
    <t>{"ItemNumber":"240365","ProductName":"Veldsla 5*85g VF","InventoryWarehouseId":"EP","OnHandQuantity":460,"TotalAvailableQuantity":155,"AvailableOnHandQuantity":460,"InventorySiteId":"VEN","dataAreaId":"hgv","ProductColorId":"","ProductConfigurationId":"","ProductSizeId":"","ProductStyleId":""}</t>
  </si>
  <si>
    <t>{"ItemNumber":"240366","ProductName":"Veldsla 1*85g VF","InventoryWarehouseId":"EP","OnHandQuantity":197,"TotalAvailableQuantity":-44,"AvailableOnHandQuantity":197,"InventorySiteId":"VEN","dataAreaId":"hgv","ProductColorId":"","ProductConfigurationId":"","ProductSizeId":"","ProductStyleId":""}</t>
  </si>
  <si>
    <t>{"ItemNumber":"240369","ProductName":"IJsberg naturel 6*400g VF","InventoryWarehouseId":"EP","OnHandQuantity":378,"TotalAvailableQuantity":204,"AvailableOnHandQuantity":378,"InventorySiteId":"VEN","dataAreaId":"hgv","ProductColorId":"","ProductConfigurationId":"","ProductSizeId":"","ProductStyleId":""}</t>
  </si>
  <si>
    <t>{"ItemNumber":"240370","ProductName":"IJsberg naturel 6*200g VF","InventoryWarehouseId":"EP","OnHandQuantity":1644,"TotalAvailableQuantity":690,"AvailableOnHandQuantity":1644,"InventorySiteId":"VEN","dataAreaId":"hgv","ProductColorId":"","ProductConfigurationId":"","ProductSizeId":"","ProductStyleId":""}</t>
  </si>
  <si>
    <t>{"ItemNumber":"240371","ProductName":"IJsberg naturel 1*200g VF","InventoryWarehouseId":"EP","OnHandQuantity":806,"TotalAvailableQuantity":286,"AvailableOnHandQuantity":806,"InventorySiteId":"VEN","dataAreaId":"hgv","ProductColorId":"","ProductConfigurationId":"","ProductSizeId":"","ProductStyleId":""}</t>
  </si>
  <si>
    <t>{"ItemNumber":"240372","ProductName":"IJsberg fijn 4*100g VF","InventoryWarehouseId":"EP","OnHandQuantity":1700,"TotalAvailableQuantity":720,"AvailableOnHandQuantity":1700,"InventorySiteId":"VEN","dataAreaId":"hgv","ProductColorId":"","ProductConfigurationId":"","ProductSizeId":"","ProductStyleId":""}</t>
  </si>
  <si>
    <t>{"ItemNumber":"240373","ProductName":"IJsberg fijn 1*100g VF","InventoryWarehouseId":"EP","OnHandQuantity":380,"TotalAvailableQuantity":15,"AvailableOnHandQuantity":380,"InventorySiteId":"VEN","dataAreaId":"hgv","ProductColorId":"","ProductConfigurationId":"","ProductSizeId":"","ProductStyleId":""}</t>
  </si>
  <si>
    <t>{"ItemNumber":"240374","ProductName":"Worteltjes 4*300g VF","InventoryWarehouseId":"EP","OnHandQuantity":316,"TotalAvailableQuantity":88,"AvailableOnHandQuantity":316,"InventorySiteId":"VEN","dataAreaId":"hgv","ProductColorId":"","ProductConfigurationId":"","ProductSizeId":"","ProductStyleId":""}</t>
  </si>
  <si>
    <t>{"ItemNumber":"240375","ProductName":"IJsbergmelange 6*200g VF","InventoryWarehouseId":"EP","OnHandQuantity":1104,"TotalAvailableQuantity":306,"AvailableOnHandQuantity":1104,"InventorySiteId":"VEN","dataAreaId":"hgv","ProductColorId":"","ProductConfigurationId":"","ProductSizeId":"","ProductStyleId":""}</t>
  </si>
  <si>
    <t>{"ItemNumber":"240376","ProductName":"IJsbergmelange 1*200g VF","InventoryWarehouseId":"EP","OnHandQuantity":336,"TotalAvailableQuantity":-11,"AvailableOnHandQuantity":336,"InventorySiteId":"VEN","dataAreaId":"hgv","ProductColorId":"","ProductConfigurationId":"","ProductSizeId":"","ProductStyleId":""}</t>
  </si>
  <si>
    <t>{"ItemNumber":"240377","ProductName":"Worteltjes 1*300g VF","InventoryWarehouseId":"EP","OnHandQuantity":186,"TotalAvailableQuantity":43,"AvailableOnHandQuantity":186,"InventorySiteId":"VEN","dataAreaId":"hgv","ProductColorId":"","ProductConfigurationId":"","ProductSizeId":"","ProductStyleId":""}</t>
  </si>
  <si>
    <t>{"ItemNumber":"240378","ProductName":"Worteltjes 6*500g VF","InventoryWarehouseId":"EP","OnHandQuantity":432,"TotalAvailableQuantity":198,"AvailableOnHandQuantity":432,"InventorySiteId":"VEN","dataAreaId":"hgv","ProductColorId":"","ProductConfigurationId":"","ProductSizeId":"","ProductStyleId":""}</t>
  </si>
  <si>
    <t>{"ItemNumber":"240379","ProductName":"Worteltjes 1*500g VF","InventoryWarehouseId":"EP","OnHandQuantity":162,"TotalAvailableQuantity":26,"AvailableOnHandQuantity":162,"InventorySiteId":"VEN","dataAreaId":"hgv","ProductColorId":"","ProductConfigurationId":"","ProductSizeId":"","ProductStyleId":""}</t>
  </si>
  <si>
    <t>{"ItemNumber":"240380","ProductName":"Snackworteltjes 4*350g VF","InventoryWarehouseId":"EP","OnHandQuantity":696,"TotalAvailableQuantity":384,"AvailableOnHandQuantity":696,"InventorySiteId":"VEN","dataAreaId":"hgv","ProductColorId":"","ProductConfigurationId":"","ProductSizeId":"","ProductStyleId":""}</t>
  </si>
  <si>
    <t>{"ItemNumber":"240381","ProductName":"Snackworteltjes 1*350g VF","InventoryWarehouseId":"EP","OnHandQuantity":143,"TotalAvailableQuantity":17,"AvailableOnHandQuantity":143,"InventorySiteId":"VEN","dataAreaId":"hgv","ProductColorId":"","ProductConfigurationId":"","ProductSizeId":"","ProductStyleId":""}</t>
  </si>
  <si>
    <t>{"ItemNumber":"240382","ProductName":"Sperziebonen 4*400g VF","InventoryWarehouseId":"EP","OnHandQuantity":680,"TotalAvailableQuantity":268,"AvailableOnHandQuantity":680,"InventorySiteId":"VEN","dataAreaId":"hgv","ProductColorId":"","ProductConfigurationId":"","ProductSizeId":"","ProductStyleId":""}</t>
  </si>
  <si>
    <t>{"ItemNumber":"240383","ProductName":"Snackworteltjes 6*150g VF","InventoryWarehouseId":"EP","OnHandQuantity":402,"TotalAvailableQuantity":90,"AvailableOnHandQuantity":402,"InventorySiteId":"VEN","dataAreaId":"hgv","ProductColorId":"","ProductConfigurationId":"","ProductSizeId":"","ProductStyleId":""}</t>
  </si>
  <si>
    <t>{"ItemNumber":"240384","ProductName":"Snackworteltjes 1*150g VF","InventoryWarehouseId":"EP","OnHandQuantity":375,"TotalAvailableQuantity":164,"AvailableOnHandQuantity":375,"InventorySiteId":"VEN","dataAreaId":"hgv","ProductColorId":"","ProductConfigurationId":"","ProductSizeId":"","ProductStyleId":""}</t>
  </si>
  <si>
    <t>{"ItemNumber":"240385","ProductName":"Spitskool 3*400g VF","InventoryWarehouseId":"EP","OnHandQuantity":267,"TotalAvailableQuantity":102,"AvailableOnHandQuantity":267,"InventorySiteId":"VEN","dataAreaId":"hgv","ProductColorId":"","ProductConfigurationId":"","ProductSizeId":"","ProductStyleId":""}</t>
  </si>
  <si>
    <t>{"ItemNumber":"240386","ProductName":"Spitskool 1*400g VF","InventoryWarehouseId":"EP","OnHandQuantity":206,"TotalAvailableQuantity":124,"AvailableOnHandQuantity":206,"InventorySiteId":"VEN","dataAreaId":"hgv","ProductColorId":"","ProductConfigurationId":"","ProductSizeId":"","ProductStyleId":""}</t>
  </si>
  <si>
    <t>{"ItemNumber":"240390","ProductName":"Uien Ring Zak 5*300g VF","InventoryWarehouseId":"EP","OnHandQuantity":610,"TotalAvailableQuantity":770,"AvailableOnHandQuantity":610,"InventorySiteId":"VEN","dataAreaId":"hgv","ProductColorId":"","ProductConfigurationId":"","ProductSizeId":"","ProductStyleId":""}</t>
  </si>
  <si>
    <t>{"ItemNumber":"240391","ProductName":"Uien Ring Zak 1*300g VF","InventoryWarehouseId":"EP","OnHandQuantity":147,"TotalAvailableQuantity":184,"AvailableOnHandQuantity":147,"InventorySiteId":"VEN","dataAreaId":"hgv","ProductColorId":"","ProductConfigurationId":"","ProductSizeId":"","ProductStyleId":""}</t>
  </si>
  <si>
    <t>{"ItemNumber":"240394","ProductName":"Mac Spagh zak 6*500g VF","InventoryWarehouseId":"EP","OnHandQuantity":636,"TotalAvailableQuantity":186,"AvailableOnHandQuantity":636,"InventorySiteId":"VEN","dataAreaId":"hgv","ProductColorId":"","ProductConfigurationId":"","ProductSizeId":"","ProductStyleId":""}</t>
  </si>
  <si>
    <t>{"ItemNumber":"240395","ProductName":"Mac Spagh zak 1*500g VF","InventoryWarehouseId":"EP","OnHandQuantity":193,"TotalAvailableQuantity":6,"AvailableOnHandQuantity":193,"InventorySiteId":"VEN","dataAreaId":"hgv","ProductColorId":"","ProductConfigurationId":"","ProductSizeId":"","ProductStyleId":""}</t>
  </si>
  <si>
    <t>{"ItemNumber":"240400","ProductName":"Zuurkool 8*250g VF","InventoryWarehouseId":"EP","OnHandQuantity":0,"TotalAvailableQuantity":0,"AvailableOnHandQuantity":0,"InventorySiteId":"VEN","dataAreaId":"hgv","ProductColorId":"","ProductConfigurationId":"","ProductSizeId":"","ProductStyleId":""}</t>
  </si>
  <si>
    <t>{"ItemNumber":"240401","ProductName":"Zuurkool 6*500g VF","InventoryWarehouseId":"EP","OnHandQuantity":1362,"TotalAvailableQuantity":3672,"AvailableOnHandQuantity":1362,"InventorySiteId":"VEN","dataAreaId":"hgv","ProductColorId":"","ProductConfigurationId":"","ProductSizeId":"","ProductStyleId":""}</t>
  </si>
  <si>
    <t>{"ItemNumber":"240403","ProductName":"Zuurkool 1*250g VF","InventoryWarehouseId":"EP","OnHandQuantity":250,"TotalAvailableQuantity":496,"AvailableOnHandQuantity":250,"InventorySiteId":"VEN","dataAreaId":"hgv","ProductColorId":"","ProductConfigurationId":"","ProductSizeId":"","ProductStyleId":""}</t>
  </si>
  <si>
    <t>{"ItemNumber":"240406","ProductName":"Snijbonen 1*400g VF","InventoryWarehouseId":"EP","OnHandQuantity":-12,"TotalAvailableQuantity":-103,"AvailableOnHandQuantity":-12,"InventorySiteId":"VEN","dataAreaId":"hgv","ProductColorId":"","ProductConfigurationId":"","ProductSizeId":"","ProductStyleId":""}</t>
  </si>
  <si>
    <t>{"ItemNumber":"240407","ProductName":"Sperziebonen 1*400g VF","InventoryWarehouseId":"EP","OnHandQuantity":178,"TotalAvailableQuantity":22,"AvailableOnHandQuantity":178,"InventorySiteId":"VEN","dataAreaId":"hgv","ProductColorId":"","ProductConfigurationId":"","ProductSizeId":"","ProductStyleId":""}</t>
  </si>
  <si>
    <t>{"ItemNumber":"240411","ProductName":"Bloemkoolrijst BGE 3*400g VF","InventoryWarehouseId":"EP","OnHandQuantity":228,"TotalAvailableQuantity":141,"AvailableOnHandQuantity":228,"InventorySiteId":"VEN","dataAreaId":"hgv","ProductColorId":"","ProductConfigurationId":"","ProductSizeId":"","ProductStyleId":""}</t>
  </si>
  <si>
    <t>{"ItemNumber":"240421","ProductName":"Jonge Bladsla Rucola 5*100g VF","InventoryWarehouseId":"EP","OnHandQuantity":565,"TotalAvailableQuantity":220,"AvailableOnHandQuantity":565,"InventorySiteId":"VEN","dataAreaId":"hgv","ProductColorId":"","ProductConfigurationId":"","ProductSizeId":"","ProductStyleId":""}</t>
  </si>
  <si>
    <t>{"ItemNumber":"240423","ProductName":"Rwk Wortel julienne 1*150g VF","InventoryWarehouseId":"EP","OnHandQuantity":234,"TotalAvailableQuantity":168,"AvailableOnHandQuantity":234,"InventorySiteId":"VEN","dataAreaId":"hgv","ProductColorId":"","ProductConfigurationId":"","ProductSizeId":"","ProductStyleId":""}</t>
  </si>
  <si>
    <t>{"ItemNumber":"240425","ProductName":"Bloemkoolrijst BGE 1*400g VF","InventoryWarehouseId":"EP","OnHandQuantity":20,"TotalAvailableQuantity":6,"AvailableOnHandQuantity":20,"InventorySiteId":"VEN","dataAreaId":"hgv","ProductColorId":"","ProductConfigurationId":"","ProductSizeId":"","ProductStyleId":""}</t>
  </si>
  <si>
    <t>{"ItemNumber":"240426","ProductName":"Jonge Bladsla Rucola 1*100g","InventoryWarehouseId":"EP","OnHandQuantity":161,"TotalAvailableQuantity":35,"AvailableOnHandQuantity":161,"InventorySiteId":"VEN","dataAreaId":"hgv","ProductColorId":"","ProductConfigurationId":"","ProductSizeId":"","ProductStyleId":""}</t>
  </si>
  <si>
    <t>{"ItemNumber":"240429","ProductName":"Nasi Schaal 4*450g VF","InventoryWarehouseId":"EP","OnHandQuantity":396,"TotalAvailableQuantity":200,"AvailableOnHandQuantity":396,"InventorySiteId":"VEN","dataAreaId":"hgv","ProductColorId":"","ProductConfigurationId":"","ProductSizeId":"","ProductStyleId":""}</t>
  </si>
  <si>
    <t>{"ItemNumber":"240430","ProductName":"Nasi Schaal 1*450g VF","InventoryWarehouseId":"EP","OnHandQuantity":147,"TotalAvailableQuantity":-10,"AvailableOnHandQuantity":147,"InventorySiteId":"VEN","dataAreaId":"hgv","ProductColorId":"","ProductConfigurationId":"","ProductSizeId":"","ProductStyleId":""}</t>
  </si>
  <si>
    <t>{"ItemNumber":"240431","ProductName":"Bami pakket 6*450g VF","InventoryWarehouseId":"EP","OnHandQuantity":600,"TotalAvailableQuantity":252,"AvailableOnHandQuantity":600,"InventorySiteId":"VEN","dataAreaId":"hgv","ProductColorId":"","ProductConfigurationId":"","ProductSizeId":"","ProductStyleId":""}</t>
  </si>
  <si>
    <t>{"ItemNumber":"240432","ProductName":"Bami pakket 1*450g VF","InventoryWarehouseId":"EP","OnHandQuantity":221,"TotalAvailableQuantity":17,"AvailableOnHandQuantity":221,"InventorySiteId":"VEN","dataAreaId":"hgv","ProductColorId":"","ProductConfigurationId":"","ProductSizeId":"","ProductStyleId":""}</t>
  </si>
  <si>
    <t>{"ItemNumber":"240433","ProductName":"Mac Spagh pakket 6*450g VF","InventoryWarehouseId":"EP","OnHandQuantity":648,"TotalAvailableQuantity":150,"AvailableOnHandQuantity":648,"InventorySiteId":"VEN","dataAreaId":"hgv","ProductColorId":"","ProductConfigurationId":"","ProductSizeId":"","ProductStyleId":""}</t>
  </si>
  <si>
    <t>{"ItemNumber":"240434","ProductName":"Mac Spagh pakket 1*450g VF","InventoryWarehouseId":"EP","OnHandQuantity":361,"TotalAvailableQuantity":76,"AvailableOnHandQuantity":361,"InventorySiteId":"VEN","dataAreaId":"hgv","ProductColorId":"","ProductConfigurationId":"","ProductSizeId":"","ProductStyleId":""}</t>
  </si>
  <si>
    <t>{"ItemNumber":"240436","ProductName":"SS RWK veggie 3*275g VF","InventoryWarehouseId":"EP","OnHandQuantity":312,"TotalAvailableQuantity":126,"AvailableOnHandQuantity":312,"InventorySiteId":"VEN","dataAreaId":"hgv","ProductColorId":"","ProductConfigurationId":"","ProductSizeId":"","ProductStyleId":""}</t>
  </si>
  <si>
    <t>{"ItemNumber":"240437","ProductName":"SS RWK veggie 1*275g VF","InventoryWarehouseId":"EP","OnHandQuantity":225,"TotalAvailableQuantity":87,"AvailableOnHandQuantity":225,"InventorySiteId":"VEN","dataAreaId":"hgv","ProductColorId":"","ProductConfigurationId":"","ProductSizeId":"","ProductStyleId":""}</t>
  </si>
  <si>
    <t>{"ItemNumber":"240438","ProductName":"SS Hollands Veggie 2*275g VF","InventoryWarehouseId":"EP","OnHandQuantity":218,"TotalAvailableQuantity":90,"AvailableOnHandQuantity":218,"InventorySiteId":"VEN","dataAreaId":"hgv","ProductColorId":"","ProductConfigurationId":"","ProductSizeId":"","ProductStyleId":""}</t>
  </si>
  <si>
    <t>{"ItemNumber":"240439","ProductName":"SS Caesar 2*285g VF","InventoryWarehouseId":"EP","OnHandQuantity":620,"TotalAvailableQuantity":176,"AvailableOnHandQuantity":620,"InventorySiteId":"VEN","dataAreaId":"hgv","ProductColorId":"","ProductConfigurationId":"","ProductSizeId":"","ProductStyleId":""}</t>
  </si>
  <si>
    <t>{"ItemNumber":"240440","ProductName":"SS Caesar 1*285g VF","InventoryWarehouseId":"EP","OnHandQuantity":211,"TotalAvailableQuantity":72,"AvailableOnHandQuantity":211,"InventorySiteId":"VEN","dataAreaId":"hgv","ProductColorId":"","ProductConfigurationId":"","ProductSizeId":"","ProductStyleId":""}</t>
  </si>
  <si>
    <t>{"ItemNumber":"240443","ProductName":"Krulslamelange 5*100g VF","InventoryWarehouseId":"EP","OnHandQuantity":395,"TotalAvailableQuantity":85,"AvailableOnHandQuantity":395,"InventorySiteId":"VEN","dataAreaId":"hgv","ProductColorId":"","ProductConfigurationId":"","ProductSizeId":"","ProductStyleId":""}</t>
  </si>
  <si>
    <t>{"ItemNumber":"240445","ProductName":"Krulslamelange 1*100g VF","InventoryWarehouseId":"EP","OnHandQuantity":241,"TotalAvailableQuantity":52,"AvailableOnHandQuantity":241,"InventorySiteId":"VEN","dataAreaId":"hgv","ProductColorId":"","ProductConfigurationId":"","ProductSizeId":"","ProductStyleId":""}</t>
  </si>
  <si>
    <t>{"ItemNumber":"240447","ProductName":"Bio+ Rode kool 3*300g","InventoryWarehouseId":"EP","OnHandQuantity":186,"TotalAvailableQuantity":90,"AvailableOnHandQuantity":186,"InventorySiteId":"VEN","dataAreaId":"hgv","ProductColorId":"","ProductConfigurationId":"","ProductSizeId":"","ProductStyleId":""}</t>
  </si>
  <si>
    <t>{"ItemNumber":"240448","ProductName":"Bio+ Rucola 5*40g","InventoryWarehouseId":"EP","OnHandQuantity":385,"TotalAvailableQuantity":205,"AvailableOnHandQuantity":385,"InventorySiteId":"VEN","dataAreaId":"hgv","ProductColorId":"","ProductConfigurationId":"","ProductSizeId":"","ProductStyleId":""}</t>
  </si>
  <si>
    <t>{"ItemNumber":"240452","ProductName":"Bio+ Spinazie 2*200g","InventoryWarehouseId":"EP","OnHandQuantity":264,"TotalAvailableQuantity":192,"AvailableOnHandQuantity":264,"InventorySiteId":"VEN","dataAreaId":"hgv","ProductColorId":"","ProductConfigurationId":"","ProductSizeId":"","ProductStyleId":""}</t>
  </si>
  <si>
    <t>{"ItemNumber":"240460","ProductName":"Uien gesnipperd 1*150g VF","InventoryWarehouseId":"EP","OnHandQuantity":229,"TotalAvailableQuantity":266,"AvailableOnHandQuantity":229,"InventorySiteId":"VEN","dataAreaId":"hgv","ProductColorId":"","ProductConfigurationId":"","ProductSizeId":"","ProductStyleId":""}</t>
  </si>
  <si>
    <t>{"ItemNumber":"240462","ProductName":"SS Boeren BL1-V1Z3 2*295g VF","InventoryWarehouseId":"EP","OnHandQuantity":204,"TotalAvailableQuantity":88,"AvailableOnHandQuantity":204,"InventorySiteId":"VEN","dataAreaId":"hgv","ProductColorId":"","ProductConfigurationId":"","ProductSizeId":"","ProductStyleId":""}</t>
  </si>
  <si>
    <t>{"ItemNumber":"240487","ProductName":"Spinazie 4*600g","InventoryWarehouseId":"EP","OnHandQuantity":464,"TotalAvailableQuantity":356,"AvailableOnHandQuantity":464,"InventorySiteId":"VEN","dataAreaId":"hgv","ProductColorId":"","ProductConfigurationId":"","ProductSizeId":"","ProductStyleId":""}</t>
  </si>
  <si>
    <t>{"ItemNumber":"240488","ProductName":"Spinazie 4*200g VF","InventoryWarehouseId":"EP","OnHandQuantity":924,"TotalAvailableQuantity":392,"AvailableOnHandQuantity":924,"InventorySiteId":"VEN","dataAreaId":"hgv","ProductColorId":"","ProductConfigurationId":"","ProductSizeId":"","ProductStyleId":""}</t>
  </si>
  <si>
    <t>{"ItemNumber":"240489","ProductName":"Spinazie 1*200g VF","InventoryWarehouseId":"EP","OnHandQuantity":180,"TotalAvailableQuantity":57,"AvailableOnHandQuantity":180,"InventorySiteId":"VEN","dataAreaId":"hgv","ProductColorId":"","ProductConfigurationId":"","ProductSizeId":"","ProductStyleId":""}</t>
  </si>
  <si>
    <t>{"ItemNumber":"240491","ProductName":"Spinazie 1*400g VF","InventoryWarehouseId":"EP","OnHandQuantity":224,"TotalAvailableQuantity":-4,"AvailableOnHandQuantity":224,"InventorySiteId":"VEN","dataAreaId":"hgv","ProductColorId":"","ProductConfigurationId":"","ProductSizeId":"","ProductStyleId":""}</t>
  </si>
  <si>
    <t>{"ItemNumber":"240491","ProductName":"Spinazie 1*400g VF","InventoryWarehouseId":"RL","OnHandQuantity":0,"TotalAvailableQuantity":3,"AvailableOnHandQuantity":0,"InventorySiteId":"VEN","dataAreaId":"hgv","ProductColorId":"","ProductConfigurationId":"","ProductSizeId":"","ProductStyleId":""}</t>
  </si>
  <si>
    <t>{"ItemNumber":"240506","ProductName":"Tauge 6*200g","InventoryWarehouseId":"EP","OnHandQuantity":804,"TotalAvailableQuantity":372,"AvailableOnHandQuantity":804,"InventorySiteId":"VEN","dataAreaId":"hgv","ProductColorId":"","ProductConfigurationId":"","ProductSizeId":"","ProductStyleId":""}</t>
  </si>
  <si>
    <t>{"ItemNumber":"240507","ProductName":"Tauge 1*200g","InventoryWarehouseId":"EP","OnHandQuantity":173,"TotalAvailableQuantity":44,"AvailableOnHandQuantity":173,"InventorySiteId":"VEN","dataAreaId":"hgv","ProductColorId":"","ProductConfigurationId":"","ProductSizeId":"","ProductStyleId":""}</t>
  </si>
  <si>
    <t>{"ItemNumber":"240509","ProductName":"Uien gesnipperd 6*150g VF","InventoryWarehouseId":"EP","OnHandQuantity":780,"TotalAvailableQuantity":1020,"AvailableOnHandQuantity":780,"InventorySiteId":"VEN","dataAreaId":"hgv","ProductColorId":"","ProductConfigurationId":"","ProductSizeId":"","ProductStyleId":""}</t>
  </si>
  <si>
    <t>{"ItemNumber":"240521","ProductName":"Soep Fijn Julienne 1*250g VF","InventoryWarehouseId":"EP","OnHandQuantity":310,"TotalAvailableQuantity":22,"AvailableOnHandQuantity":310,"InventorySiteId":"VEN","dataAreaId":"hgv","ProductColorId":"","ProductConfigurationId":"","ProductSizeId":"","ProductStyleId":""}</t>
  </si>
  <si>
    <t>{"ItemNumber":"240534","ProductName":"Soep Fijn Julienne 4*250g VF","InventoryWarehouseId":"EP","OnHandQuantity":1216,"TotalAvailableQuantity":656,"AvailableOnHandQuantity":1216,"InventorySiteId":"VEN","dataAreaId":"hgv","ProductColorId":"","ProductConfigurationId":"","ProductSizeId":"","ProductStyleId":""}</t>
  </si>
  <si>
    <t>{"ItemNumber":"240547","ProductName":"IJsbergsla fijn 4*200g VF","InventoryWarehouseId":"EP","OnHandQuantity":712,"TotalAvailableQuantity":368,"AvailableOnHandQuantity":712,"InventorySiteId":"VEN","dataAreaId":"hgv","ProductColorId":"","ProductConfigurationId":"","ProductSizeId":"","ProductStyleId":""}</t>
  </si>
  <si>
    <t>{"ItemNumber":"240548","ProductName":"Gemengde Sla 4*125g VF","InventoryWarehouseId":"EP","OnHandQuantity":596,"TotalAvailableQuantity":-148,"AvailableOnHandQuantity":596,"InventorySiteId":"VEN","dataAreaId":"hgv","ProductColorId":"","ProductConfigurationId":"","ProductSizeId":"","ProductStyleId":""}</t>
  </si>
  <si>
    <t>{"ItemNumber":"240553","ProductName":"KS Quinoa notenmix 1*200g Vegan","InventoryWarehouseId":"EP","OnHandQuantity":254,"TotalAvailableQuantity":188,"AvailableOnHandQuantity":254,"InventorySiteId":"VEN","dataAreaId":"hgv","ProductColorId":"","ProductConfigurationId":"","ProductSizeId":"","ProductStyleId":""}</t>
  </si>
  <si>
    <t>{"ItemNumber":"240554","ProductName":"KS Couscous Hummus 1*200g Veggie","InventoryWarehouseId":"EP","OnHandQuantity":326,"TotalAvailableQuantity":255,"AvailableOnHandQuantity":326,"InventorySiteId":"VEN","dataAreaId":"hgv","ProductColorId":"","ProductConfigurationId":"","ProductSizeId":"","ProductStyleId":""}</t>
  </si>
  <si>
    <t>{"ItemNumber":"240564","ProductName":"Wokgroente Oosters 5*400g VF","InventoryWarehouseId":"EP","OnHandQuantity":335,"TotalAvailableQuantity":135,"AvailableOnHandQuantity":335,"InventorySiteId":"VEN","dataAreaId":"hgv","ProductColorId":"","ProductConfigurationId":"","ProductSizeId":"","ProductStyleId":""}</t>
  </si>
  <si>
    <t>{"ItemNumber":"240565","ProductName":"Bio bieten 4*400g","InventoryWarehouseId":"EP","OnHandQuantity":1156,"TotalAvailableQuantity":1924,"AvailableOnHandQuantity":1156,"InventorySiteId":"VEN","dataAreaId":"hgv","ProductColorId":"","ProductConfigurationId":"","ProductSizeId":"","ProductStyleId":""}</t>
  </si>
  <si>
    <t>{"ItemNumber":"240566","ProductName":"MTS CaesarBL1-K1 2*450g VF","InventoryWarehouseId":"EP","OnHandQuantity":244,"TotalAvailableQuantity":66,"AvailableOnHandQuantity":244,"InventorySiteId":"VEN","dataAreaId":"hgv","ProductColorId":"","ProductConfigurationId":"","ProductSizeId":"","ProductStyleId":""}</t>
  </si>
  <si>
    <t>{"ItemNumber":"240567","ProductName":"MTS Basis Gegrilde Kip BL-K1 2*450g VF","InventoryWarehouseId":"EP","OnHandQuantity":162,"TotalAvailableQuantity":44,"AvailableOnHandQuantity":162,"InventorySiteId":"VEN","dataAreaId":"hgv","ProductColorId":"","ProductConfigurationId":"","ProductSizeId":"","ProductStyleId":""}</t>
  </si>
  <si>
    <t>{"ItemNumber":"240568","ProductName":"MTS Tonijn MSC 2*450g SU VF","InventoryWarehouseId":"EP","OnHandQuantity":268,"TotalAvailableQuantity":184,"AvailableOnHandQuantity":268,"InventorySiteId":"VEN","dataAreaId":"hgv","ProductColorId":"","ProductConfigurationId":"","ProductSizeId":"","ProductStyleId":""}</t>
  </si>
  <si>
    <t>{"ItemNumber":"240569","ProductName":"MTS Zalm ASC 2*450g VF","InventoryWarehouseId":"EP","OnHandQuantity":78,"TotalAvailableQuantity":22,"AvailableOnHandQuantity":78,"InventorySiteId":"VEN","dataAreaId":"hgv","ProductColorId":"","ProductConfigurationId":"","ProductSizeId":"","ProductStyleId":""}</t>
  </si>
  <si>
    <t>{"ItemNumber":"240570","ProductName":"MTS Kip Bacon BL1K1V1 2*400g VF","InventoryWarehouseId":"EP","OnHandQuantity":128,"TotalAvailableQuantity":24,"AvailableOnHandQuantity":128,"InventorySiteId":"VEN","dataAreaId":"hgv","ProductColorId":"","ProductConfigurationId":"","ProductSizeId":"","ProductStyleId":""}</t>
  </si>
  <si>
    <t>{"ItemNumber":"240572","ProductName":"MTS Gerookte kip BL1-K1 2*450g VF","InventoryWarehouseId":"EP","OnHandQuantity":142,"TotalAvailableQuantity":46,"AvailableOnHandQuantity":142,"InventorySiteId":"VEN","dataAreaId":"hgv","ProductColorId":"","ProductConfigurationId":"","ProductSizeId":"","ProductStyleId":""}</t>
  </si>
  <si>
    <t>{"ItemNumber":"240573","ProductName":"MTS Mozzarella 2*450g VF","InventoryWarehouseId":"EP","OnHandQuantity":76,"TotalAvailableQuantity":-4,"AvailableOnHandQuantity":76,"InventorySiteId":"VEN","dataAreaId":"hgv","ProductColorId":"","ProductConfigurationId":"","ProductSizeId":"","ProductStyleId":""}</t>
  </si>
  <si>
    <t>{"ItemNumber":"240575","ProductName":"MTS Caesar BL1-K1 1*450g VF","InventoryWarehouseId":"EP","OnHandQuantity":165,"TotalAvailableQuantity":45,"AvailableOnHandQuantity":165,"InventorySiteId":"VEN","dataAreaId":"hgv","ProductColorId":"","ProductConfigurationId":"","ProductSizeId":"","ProductStyleId":""}</t>
  </si>
  <si>
    <t>{"ItemNumber":"240576","ProductName":"MTS Walnoot Geitenkaas 1*450g VF","InventoryWarehouseId":"EP","OnHandQuantity":155,"TotalAvailableQuantity":108,"AvailableOnHandQuantity":155,"InventorySiteId":"VEN","dataAreaId":"hgv","ProductColorId":"","ProductConfigurationId":"","ProductSizeId":"","ProductStyleId":""}</t>
  </si>
  <si>
    <t>{"ItemNumber":"240577","ProductName":"MTS Gerookte kip BL1-K1 1*450g VF","InventoryWarehouseId":"EP","OnHandQuantity":53,"TotalAvailableQuantity":19,"AvailableOnHandQuantity":53,"InventorySiteId":"VEN","dataAreaId":"hgv","ProductColorId":"","ProductConfigurationId":"","ProductSizeId":"","ProductStyleId":""}</t>
  </si>
  <si>
    <t>{"ItemNumber":"240578","ProductName":"MTS Gegrilde Kip BLK1* 1*450g VF","InventoryWarehouseId":"EP","OnHandQuantity":203,"TotalAvailableQuantity":58,"AvailableOnHandQuantity":203,"InventorySiteId":"VEN","dataAreaId":"hgv","ProductColorId":"","ProductConfigurationId":"","ProductSizeId":"","ProductStyleId":""}</t>
  </si>
  <si>
    <t>{"ItemNumber":"240579","ProductName":"MTS Tonijn MSC 1*450g VF","InventoryWarehouseId":"EP","OnHandQuantity":78,"TotalAvailableQuantity":15,"AvailableOnHandQuantity":78,"InventorySiteId":"VEN","dataAreaId":"hgv","ProductColorId":"","ProductConfigurationId":"","ProductSizeId":"","ProductStyleId":""}</t>
  </si>
  <si>
    <t>{"ItemNumber":"240580","ProductName":"MTS Kip Bacon BL1K1V1 1*400g VF","InventoryWarehouseId":"EP","OnHandQuantity":73,"TotalAvailableQuantity":8,"AvailableOnHandQuantity":73,"InventorySiteId":"VEN","dataAreaId":"hgv","ProductColorId":"","ProductConfigurationId":"","ProductSizeId":"","ProductStyleId":""}</t>
  </si>
  <si>
    <t>{"ItemNumber":"240581","ProductName":"MTS Mozzarella 1*450g VF","InventoryWarehouseId":"EP","OnHandQuantity":113,"TotalAvailableQuantity":68,"AvailableOnHandQuantity":113,"InventorySiteId":"VEN","dataAreaId":"hgv","ProductColorId":"","ProductConfigurationId":"","ProductSizeId":"","ProductStyleId":""}</t>
  </si>
  <si>
    <t>{"ItemNumber":"240582","ProductName":"MTS Kip Ketjap BL1-K1 1*450g VF","InventoryWarehouseId":"EP","OnHandQuantity":21,"TotalAvailableQuantity":-12,"AvailableOnHandQuantity":21,"InventorySiteId":"VEN","dataAreaId":"hgv","ProductColorId":"","ProductConfigurationId":"","ProductSizeId":"","ProductStyleId":""}</t>
  </si>
  <si>
    <t>{"ItemNumber":"240583","ProductName":"Erwtensoepgroenten 5*500g VF","InventoryWarehouseId":"EP","OnHandQuantity":180,"TotalAvailableQuantity":50,"AvailableOnHandQuantity":180,"InventorySiteId":"VEN","dataAreaId":"hgv","ProductColorId":"","ProductConfigurationId":"","ProductSizeId":"","ProductStyleId":""}</t>
  </si>
  <si>
    <t>{"ItemNumber":"240585","ProductName":"Soepgroenten basis 1*400g VF","InventoryWarehouseId":"EP","OnHandQuantity":250,"TotalAvailableQuantity":54,"AvailableOnHandQuantity":250,"InventorySiteId":"VEN","dataAreaId":"hgv","ProductColorId":"","ProductConfigurationId":"","ProductSizeId":"","ProductStyleId":""}</t>
  </si>
  <si>
    <t>{"ItemNumber":"240586","ProductName":"Soepgroenten basis 8*400g VF","InventoryWarehouseId":"EP","OnHandQuantity":704,"TotalAvailableQuantity":240,"AvailableOnHandQuantity":704,"InventorySiteId":"VEN","dataAreaId":"hgv","ProductColorId":"","ProductConfigurationId":"","ProductSizeId":"","ProductStyleId":""}</t>
  </si>
  <si>
    <t>{"ItemNumber":"240587","ProductName":"Soepgroenten fijn 4*250g VF","InventoryWarehouseId":"EP","OnHandQuantity":0,"TotalAvailableQuantity":-48,"AvailableOnHandQuantity":0,"InventorySiteId":"VEN","dataAreaId":"hgv","ProductColorId":"","ProductConfigurationId":"","ProductSizeId":"","ProductStyleId":""}</t>
  </si>
  <si>
    <t>{"ItemNumber":"240588","ProductName":"Boerensoepgroenten 1*350g VF","InventoryWarehouseId":"EP","OnHandQuantity":263,"TotalAvailableQuantity":96,"AvailableOnHandQuantity":263,"InventorySiteId":"VEN","dataAreaId":"hgv","ProductColorId":"","ProductConfigurationId":"","ProductSizeId":"","ProductStyleId":""}</t>
  </si>
  <si>
    <t>{"ItemNumber":"240590","ProductName":"Hutspot 8*500g VF","InventoryWarehouseId":"EP","OnHandQuantity":1656,"TotalAvailableQuantity":376,"AvailableOnHandQuantity":1656,"InventorySiteId":"VEN","dataAreaId":"hgv","ProductColorId":"","ProductConfigurationId":"","ProductSizeId":"","ProductStyleId":""}</t>
  </si>
  <si>
    <t>{"ItemNumber":"240593","ProductName":"Boerensoepgroenten 6*350g VF","InventoryWarehouseId":"EP","OnHandQuantity":516,"TotalAvailableQuantity":228,"AvailableOnHandQuantity":516,"InventorySiteId":"VEN","dataAreaId":"hgv","ProductColorId":"","ProductConfigurationId":"","ProductSizeId":"","ProductStyleId":""}</t>
  </si>
  <si>
    <t>{"ItemNumber":"240594","ProductName":"Boerenkool Grof 5*300g VF","InventoryWarehouseId":"EP","OnHandQuantity":0,"TotalAvailableQuantity":-60,"AvailableOnHandQuantity":0,"InventorySiteId":"VEN","dataAreaId":"hgv","ProductColorId":"","ProductConfigurationId":"","ProductSizeId":"","ProductStyleId":""}</t>
  </si>
  <si>
    <t>{"ItemNumber":"240596","ProductName":"Rode kool 1*400g VF","InventoryWarehouseId":"EP","OnHandQuantity":121,"TotalAvailableQuantity":72,"AvailableOnHandQuantity":121,"InventorySiteId":"VEN","dataAreaId":"hgv","ProductColorId":"","ProductConfigurationId":"","ProductSizeId":"","ProductStyleId":""}</t>
  </si>
  <si>
    <t>{"ItemNumber":"240597","ProductName":"Spruiten 4*350g VF","InventoryWarehouseId":"EP","OnHandQuantity":268,"TotalAvailableQuantity":100,"AvailableOnHandQuantity":268,"InventorySiteId":"VEN","dataAreaId":"hgv","ProductColorId":"","ProductConfigurationId":"","ProductSizeId":"","ProductStyleId":""}</t>
  </si>
  <si>
    <t>{"ItemNumber":"240599","ProductName":"Rapen 1*400g VF","InventoryWarehouseId":"EP","OnHandQuantity":53,"TotalAvailableQuantity":7,"AvailableOnHandQuantity":53,"InventorySiteId":"VEN","dataAreaId":"hgv","ProductColorId":"","ProductConfigurationId":"","ProductSizeId":"","ProductStyleId":""}</t>
  </si>
  <si>
    <t>{"ItemNumber":"240604","ProductName":"Rapen 4*400g VF","InventoryWarehouseId":"EP","OnHandQuantity":136,"TotalAvailableQuantity":40,"AvailableOnHandQuantity":136,"InventorySiteId":"VEN","dataAreaId":"hgv","ProductColorId":"","ProductConfigurationId":"","ProductSizeId":"","ProductStyleId":""}</t>
  </si>
  <si>
    <t>{"ItemNumber":"240605","ProductName":"Boerenkool Fijn 4*500g VF","InventoryWarehouseId":"EP","OnHandQuantity":0,"TotalAvailableQuantity":-4,"AvailableOnHandQuantity":0,"InventorySiteId":"VEN","dataAreaId":"hgv","ProductColorId":"","ProductConfigurationId":"","ProductSizeId":"","ProductStyleId":""}</t>
  </si>
  <si>
    <t>{"ItemNumber":"240608","ProductName":"Hutspot 1*500g VF","InventoryWarehouseId":"EP","OnHandQuantity":308,"TotalAvailableQuantity":124,"AvailableOnHandQuantity":308,"InventorySiteId":"VEN","dataAreaId":"hgv","ProductColorId":"","ProductConfigurationId":"","ProductSizeId":"","ProductStyleId":""}</t>
  </si>
  <si>
    <t>{"ItemNumber":"240617","ProductName":"Bami/Nasi Zak 6*250g VF","InventoryWarehouseId":"EP","OnHandQuantity":0,"TotalAvailableQuantity":-72,"AvailableOnHandQuantity":0,"InventorySiteId":"VEN","dataAreaId":"hgv","ProductColorId":"","ProductConfigurationId":"","ProductSizeId":"","ProductStyleId":""}</t>
  </si>
  <si>
    <t>{"ItemNumber":"240618","ProductName":"Mac Spagh zak 6*250g VF","InventoryWarehouseId":"EP","OnHandQuantity":0,"TotalAvailableQuantity":-42,"AvailableOnHandQuantity":0,"InventorySiteId":"VEN","dataAreaId":"hgv","ProductColorId":"","ProductConfigurationId":"","ProductSizeId":"","ProductStyleId":""}</t>
  </si>
  <si>
    <t>{"ItemNumber":"240619","ProductName":"Mac Spagh zak 6*450g VF","InventoryWarehouseId":"EP","OnHandQuantity":0,"TotalAvailableQuantity":-42,"AvailableOnHandQuantity":0,"InventorySiteId":"VEN","dataAreaId":"hgv","ProductColorId":"","ProductConfigurationId":"","ProductSizeId":"","ProductStyleId":""}</t>
  </si>
  <si>
    <t>{"ItemNumber":"240620","ProductName":"Bami Nasi Hele Peper Zak 6*450g VF","InventoryWarehouseId":"EP","OnHandQuantity":0,"TotalAvailableQuantity":-48,"AvailableOnHandQuantity":0,"InventorySiteId":"VEN","dataAreaId":"hgv","ProductColorId":"","ProductConfigurationId":"","ProductSizeId":"","ProductStyleId":""}</t>
  </si>
  <si>
    <t>{"ItemNumber":"240623","ProductName":"Bami/Nasi Zak 1*250g VF","InventoryWarehouseId":"EP","OnHandQuantity":12,"TotalAvailableQuantity":12,"AvailableOnHandQuantity":12,"InventorySiteId":"VEN","dataAreaId":"hgv","ProductColorId":"","ProductConfigurationId":"","ProductSizeId":"","ProductStyleId":""}</t>
  </si>
  <si>
    <t>{"ItemNumber":"240624","ProductName":"Mac Spagh zak 1*250g VF","InventoryWarehouseId":"EP","OnHandQuantity":12,"TotalAvailableQuantity":12,"AvailableOnHandQuantity":12,"InventorySiteId":"VEN","dataAreaId":"hgv","ProductColorId":"","ProductConfigurationId":"","ProductSizeId":"","ProductStyleId":""}</t>
  </si>
  <si>
    <t>{"ItemNumber":"241","ProductName":"FL Versland Krat Middel Blauw","InventoryWarehouseId":"GR","OnHandQuantity":-513,"TotalAvailableQuantity":-513,"AvailableOnHandQuantity":-513,"InventorySiteId":"VEN","dataAreaId":"hgv","ProductColorId":"","ProductConfigurationId":"","ProductSizeId":"","ProductStyleId":""}</t>
  </si>
  <si>
    <t>{"ItemNumber":"243","ProductName":"Van Gorp Krat Rood","InventoryWarehouseId":"GR","OnHandQuantity":0,"TotalAvailableQuantity":0,"AvailableOnHandQuantity":0,"InventorySiteId":"VEN","dataAreaId":"hgv","ProductColorId":"","ProductConfigurationId":"","ProductSizeId":"","ProductStyleId":""}</t>
  </si>
  <si>
    <t>{"ItemNumber":"244","ProductName":"Heiploeg Krat","InventoryWarehouseId":"GR","OnHandQuantity":248,"TotalAvailableQuantity":248,"AvailableOnHandQuantity":248,"InventorySiteId":"VEN","dataAreaId":"hgv","ProductColorId":"","ProductConfigurationId":"","ProductSizeId":"","ProductStyleId":""}</t>
  </si>
  <si>
    <t>{"ItemNumber":"246","ProductName":"Van Oers 6422 Groen","InventoryWarehouseId":"GR","OnHandQuantity":400,"TotalAvailableQuantity":400,"AvailableOnHandQuantity":400,"InventorySiteId":"VEN","dataAreaId":"hgv","ProductColorId":"","ProductConfigurationId":"","ProductSizeId":"","ProductStyleId":""}</t>
  </si>
  <si>
    <t>{"ItemNumber":"247","ProductName":"Hessing Star Blauw","InventoryWarehouseId":"EMB3","OnHandQuantity":0,"TotalAvailableQuantity":0,"AvailableOnHandQuantity":0,"InventorySiteId":"VEN","dataAreaId":"hgv","ProductColorId":"","ProductConfigurationId":"","ProductSizeId":"","ProductStyleId":""}</t>
  </si>
  <si>
    <t>{"ItemNumber":"247","ProductName":"Hessing Star Blauw","InventoryWarehouseId":"GR","OnHandQuantity":8321,"TotalAvailableQuantity":8321,"AvailableOnHandQuantity":8321,"InventorySiteId":"VEN","dataAreaId":"hgv","ProductColorId":"","ProductConfigurationId":"","ProductSizeId":"","ProductStyleId":""}</t>
  </si>
  <si>
    <t>{"ItemNumber":"250","ProductName":"Azul Rizzi krat","InventoryWarehouseId":"GR","OnHandQuantity":0,"TotalAvailableQuantity":0,"AvailableOnHandQuantity":0,"InventorySiteId":"VEN","dataAreaId":"hgv","ProductColorId":"","ProductConfigurationId":"","ProductSizeId":"","ProductStyleId":""}</t>
  </si>
  <si>
    <t>{"ItemNumber":"252","ProductName":"Eisberg krat Blauw","InventoryWarehouseId":"GR","OnHandQuantity":1440,"TotalAvailableQuantity":1440,"AvailableOnHandQuantity":1440,"InventorySiteId":"VEN","dataAreaId":"hgv","ProductColorId":"","ProductConfigurationId":"","ProductSizeId":"","ProductStyleId":""}</t>
  </si>
  <si>
    <t>{"ItemNumber":"255","ProductName":"Vicasol Groen","InventoryWarehouseId":"EP","OnHandQuantity":160,"TotalAvailableQuantity":160,"AvailableOnHandQuantity":160,"InventorySiteId":"VEN","dataAreaId":"hgv","ProductColorId":"","ProductConfigurationId":"","ProductSizeId":"","ProductStyleId":""}</t>
  </si>
  <si>
    <t>{"ItemNumber":"255","ProductName":"Vicasol Groen","InventoryWarehouseId":"GR","OnHandQuantity":4329,"TotalAvailableQuantity":4329,"AvailableOnHandQuantity":4329,"InventorySiteId":"VEN","dataAreaId":"hgv","ProductColorId":"","ProductConfigurationId":"","ProductSizeId":"","ProductStyleId":""}</t>
  </si>
  <si>
    <t>{"ItemNumber":"256","ProductName":"KF Fresh2You Paars","InventoryWarehouseId":"GR","OnHandQuantity":798,"TotalAvailableQuantity":798,"AvailableOnHandQuantity":798,"InventorySiteId":"VEN","dataAreaId":"hgv","ProductColorId":"","ProductConfigurationId":"","ProductSizeId":"","ProductStyleId":""}</t>
  </si>
  <si>
    <t>{"ItemNumber":"257","ProductName":"Trombin Krat","InventoryWarehouseId":"GR","OnHandQuantity":0,"TotalAvailableQuantity":0,"AvailableOnHandQuantity":0,"InventorySiteId":"VEN","dataAreaId":"hgv","ProductColorId":"","ProductConfigurationId":"","ProductSizeId":"","ProductStyleId":""}</t>
  </si>
  <si>
    <t>{"ItemNumber":"258","ProductName":"KF Cargoplast 3G4M Zwart","InventoryWarehouseId":"GR","OnHandQuantity":1776,"TotalAvailableQuantity":1776,"AvailableOnHandQuantity":1776,"InventorySiteId":"VEN","dataAreaId":"hgv","ProductColorId":"","ProductConfigurationId":"","ProductSizeId":"","ProductStyleId":""}</t>
  </si>
  <si>
    <t>{"ItemNumber":"259","ProductName":"Ripagnola Blauw","InventoryWarehouseId":"GR","OnHandQuantity":40,"TotalAvailableQuantity":40,"AvailableOnHandQuantity":40,"InventorySiteId":"VEN","dataAreaId":"hgv","ProductColorId":"","ProductConfigurationId":"","ProductSizeId":"","ProductStyleId":""}</t>
  </si>
  <si>
    <t>{"ItemNumber":"260","ProductName":"Eurocom Geel","InventoryWarehouseId":"GR","OnHandQuantity":0,"TotalAvailableQuantity":0,"AvailableOnHandQuantity":0,"InventorySiteId":"VEN","dataAreaId":"hgv","ProductColorId":"","ProductConfigurationId":"","ProductSizeId":"","ProductStyleId":""}</t>
  </si>
  <si>
    <t>{"ItemNumber":"260115","ProductName":"Organic Coleslaw 4*350g","InventoryWarehouseId":"EP","OnHandQuantity":744,"TotalAvailableQuantity":744,"AvailableOnHandQuantity":744,"InventorySiteId":"VEN","dataAreaId":"hgv","ProductColorId":"","ProductConfigurationId":"","ProductSizeId":"","ProductStyleId":""}</t>
  </si>
  <si>
    <t>{"ItemNumber":"260123","ProductName":"SD Caesar salad 4*285g","InventoryWarehouseId":"EP","OnHandQuantity":376,"TotalAvailableQuantity":376,"AvailableOnHandQuantity":376,"InventorySiteId":"VEN","dataAreaId":"hgv","ProductColorId":"","ProductConfigurationId":"","ProductSizeId":"","ProductStyleId":""}</t>
  </si>
  <si>
    <t>{"ItemNumber":"260125","ProductName":"SD Point.Cabb.w/cr.dres.4*320g","InventoryWarehouseId":"EP","OnHandQuantity":480,"TotalAvailableQuantity":480,"AvailableOnHandQuantity":480,"InventorySiteId":"VEN","dataAreaId":"hgv","ProductColorId":"","ProductConfigurationId":"","ProductSizeId":"","ProductStyleId":""}</t>
  </si>
  <si>
    <t>{"ItemNumber":"260126","ProductName":"SD Coleslaw 4*400g","InventoryWarehouseId":"EP","OnHandQuantity":1484,"TotalAvailableQuantity":1484,"AvailableOnHandQuantity":1484,"InventorySiteId":"VEN","dataAreaId":"hgv","ProductColorId":"","ProductConfigurationId":"","ProductSizeId":"","ProductStyleId":""}</t>
  </si>
  <si>
    <t>{"ItemNumber":"260127","ProductName":"SD Nordic coleslaw 4*350g","InventoryWarehouseId":"EP","OnHandQuantity":552,"TotalAvailableQuantity":552,"AvailableOnHandQuantity":552,"InventorySiteId":"VEN","dataAreaId":"hgv","ProductColorId":"","ProductConfigurationId":"","ProductSizeId":"","ProductStyleId":""}</t>
  </si>
  <si>
    <t>{"ItemNumber":"260129","ProductName":"MTS Spicy chicken 4*400g","InventoryWarehouseId":"EP","OnHandQuantity":276,"TotalAvailableQuantity":276,"AvailableOnHandQuantity":276,"InventorySiteId":"VEN","dataAreaId":"hgv","ProductColorId":"","ProductConfigurationId":"","ProductSizeId":"","ProductStyleId":""}</t>
  </si>
  <si>
    <t>{"ItemNumber":"260131","ProductName":"SS Salat mix 4*300g","InventoryWarehouseId":"EP","OnHandQuantity":684,"TotalAvailableQuantity":684,"AvailableOnHandQuantity":684,"InventorySiteId":"VEN","dataAreaId":"hgv","ProductColorId":"","ProductConfigurationId":"","ProductSizeId":"","ProductStyleId":""}</t>
  </si>
  <si>
    <t>{"ItemNumber":"260132","ProductName":"SS Santa Fe Caesar 4*300g","InventoryWarehouseId":"EP","OnHandQuantity":768,"TotalAvailableQuantity":768,"AvailableOnHandQuantity":768,"InventorySiteId":"VEN","dataAreaId":"hgv","ProductColorId":"","ProductConfigurationId":"","ProductSizeId":"","ProductStyleId":""}</t>
  </si>
  <si>
    <t>{"ItemNumber":"260143","ProductName":"Everyday salad 6*125g VF","InventoryWarehouseId":"EP","OnHandQuantity":2076,"TotalAvailableQuantity":2076,"AvailableOnHandQuantity":2076,"InventorySiteId":"VEN","dataAreaId":"hgv","ProductColorId":"","ProductConfigurationId":"","ProductSizeId":"","ProductStyleId":""}</t>
  </si>
  <si>
    <t>{"ItemNumber":"260144","ProductName":"Frisee Radicchio mix 8*125g Nemt","InventoryWarehouseId":"EP","OnHandQuantity":1624,"TotalAvailableQuantity":1624,"AvailableOnHandQuantity":1624,"InventorySiteId":"VEN","dataAreaId":"hgv","ProductColorId":"","ProductConfigurationId":"","ProductSizeId":"","ProductStyleId":""}</t>
  </si>
  <si>
    <t>{"ItemNumber":"260148","ProductName":"Bami Nasi Zak 4*250g","InventoryWarehouseId":"EP","OnHandQuantity":528,"TotalAvailableQuantity":528,"AvailableOnHandQuantity":528,"InventorySiteId":"VEN","dataAreaId":"hgv","ProductColorId":"","ProductConfigurationId":"","ProductSizeId":"","ProductStyleId":""}</t>
  </si>
  <si>
    <t>{"ItemNumber":"260149","ProductName":"SD Quinoa And Nuts 4*300g","InventoryWarehouseId":"EP","OnHandQuantity":448,"TotalAvailableQuantity":432,"AvailableOnHandQuantity":448,"InventorySiteId":"VEN","dataAreaId":"hgv","ProductColorId":"","ProductConfigurationId":"","ProductSizeId":"","ProductStyleId":""}</t>
  </si>
  <si>
    <t>{"ItemNumber":"260150","ProductName":"SD Cauliflouwer Oriental dres.4*300g","InventoryWarehouseId":"EP","OnHandQuantity":584,"TotalAvailableQuantity":584,"AvailableOnHandQuantity":584,"InventorySiteId":"VEN","dataAreaId":"hgv","ProductColorId":"","ProductConfigurationId":"","ProductSizeId":"","ProductStyleId":""}</t>
  </si>
  <si>
    <t>{"ItemNumber":"260156","ProductName":"SS Shrimp &amp; Egg 4*300g","InventoryWarehouseId":"EP","OnHandQuantity":0,"TotalAvailableQuantity":328,"AvailableOnHandQuantity":0,"InventorySiteId":"VEN","dataAreaId":"hgv","ProductColorId":"","ProductConfigurationId":"","ProductSizeId":"","ProductStyleId":""}</t>
  </si>
  <si>
    <t>{"ItemNumber":"260157","ProductName":"SD Red PointedCab.Raspb Dr.4*300 SG Netto","InventoryWarehouseId":"EP","OnHandQuantity":332,"TotalAvailableQuantity":332,"AvailableOnHandQuantity":332,"InventorySiteId":"VEN","dataAreaId":"hgv","ProductColorId":"","ProductConfigurationId":"","ProductSizeId":"","ProductStyleId":""}</t>
  </si>
  <si>
    <t>{"ItemNumber":"261","ProductName":"KF Chumbos Rood","InventoryWarehouseId":"GR","OnHandQuantity":50,"TotalAvailableQuantity":50,"AvailableOnHandQuantity":50,"InventorySiteId":"VEN","dataAreaId":"hgv","ProductColorId":"","ProductConfigurationId":"","ProductSizeId":"","ProductStyleId":""}</t>
  </si>
  <si>
    <t>{"ItemNumber":"262","ProductName":"KF P.v.Osch 623 Groen","InventoryWarehouseId":"GR","OnHandQuantity":400,"TotalAvailableQuantity":400,"AvailableOnHandQuantity":400,"InventorySiteId":"VEN","dataAreaId":"hgv","ProductColorId":"","ProductConfigurationId":"","ProductSizeId":"","ProductStyleId":""}</t>
  </si>
  <si>
    <t>{"ItemNumber":"262500","ProductName":"MTS Kip CL 4*450g","InventoryWarehouseId":"EP","OnHandQuantity":564,"TotalAvailableQuantity":852,"AvailableOnHandQuantity":564,"InventorySiteId":"VEN","dataAreaId":"hgv","ProductColorId":"","ProductConfigurationId":"","ProductSizeId":"","ProductStyleId":""}</t>
  </si>
  <si>
    <t>{"ItemNumber":"264968","ProductName":"MTS Caesar Volkoren 4*450g","InventoryWarehouseId":"EP","OnHandQuantity":988,"TotalAvailableQuantity":988,"AvailableOnHandQuantity":988,"InventorySiteId":"VEN","dataAreaId":"hgv","ProductColorId":"","ProductConfigurationId":"","ProductSizeId":"","ProductStyleId":""}</t>
  </si>
  <si>
    <t>{"ItemNumber":"264983","ProductName":"Rbg Italiaans 4*400g VF","InventoryWarehouseId":"EP","OnHandQuantity":608,"TotalAvailableQuantity":608,"AvailableOnHandQuantity":608,"InventorySiteId":"VEN","dataAreaId":"hgv","ProductColorId":"","ProductConfigurationId":"","ProductSizeId":"","ProductStyleId":""}</t>
  </si>
  <si>
    <t>{"ItemNumber":"264985","ProductName":"Basis Sla 8*200g VF","InventoryWarehouseId":"EP","OnHandQuantity":2056,"TotalAvailableQuantity":2056,"AvailableOnHandQuantity":2056,"InventorySiteId":"VEN","dataAreaId":"hgv","ProductColorId":"","ProductConfigurationId":"","ProductSizeId":"","ProductStyleId":""}</t>
  </si>
  <si>
    <t>{"ItemNumber":"264989","ProductName":"MTS Oosterse Garnaal 4*400g","InventoryWarehouseId":"EP","OnHandQuantity":776,"TotalAvailableQuantity":776,"AvailableOnHandQuantity":776,"InventorySiteId":"VEN","dataAreaId":"hgv","ProductColorId":"","ProductConfigurationId":"","ProductSizeId":"","ProductStyleId":""}</t>
  </si>
  <si>
    <t>{"ItemNumber":"264990","ProductName":"MTS Kip Volkoren CL 4*400g","InventoryWarehouseId":"EP","OnHandQuantity":584,"TotalAvailableQuantity":584,"AvailableOnHandQuantity":584,"InventorySiteId":"VEN","dataAreaId":"hgv","ProductColorId":"","ProductConfigurationId":"","ProductSizeId":"","ProductStyleId":""}</t>
  </si>
  <si>
    <t>{"ItemNumber":"265","ProductName":"Soldive Krat Zwart 623","InventoryWarehouseId":"GR","OnHandQuantity":0,"TotalAvailableQuantity":0,"AvailableOnHandQuantity":0,"InventorySiteId":"VEN","dataAreaId":"hgv","ProductColorId":"","ProductConfigurationId":"","ProductSizeId":"","ProductStyleId":""}</t>
  </si>
  <si>
    <t>{"ItemNumber":"265078","ProductName":"DELI Boerenkool 4*250g","InventoryWarehouseId":"EP","OnHandQuantity":0,"TotalAvailableQuantity":0,"AvailableOnHandQuantity":0,"InventorySiteId":"VEN","dataAreaId":"hgv","ProductColorId":"","ProductConfigurationId":"","ProductSizeId":"","ProductStyleId":""}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</si>
  <si>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{"ItemNumber":"265139","ProductName":"DELI Leek rings 6*250g","InventoryWarehouseId":"EP","OnHandQuantity":0,"TotalAvailableQuantity":-360,"AvailableOnHandQuantity":0,"InventorySiteId":"VEN","dataAreaId":"hgv","ProductColorId":"","ProductConfigurationId":"","ProductSizeId":"","ProductStyleId":""}</t>
  </si>
  <si>
    <t>{"ItemNumber":"265141","ProductName":"DELI Carrots julienne 6*250g","InventoryWarehouseId":"EP","OnHandQuantity":0,"TotalAvailableQuantity":-1152,"AvailableOnHandQuantity":0,"InventorySiteId":"VEN","dataAreaId":"hgv","ProductColorId":"","ProductConfigurationId":"","ProductSizeId":"","ProductStyleId":""}</t>
  </si>
  <si>
    <t>{"ItemNumber":"265144","ProductName":"DELI paprika mix slices 6*250g","InventoryWarehouseId":"EP","OnHandQuantity":0,"TotalAvailableQuantity":0,"AvailableOnHandQuantity":0,"InventorySiteId":"VEN","dataAreaId":"hgv","ProductColorId":"","ProductConfigurationId":"","ProductSizeId":"","ProductStyleId":""}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</si>
  <si>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{"ItemNumber":"265147","ProductName":"DELI Onion cubes 6*250g","InventoryWarehouseId":"EP","OnHandQuantity":0,"TotalAvailableQuantity":-504,"AvailableOnHandQuantity":0,"InventorySiteId":"VEN","dataAreaId":"hgv","ProductColorId":"","ProductConfigurationId":"","ProductSizeId":"","ProductStyleId":""}</t>
  </si>
  <si>
    <t>{"ItemNumber":"265148","ProductName":"DELI Red onion cubes 6*250g","InventoryWarehouseId":"EP","OnHandQuantity":0,"TotalAvailableQuantity":-792,"AvailableOnHandQuantity":0,"InventorySiteId":"VEN","dataAreaId":"hgv","ProductColorId":"","ProductConfigurationId":"","ProductSizeId":"","ProductStyleId":""}</t>
  </si>
  <si>
    <t>{"ItemNumber":"265166","ProductName":"MTS Spicy Chícken 4*400g","InventoryWarehouseId":"EP","OnHandQuantity":0,"TotalAvailableQuantity":-280,"AvailableOnHandQuantity":0,"InventorySiteId":"VEN","dataAreaId":"hgv","ProductColorId":"","ProductConfigurationId":"","ProductSizeId":"","ProductStyleId":""}</t>
  </si>
  <si>
    <t>{"ItemNumber":"265167","ProductName":"XL Basic Salad 4*500g VF","InventoryWarehouseId":"EP","OnHandQuantity":0,"TotalAvailableQuantity":-576,"AvailableOnHandQuantity":0,"InventorySiteId":"VEN","dataAreaId":"hgv","ProductColorId":"","ProductConfigurationId":"","ProductSizeId":"","ProductStyleId":""}</t>
  </si>
  <si>
    <t>{"ItemNumber":"265172","ProductName":"Basic salad 8*200g VF","InventoryWarehouseId":"EP","OnHandQuantity":0,"TotalAvailableQuantity":-1600,"AvailableOnHandQuantity":0,"InventorySiteId":"VEN","dataAreaId":"hgv","ProductColorId":"","ProductConfigurationId":"","ProductSizeId":"","ProductStyleId":""}</t>
  </si>
  <si>
    <t>{"ItemNumber":"265178","ProductName":"Organic white cabb. 4*300g VF","InventoryWarehouseId":"EP","OnHandQuantity":0,"TotalAvailableQuantity":-200,"AvailableOnHandQuantity":0,"InventorySiteId":"VEN","dataAreaId":"hgv","ProductColorId":"","ProductConfigurationId":"","ProductSizeId":"","ProductStyleId":""}</t>
  </si>
  <si>
    <t>{"ItemNumber":"265186","ProductName":"Bio Coleslaw 4*350g","InventoryWarehouseId":"EP","OnHandQuantity":0,"TotalAvailableQuantity":-192,"AvailableOnHandQuantity":0,"InventorySiteId":"VEN","dataAreaId":"hgv","ProductColorId":"","ProductConfigurationId":"","ProductSizeId":"","ProductStyleId":""}</t>
  </si>
  <si>
    <t>{"ItemNumber":"265187","ProductName":"SS Salatblanding 4*300g","InventoryWarehouseId":"EP","OnHandQuantity":0,"TotalAvailableQuantity":-320,"AvailableOnHandQuantity":0,"InventorySiteId":"VEN","dataAreaId":"hgv","ProductColorId":"","ProductConfigurationId":"","ProductSizeId":"","ProductStyleId":""}</t>
  </si>
  <si>
    <t>{"ItemNumber":"265195","ProductName":"SD Point.Cabb.w/cr.dres4*320g","InventoryWarehouseId":"EP","OnHandQuantity":0,"TotalAvailableQuantity":-192,"AvailableOnHandQuantity":0,"InventorySiteId":"VEN","dataAreaId":"hgv","ProductColorId":"","ProductConfigurationId":"","ProductSizeId":"","ProductStyleId":""}</t>
  </si>
  <si>
    <t>{"ItemNumber":"265196","ProductName":"Coleslaw 4*400g","InventoryWarehouseId":"EP","OnHandQuantity":0,"TotalAvailableQuantity":-480,"AvailableOnHandQuantity":0,"InventorySiteId":"VEN","dataAreaId":"hgv","ProductColorId":"","ProductConfigurationId":"","ProductSizeId":"","ProductStyleId":""}</t>
  </si>
  <si>
    <t>{"ItemNumber":"265198","ProductName":"Nordic coleslaw 4*350g","InventoryWarehouseId":"EP","OnHandQuantity":0,"TotalAvailableQuantity":-288,"AvailableOnHandQuantity":0,"InventorySiteId":"VEN","dataAreaId":"hgv","ProductColorId":"","ProductConfigurationId":"","ProductSizeId":"","ProductStyleId":""}</t>
  </si>
  <si>
    <t>{"ItemNumber":"265211","ProductName":"MTS Oosterse Garnaal 4*400g","InventoryWarehouseId":"EP","OnHandQuantity":0,"TotalAvailableQuantity":0,"AvailableOnHandQuantity":0,"InventorySiteId":"VEN","dataAreaId":"hgv","ProductColorId":"","ProductConfigurationId":"","ProductSizeId":"","ProductStyleId":""}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</si>
  <si>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{"ItemNumber":"265213","ProductName":"MTS Caesar Volkoren 4*450g","InventoryWarehouseId":"EP","OnHandQuantity":0,"TotalAvailableQuantity":0,"AvailableOnHandQuantity":0,"InventorySiteId":"VEN","dataAreaId":"hgv","ProductColorId":"","ProductConfigurationId":"","ProductSizeId":"","ProductStyleId":""}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</si>
  <si>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{"ItemNumber":"265214","ProductName":"MTS Kip Volkoren CL 4*400g","InventoryWarehouseId":"EP","OnHandQuantity":0,"TotalAvailableQuantity":-288,"AvailableOnHandQuantity":0,"InventorySiteId":"VEN","dataAreaId":"hgv","ProductColorId":"","ProductConfigurationId":"","ProductSizeId":"","ProductStyleId":""}</t>
  </si>
  <si>
    <t>{"ItemNumber":"265216","ProductName":"SS Caesar salat 4*285g","InventoryWarehouseId":"EP","OnHandQuantity":0,"TotalAvailableQuantity":-384,"AvailableOnHandQuantity":0,"InventorySiteId":"VEN","dataAreaId":"hgv","ProductColorId":"","ProductConfigurationId":"","ProductSizeId":"","ProductStyleId":""}</t>
  </si>
  <si>
    <t>{"ItemNumber":"265217","ProductName":"SS Santa Fe Caesar 4*300g","InventoryWarehouseId":"EP","OnHandQuantity":0,"TotalAvailableQuantity":-336,"AvailableOnHandQuantity":0,"InventorySiteId":"VEN","dataAreaId":"hgv","ProductColorId":"","ProductConfigurationId":"","ProductSizeId":"","ProductStyleId":""}</t>
  </si>
  <si>
    <t>{"ItemNumber":"265220","ProductName":"BU Cauliflower-Leek mix 4*250g","InventoryWarehouseId":"EP","OnHandQuantity":0,"TotalAvailableQuantity":0,"AvailableOnHandQuantity":0,"InventorySiteId":"VEN","dataAreaId":"hgv","ProductColorId":"","ProductConfigurationId":"","ProductSizeId":"","ProductStyleId":""}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</si>
  <si>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{"ItemNumber":"265223","ProductName":"MTS Red Beet Salmon 4*400g","InventoryWarehouseId":"EP","OnHandQuantity":0,"TotalAvailableQuantity":0,"AvailableOnHandQuantity":0,"InventorySiteId":"VEN","dataAreaId":"hgv","ProductColorId":"","ProductConfigurationId":"","ProductSizeId":"","ProductStyleId":""}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</si>
  <si>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{"ItemNumber":"265243","ProductName":"Every day salad 6*125g VF","InventoryWarehouseId":"EP","OnHandQuantity":0,"TotalAvailableQuantity":-600,"AvailableOnHandQuantity":0,"InventorySiteId":"VEN","dataAreaId":"hgv","ProductColorId":"","ProductConfigurationId":"","ProductSizeId":"","ProductStyleId":""}</t>
  </si>
  <si>
    <t>{"ItemNumber":"265244","ProductName":"XL Every day salad 4*400g VF","InventoryWarehouseId":"EP","OnHandQuantity":0,"TotalAvailableQuantity":-160,"AvailableOnHandQuantity":0,"InventorySiteId":"VEN","dataAreaId":"hgv","ProductColorId":"","ProductConfigurationId":"","ProductSizeId":"","ProductStyleId":""}</t>
  </si>
  <si>
    <t>{"ItemNumber":"265252","ProductName":"Crispy salad 5*200g VF","InventoryWarehouseId":"EP","OnHandQuantity":0,"TotalAvailableQuantity":-275,"AvailableOnHandQuantity":0,"InventorySiteId":"VEN","dataAreaId":"hgv","ProductColorId":"","ProductConfigurationId":"","ProductSizeId":"","ProductStyleId":""}</t>
  </si>
  <si>
    <t>{"ItemNumber":"265253","ProductName":"Cabbage with carrot 4*350g","InventoryWarehouseId":"EP","OnHandQuantity":0,"TotalAvailableQuantity":-240,"AvailableOnHandQuantity":0,"InventorySiteId":"VEN","dataAreaId":"hgv","ProductColorId":"","ProductConfigurationId":"","ProductSizeId":"","ProductStyleId":""}</t>
  </si>
  <si>
    <t>{"ItemNumber":"265254","ProductName":"Mediterranean wok 4*400g","InventoryWarehouseId":"EP","OnHandQuantity":0,"TotalAvailableQuantity":-192,"AvailableOnHandQuantity":0,"InventorySiteId":"VEN","dataAreaId":"hgv","ProductColorId":"","ProductConfigurationId":"","ProductSizeId":"","ProductStyleId":""}</t>
  </si>
  <si>
    <t>{"ItemNumber":"265259","ProductName":"Bloemkoolrijst 4*300g SAL","InventoryWarehouseId":"EP","OnHandQuantity":0,"TotalAvailableQuantity":-192,"AvailableOnHandQuantity":0,"InventorySiteId":"VEN","dataAreaId":"hgv","ProductColorId":"","ProductConfigurationId":"","ProductSizeId":"","ProductStyleId":""}</t>
  </si>
  <si>
    <t>{"ItemNumber":"265260","ProductName":"DELI spring onion 4*50g","InventoryWarehouseId":"EP","OnHandQuantity":0,"TotalAvailableQuantity":0,"AvailableOnHandQuantity":0,"InventorySiteId":"VEN","dataAreaId":"hgv","ProductColorId":"","ProductConfigurationId":"","ProductSizeId":"","ProductStyleId":""}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</si>
  <si>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{"ItemNumber":"265262","ProductName":"Frisee Radicchio mix 8*125g SAL","InventoryWarehouseId":"EP","OnHandQuantity":0,"TotalAvailableQuantity":-720,"AvailableOnHandQuantity":0,"InventorySiteId":"VEN","dataAreaId":"hgv","ProductColorId":"","ProductConfigurationId":"","ProductSizeId":"","ProductStyleId":""}</t>
  </si>
  <si>
    <t>{"ItemNumber":"265264","ProductName":"Prei fijn 4*250g VF","InventoryWarehouseId":"EP","OnHandQuantity":0,"TotalAvailableQuantity":-80,"AvailableOnHandQuantity":0,"InventorySiteId":"VEN","dataAreaId":"hgv","ProductColorId":"","ProductConfigurationId":"","ProductSizeId":"","ProductStyleId":""}</t>
  </si>
  <si>
    <t>{"ItemNumber":"265267","ProductName":"Bami Nasi Zak 4*250g VF","InventoryWarehouseId":"EP","OnHandQuantity":0,"TotalAvailableQuantity":-260,"AvailableOnHandQuantity":0,"InventorySiteId":"VEN","dataAreaId":"hgv","ProductColorId":"","ProductConfigurationId":"","ProductSizeId":"","ProductStyleId":""}</t>
  </si>
  <si>
    <t>{"ItemNumber":"265268","ProductName":"Wok Oosters 4*250g","InventoryWarehouseId":"EP","OnHandQuantity":0,"TotalAvailableQuantity":-260,"AvailableOnHandQuantity":0,"InventorySiteId":"VEN","dataAreaId":"hgv","ProductColorId":"","ProductConfigurationId":"","ProductSizeId":"","ProductStyleId":""}</t>
  </si>
  <si>
    <t>{"ItemNumber":"265274","ProductName":"MB Cabbage &amp; Edamame 4*400g SAL NU","InventoryWarehouseId":"EP","OnHandQuantity":0,"TotalAvailableQuantity":-168,"AvailableOnHandQuantity":0,"InventorySiteId":"VEN","dataAreaId":"hgv","ProductColorId":"","ProductConfigurationId":"","ProductSizeId":"","ProductStyleId":""}</t>
  </si>
  <si>
    <t>{"ItemNumber":"265275","ProductName":"MB Corn &amp; Nuts 4*400g SAL NU","InventoryWarehouseId":"EP","OnHandQuantity":0,"TotalAvailableQuantity":-196,"AvailableOnHandQuantity":0,"InventorySiteId":"VEN","dataAreaId":"hgv","ProductColorId":"","ProductConfigurationId":"","ProductSizeId":"","ProductStyleId":""}</t>
  </si>
  <si>
    <t>{"ItemNumber":"265276","ProductName":"MB Avocado &amp; Tortilla 4*400g SAL NU","InventoryWarehouseId":"EP","OnHandQuantity":0,"TotalAvailableQuantity":-168,"AvailableOnHandQuantity":0,"InventorySiteId":"VEN","dataAreaId":"hgv","ProductColorId":"","ProductConfigurationId":"","ProductSizeId":"","ProductStyleId":""}</t>
  </si>
  <si>
    <t>{"ItemNumber":"265278","ProductName":"MB Tomato &amp; Pasta 4*400g SAL NU","InventoryWarehouseId":"EP","OnHandQuantity":0,"TotalAvailableQuantity":-84,"AvailableOnHandQuantity":0,"InventorySiteId":"VEN","dataAreaId":"hgv","ProductColorId":"","ProductConfigurationId":"","ProductSizeId":"","ProductStyleId":""}</t>
  </si>
  <si>
    <t>{"ItemNumber":"265279","ProductName":"SD Cauliflouwer Oriental dres.4*300g","InventoryWarehouseId":"EP","OnHandQuantity":0,"TotalAvailableQuantity":-192,"AvailableOnHandQuantity":0,"InventorySiteId":"VEN","dataAreaId":"hgv","ProductColorId":"","ProductConfigurationId":"","ProductSizeId":"","ProductStyleId":""}</t>
  </si>
  <si>
    <t>{"ItemNumber":"265282","ProductName":"SD Quinoa And nuts 4*300g","InventoryWarehouseId":"EP","OnHandQuantity":0,"TotalAvailableQuantity":-192,"AvailableOnHandQuantity":0,"InventorySiteId":"VEN","dataAreaId":"hgv","ProductColorId":"","ProductConfigurationId":"","ProductSizeId":"","ProductStyleId":""}</t>
  </si>
  <si>
    <t>{"ItemNumber":"265284","ProductName":"BIO rucola 5*75g VF","InventoryWarehouseId":"EP","OnHandQuantity":0,"TotalAvailableQuantity":-1500,"AvailableOnHandQuantity":0,"InventorySiteId":"VEN","dataAreaId":"hgv","ProductColorId":"","ProductConfigurationId":"","ProductSizeId":"","ProductStyleId":""}</t>
  </si>
  <si>
    <t>{"ItemNumber":"265286","ProductName":"DELI Komkommer Gezuurd 1*3KG","InventoryWarehouseId":"EP","OnHandQuantity":0,"TotalAvailableQuantity":0,"AvailableOnHandQuantity":0,"InventorySiteId":"VEN","dataAreaId":"hgv","ProductColorId":"","ProductConfigurationId":"","ProductSizeId":"","ProductStyleId":""}</t>
  </si>
  <si>
    <t>{"ItemNumber":"265290","ProductName":"DELI broccoli 4*500g","InventoryWarehouseId":"EP","OnHandQuantity":0,"TotalAvailableQuantity":-704,"AvailableOnHandQuantity":0,"InventorySiteId":"VEN","dataAreaId":"hgv","ProductColorId":"","ProductConfigurationId":"","ProductSizeId":"","ProductStyleId":""}</t>
  </si>
  <si>
    <t>{"ItemNumber":"265291","ProductName":"Bio Veldsla 5*75g","InventoryWarehouseId":"EP","OnHandQuantity":0,"TotalAvailableQuantity":-700,"AvailableOnHandQuantity":0,"InventorySiteId":"VEN","dataAreaId":"hgv","ProductColorId":"","ProductConfigurationId":"","ProductSizeId":"","ProductStyleId":""}</t>
  </si>
  <si>
    <t>{"ItemNumber":"265292","ProductName":"Rode Biet julienne 4*200g","InventoryWarehouseId":"EP","OnHandQuantity":0,"TotalAvailableQuantity":-60,"AvailableOnHandQuantity":0,"InventorySiteId":"VEN","dataAreaId":"hgv","ProductColorId":"","ProductConfigurationId":"","ProductSizeId":"","ProductStyleId":""}</t>
  </si>
  <si>
    <t>{"ItemNumber":"265293","ProductName":"SD Red PointedCab.Raspb Dr.4*300g","InventoryWarehouseId":"EP","OnHandQuantity":0,"TotalAvailableQuantity":-48,"AvailableOnHandQuantity":0,"InventorySiteId":"VEN","dataAreaId":"hgv","ProductColorId":"","ProductConfigurationId":"","ProductSizeId":"","ProductStyleId":""}</t>
  </si>
  <si>
    <t>{"ItemNumber":"265294","ProductName":"Rbg Champignons 4*250g VF","InventoryWarehouseId":"EP","OnHandQuantity":0,"TotalAvailableQuantity":-60,"AvailableOnHandQuantity":0,"InventorySiteId":"VEN","dataAreaId":"hgv","ProductColorId":"","ProductConfigurationId":"","ProductSizeId":"","ProductStyleId":""}</t>
  </si>
  <si>
    <t>{"ItemNumber":"265295","ProductName":"SD Beet white cheese 4*225g","InventoryWarehouseId":"EP","OnHandQuantity":0,"TotalAvailableQuantity":-100,"AvailableOnHandQuantity":0,"InventorySiteId":"VEN","dataAreaId":"hgv","ProductColorId":"","ProductConfigurationId":"","ProductSizeId":"","ProductStyleId":""}</t>
  </si>
  <si>
    <t>{"ItemNumber":"265297","ProductName":"VP Marokkaans Couscous 2*1117g","InventoryWarehouseId":"EP","OnHandQuantity":0,"TotalAvailableQuantity":2,"AvailableOnHandQuantity":0,"InventorySiteId":"VEN","dataAreaId":"hgv","ProductColorId":"","ProductConfigurationId":"","ProductSizeId":"","ProductStyleId":""}</t>
  </si>
  <si>
    <t>{"ItemNumber":"265298","ProductName":"VP Thaise Rode Curry 2*1259g","InventoryWarehouseId":"EP","OnHandQuantity":0,"TotalAvailableQuantity":50,"AvailableOnHandQuantity":0,"InventorySiteId":"VEN","dataAreaId":"hgv","ProductColorId":"","ProductConfigurationId":"","ProductSizeId":"","ProductStyleId":""}</t>
  </si>
  <si>
    <t>{"ItemNumber":"265299","ProductName":"VP Tikka Masala 2*1434g","InventoryWarehouseId":"EP","OnHandQuantity":0,"TotalAvailableQuantity":0,"AvailableOnHandQuantity":0,"InventorySiteId":"VEN","dataAreaId":"hgv","ProductColorId":"","ProductConfigurationId":"","ProductSizeId":"","ProductStyleId":""}</t>
  </si>
  <si>
    <t>{"ItemNumber":"265300","ProductName":"VP Indiase Curry Madras 2*970g","InventoryWarehouseId":"EP","OnHandQuantity":0,"TotalAvailableQuantity":50,"AvailableOnHandQuantity":0,"InventorySiteId":"VEN","dataAreaId":"hgv","ProductColorId":"","ProductConfigurationId":"","ProductSizeId":"","ProductStyleId":""}</t>
  </si>
  <si>
    <t>{"ItemNumber":"265301","ProductName":"VP Thaise Pad Thai 2*630g","InventoryWarehouseId":"EP","OnHandQuantity":0,"TotalAvailableQuantity":60,"AvailableOnHandQuantity":0,"InventorySiteId":"VEN","dataAreaId":"hgv","ProductColorId":"","ProductConfigurationId":"","ProductSizeId":"","ProductStyleId":""}</t>
  </si>
  <si>
    <t>{"ItemNumber":"265302","ProductName":"VP Jap.Noedels Teriyaki 2*725g","InventoryWarehouseId":"EP","OnHandQuantity":0,"TotalAvailableQuantity":50,"AvailableOnHandQuantity":0,"InventorySiteId":"VEN","dataAreaId":"hgv","ProductColorId":"","ProductConfigurationId":"","ProductSizeId":"","ProductStyleId":""}</t>
  </si>
  <si>
    <t>{"ItemNumber":"265305","ProductName":"Rbg Mexicaans 4*250g VF V2","InventoryWarehouseId":"EP","OnHandQuantity":0,"TotalAvailableQuantity":-120,"AvailableOnHandQuantity":0,"InventorySiteId":"VEN","dataAreaId":"hgv","ProductColorId":"","ProductConfigurationId":"","ProductSizeId":"","ProductStyleId":""}</t>
  </si>
  <si>
    <t>{"ItemNumber":"265306","ProductName":"Pumpkin 4*200g VF","InventoryWarehouseId":"EP","OnHandQuantity":0,"TotalAvailableQuantity":-60,"AvailableOnHandQuantity":0,"InventorySiteId":"VEN","dataAreaId":"hgv","ProductColorId":"","ProductConfigurationId":"","ProductSizeId":"","ProductStyleId":""}</t>
  </si>
  <si>
    <t>{"ItemNumber":"265307","ProductName":"Wokmix Japanese 4*200g VF","InventoryWarehouseId":"EP","OnHandQuantity":0,"TotalAvailableQuantity":-140,"AvailableOnHandQuantity":0,"InventorySiteId":"VEN","dataAreaId":"hgv","ProductColorId":"","ProductConfigurationId":"","ProductSizeId":"","ProductStyleId":""}</t>
  </si>
  <si>
    <t>{"ItemNumber":"265308","ProductName":"Wok Chinees 4*200g VF","InventoryWarehouseId":"EP","OnHandQuantity":0,"TotalAvailableQuantity":-80,"AvailableOnHandQuantity":0,"InventorySiteId":"VEN","dataAreaId":"hgv","ProductColorId":"","ProductConfigurationId":"","ProductSizeId":"","ProductStyleId":""}</t>
  </si>
  <si>
    <t>{"ItemNumber":"265311","ProductName":"MTS Zalm ASC 4*450g VF","InventoryWarehouseId":"EP","OnHandQuantity":0,"TotalAvailableQuantity":-260,"AvailableOnHandQuantity":0,"InventorySiteId":"VEN","dataAreaId":"hgv","ProductColorId":"","ProductConfigurationId":"","ProductSizeId":"","ProductStyleId":""}</t>
  </si>
  <si>
    <t>{"ItemNumber":"265312","ProductName":"MTS Kip CL 4*400g VF","InventoryWarehouseId":"EP","OnHandQuantity":0,"TotalAvailableQuantity":-240,"AvailableOnHandQuantity":0,"InventorySiteId":"VEN","dataAreaId":"hgv","ProductColorId":"","ProductConfigurationId":"","ProductSizeId":"","ProductStyleId":""}</t>
  </si>
  <si>
    <t>{"ItemNumber":"265314","ProductName":"MTS Caesar Volkoren 4*400g VF","InventoryWarehouseId":"EP","OnHandQuantity":0,"TotalAvailableQuantity":-192,"AvailableOnHandQuantity":0,"InventorySiteId":"VEN","dataAreaId":"hgv","ProductColorId":"","ProductConfigurationId":"","ProductSizeId":"","ProductStyleId":""}</t>
  </si>
  <si>
    <t>{"ItemNumber":"265315","ProductName":"MTS Oost.Garnaal ASC 4*400g VF","InventoryWarehouseId":"EP","OnHandQuantity":0,"TotalAvailableQuantity":-336,"AvailableOnHandQuantity":0,"InventorySiteId":"VEN","dataAreaId":"hgv","ProductColorId":"","ProductConfigurationId":"","ProductSizeId":"","ProductStyleId":""}</t>
  </si>
  <si>
    <t>{"ItemNumber":"265316","ProductName":"SB Almonds and apples 2*240g","InventoryWarehouseId":"EP","OnHandQuantity":0,"TotalAvailableQuantity":0,"AvailableOnHandQuantity":0,"InventorySiteId":"VEN","dataAreaId":"hgv","ProductColorId":"","ProductConfigurationId":"","ProductSizeId":"","ProductStyleId":""}</t>
  </si>
  <si>
    <t>{"ItemNumber":"266","ProductName":"Staay Krat Rood","InventoryWarehouseId":"GR","OnHandQuantity":-149,"TotalAvailableQuantity":-149,"AvailableOnHandQuantity":-149,"InventorySiteId":"VEN","dataAreaId":"hgv","ProductColorId":"","ProductConfigurationId":"","ProductSizeId":"","ProductStyleId":""}</t>
  </si>
  <si>
    <t>{"ItemNumber":"267","ProductName":"Sol De Levante krat bruin","InventoryWarehouseId":"GR","OnHandQuantity":0,"TotalAvailableQuantity":0,"AvailableOnHandQuantity":0,"InventorySiteId":"VEN","dataAreaId":"hgv","ProductColorId":"","ProductConfigurationId":"","ProductSizeId":"","ProductStyleId":""}</t>
  </si>
  <si>
    <t>{"ItemNumber":"267504","ProductName":"Rbg Hollands 4*400g VF","InventoryWarehouseId":"EP","OnHandQuantity":2128,"TotalAvailableQuantity":-2344,"AvailableOnHandQuantity":2128,"InventorySiteId":"VEN","dataAreaId":"hgv","ProductColorId":"","ProductConfigurationId":"","ProductSizeId":"","ProductStyleId":""}</t>
  </si>
  <si>
    <t>{"ItemNumber":"267516","ProductName":"Rwk Wortel Jul Zak 5*150g VF","InventoryWarehouseId":"EP","OnHandQuantity":1280,"TotalAvailableQuantity":-1540,"AvailableOnHandQuantity":1280,"InventorySiteId":"VEN","dataAreaId":"hgv","ProductColorId":"","ProductConfigurationId":"","ProductSizeId":"","ProductStyleId":""}</t>
  </si>
  <si>
    <t>{"ItemNumber":"267517","ProductName":"Tauge 5*125g VF","InventoryWarehouseId":"EP","OnHandQuantity":1250,"TotalAvailableQuantity":-1690,"AvailableOnHandQuantity":1250,"InventorySiteId":"VEN","dataAreaId":"hgv","ProductColorId":"","ProductConfigurationId":"","ProductSizeId":"","ProductStyleId":""}</t>
  </si>
  <si>
    <t>{"ItemNumber":"267518","ProductName":"Rbg Italiaans 4*400g VF","InventoryWarehouseId":"EP","OnHandQuantity":1528,"TotalAvailableQuantity":-1824,"AvailableOnHandQuantity":1528,"InventorySiteId":"VEN","dataAreaId":"hgv","ProductColorId":"","ProductConfigurationId":"","ProductSizeId":"","ProductStyleId":""}</t>
  </si>
  <si>
    <t>{"ItemNumber":"267519","ProductName":"Rbg Champignon 4*400g VF","InventoryWarehouseId":"EP","OnHandQuantity":720,"TotalAvailableQuantity":-928,"AvailableOnHandQuantity":720,"InventorySiteId":"VEN","dataAreaId":"hgv","ProductColorId":"","ProductConfigurationId":"","ProductSizeId":"","ProductStyleId":""}</t>
  </si>
  <si>
    <t>{"ItemNumber":"267524","ProductName":"MTS Gegrild Kip BL1-K1 2*450g VF","InventoryWarehouseId":"EP","OnHandQuantity":948,"TotalAvailableQuantity":-896,"AvailableOnHandQuantity":948,"InventorySiteId":"VEN","dataAreaId":"hgv","ProductColorId":"","ProductConfigurationId":"","ProductSizeId":"","ProductStyleId":""}</t>
  </si>
  <si>
    <t>{"ItemNumber":"267526","ProductName":"MTS Garnaal 2*450g ASC","InventoryWarehouseId":"EP","OnHandQuantity":1048,"TotalAvailableQuantity":-980,"AvailableOnHandQuantity":1048,"InventorySiteId":"VEN","dataAreaId":"hgv","ProductColorId":"","ProductConfigurationId":"","ProductSizeId":"","ProductStyleId":""}</t>
  </si>
  <si>
    <t>{"ItemNumber":"267527","ProductName":"MTS Zalm 2*450g ASC VF","InventoryWarehouseId":"EP","OnHandQuantity":672,"TotalAvailableQuantity":-568,"AvailableOnHandQuantity":672,"InventorySiteId":"VEN","dataAreaId":"hgv","ProductColorId":"","ProductConfigurationId":"","ProductSizeId":"","ProductStyleId":""}</t>
  </si>
  <si>
    <t>{"ItemNumber":"267528","ProductName":"MTS Marokkaans BL1-K1 2*450g  VF","InventoryWarehouseId":"EP","OnHandQuantity":692,"TotalAvailableQuantity":-536,"AvailableOnHandQuantity":692,"InventorySiteId":"VEN","dataAreaId":"hgv","ProductColorId":"","ProductConfigurationId":"","ProductSizeId":"","ProductStyleId":""}</t>
  </si>
  <si>
    <t>{"ItemNumber":"268","ProductName":"KF Polimnia Blauw","InventoryWarehouseId":"GR","OnHandQuantity":50,"TotalAvailableQuantity":50,"AvailableOnHandQuantity":50,"InventorySiteId":"VEN","dataAreaId":"hgv","ProductColorId":"","ProductConfigurationId":"","ProductSizeId":"","ProductStyleId":""}</t>
  </si>
  <si>
    <t>{"ItemNumber":"269","ProductName":"Torretta Krat","InventoryWarehouseId":"GR","OnHandQuantity":450,"TotalAvailableQuantity":450,"AvailableOnHandQuantity":450,"InventorySiteId":"VEN","dataAreaId":"hgv","ProductColorId":"","ProductConfigurationId":"","ProductSizeId":"","ProductStyleId":""}</t>
  </si>
  <si>
    <t>{"ItemNumber":"276156","ProductName":"Andijvie Fijn 5*250g VF","InventoryWarehouseId":"EP","OnHandQuantity":1380,"TotalAvailableQuantity":145,"AvailableOnHandQuantity":1380,"InventorySiteId":"VEN","dataAreaId":"hgv","ProductColorId":"","ProductConfigurationId":"","ProductSizeId":"","ProductStyleId":""}</t>
  </si>
  <si>
    <t>{"ItemNumber":"276157","ProductName":"Andijvie Fijn 4*500g VF","InventoryWarehouseId":"EP","OnHandQuantity":8416,"TotalAvailableQuantity":2552,"AvailableOnHandQuantity":8416,"InventorySiteId":"VEN","dataAreaId":"hgv","ProductColorId":"","ProductConfigurationId":"","ProductSizeId":"","ProductStyleId":""}</t>
  </si>
  <si>
    <t>{"ItemNumber":"276158","ProductName":"Andijvie Grof 5*400g VF","InventoryWarehouseId":"EP","OnHandQuantity":790,"TotalAvailableQuantity":345,"AvailableOnHandQuantity":790,"InventorySiteId":"VEN","dataAreaId":"hgv","ProductColorId":"","ProductConfigurationId":"","ProductSizeId":"","ProductStyleId":""}</t>
  </si>
  <si>
    <t>{"ItemNumber":"276159","ProductName":"Boerenkool 5*300g VF","InventoryWarehouseId":"EP","OnHandQuantity":940,"TotalAvailableQuantity":525,"AvailableOnHandQuantity":940,"InventorySiteId":"VEN","dataAreaId":"hgv","ProductColorId":"","ProductConfigurationId":"","ProductSizeId":"","ProductStyleId":""}</t>
  </si>
  <si>
    <t>{"ItemNumber":"276160","ProductName":"Boerenkool 4*500g VF","InventoryWarehouseId":"EP","OnHandQuantity":12836,"TotalAvailableQuantity":2172,"AvailableOnHandQuantity":12836,"InventorySiteId":"VEN","dataAreaId":"hgv","ProductColorId":"","ProductConfigurationId":"","ProductSizeId":"","ProductStyleId":""}</t>
  </si>
  <si>
    <t>{"ItemNumber":"276162","ProductName":"Snackworteltjes 6*150g VF","InventoryWarehouseId":"EP","OnHandQuantity":2214,"TotalAvailableQuantity":1362,"AvailableOnHandQuantity":2214,"InventorySiteId":"VEN","dataAreaId":"hgv","ProductColorId":"","ProductConfigurationId":"","ProductSizeId":"","ProductStyleId":""}</t>
  </si>
  <si>
    <t>{"ItemNumber":"276163","ProductName":"Snackworteltjes 4*350g VF","InventoryWarehouseId":"EP","OnHandQuantity":2148,"TotalAvailableQuantity":1144,"AvailableOnHandQuantity":2148,"InventorySiteId":"VEN","dataAreaId":"hgv","ProductColorId":"","ProductConfigurationId":"","ProductSizeId":"","ProductStyleId":""}</t>
  </si>
  <si>
    <t>{"ItemNumber":"276164","ProductName":"Snijbonen 4*200g VF","InventoryWarehouseId":"EP","OnHandQuantity":380,"TotalAvailableQuantity":-84,"AvailableOnHandQuantity":380,"InventorySiteId":"VEN","dataAreaId":"hgv","ProductColorId":"","ProductConfigurationId":"","ProductSizeId":"","ProductStyleId":""}</t>
  </si>
  <si>
    <t>{"ItemNumber":"276165","ProductName":"Sperziebonen 4*200g VF","InventoryWarehouseId":"EP","OnHandQuantity":984,"TotalAvailableQuantity":400,"AvailableOnHandQuantity":984,"InventorySiteId":"VEN","dataAreaId":"hgv","ProductColorId":"","ProductConfigurationId":"","ProductSizeId":"","ProductStyleId":""}</t>
  </si>
  <si>
    <t>{"ItemNumber":"276166","ProductName":"Worteltjes 4*300g VF","InventoryWarehouseId":"EP","OnHandQuantity":1900,"TotalAvailableQuantity":1356,"AvailableOnHandQuantity":1900,"InventorySiteId":"VEN","dataAreaId":"hgv","ProductColorId":"","ProductConfigurationId":"","ProductSizeId":"","ProductStyleId":""}</t>
  </si>
  <si>
    <t>{"ItemNumber":"276167","ProductName":"Worteltjes 6*500g VF","InventoryWarehouseId":"EP","OnHandQuantity":2334,"TotalAvailableQuantity":1548,"AvailableOnHandQuantity":2334,"InventorySiteId":"VEN","dataAreaId":"hgv","ProductColorId":"","ProductConfigurationId":"","ProductSizeId":"","ProductStyleId":""}</t>
  </si>
  <si>
    <t>{"ItemNumber":"276168","ProductName":"Uienmix 4*125g VF","InventoryWarehouseId":"EP","OnHandQuantity":336,"TotalAvailableQuantity":280,"AvailableOnHandQuantity":336,"InventorySiteId":"VEN","dataAreaId":"hgv","ProductColorId":"","ProductConfigurationId":"","ProductSizeId":"","ProductStyleId":""}</t>
  </si>
  <si>
    <t>{"ItemNumber":"276169","ProductName":"Koolraap 4*400g VF","InventoryWarehouseId":"EP","OnHandQuantity":448,"TotalAvailableQuantity":124,"AvailableOnHandQuantity":448,"InventorySiteId":"VEN","dataAreaId":"hgv","ProductColorId":"","ProductConfigurationId":"","ProductSizeId":"","ProductStyleId":""}</t>
  </si>
  <si>
    <t>{"ItemNumber":"276170","ProductName":"Pompoen Blok 3*400g VF","InventoryWarehouseId":"EP","OnHandQuantity":573,"TotalAvailableQuantity":234,"AvailableOnHandQuantity":573,"InventorySiteId":"VEN","dataAreaId":"hgv","ProductColorId":"","ProductConfigurationId":"","ProductSizeId":"","ProductStyleId":""}</t>
  </si>
  <si>
    <t>{"ItemNumber":"276171","ProductName":"Prei Fijn 4*200g VF","InventoryWarehouseId":"EP","OnHandQuantity":1192,"TotalAvailableQuantity":408,"AvailableOnHandQuantity":1192,"InventorySiteId":"VEN","dataAreaId":"hgv","ProductColorId":"","ProductConfigurationId":"","ProductSizeId":"","ProductStyleId":""}</t>
  </si>
  <si>
    <t>{"ItemNumber":"276172","ProductName":"Snijbonen 4*400gr VF","InventoryWarehouseId":"EP","OnHandQuantity":872,"TotalAvailableQuantity":-32,"AvailableOnHandQuantity":872,"InventorySiteId":"VEN","dataAreaId":"hgv","ProductColorId":"","ProductConfigurationId":"","ProductSizeId":"","ProductStyleId":""}</t>
  </si>
  <si>
    <t>{"ItemNumber":"276173","ProductName":"Sperziebonen 4*400g VF","InventoryWarehouseId":"EP","OnHandQuantity":1760,"TotalAvailableQuantity":560,"AvailableOnHandQuantity":1760,"InventorySiteId":"VEN","dataAreaId":"hgv","ProductColorId":"","ProductConfigurationId":"","ProductSizeId":"","ProductStyleId":""}</t>
  </si>
  <si>
    <t>{"ItemNumber":"276174","ProductName":"Sperziebonen 4*600g VF","InventoryWarehouseId":"EP","OnHandQuantity":892,"TotalAvailableQuantity":484,"AvailableOnHandQuantity":892,"InventorySiteId":"VEN","dataAreaId":"hgv","ProductColorId":"","ProductConfigurationId":"","ProductSizeId":"","ProductStyleId":""}</t>
  </si>
  <si>
    <t>{"ItemNumber":"276175","ProductName":"Spruiten 4*350g VF","InventoryWarehouseId":"EP","OnHandQuantity":1276,"TotalAvailableQuantity":508,"AvailableOnHandQuantity":1276,"InventorySiteId":"VEN","dataAreaId":"hgv","ProductColorId":"","ProductConfigurationId":"","ProductSizeId":"","ProductStyleId":""}</t>
  </si>
  <si>
    <t>{"ItemNumber":"276179","ProductName":"Bloemkool 3*400g VF","InventoryWarehouseId":"EP","OnHandQuantity":798,"TotalAvailableQuantity":456,"AvailableOnHandQuantity":798,"InventorySiteId":"VEN","dataAreaId":"hgv","ProductColorId":"","ProductConfigurationId":"","ProductSizeId":"","ProductStyleId":""}</t>
  </si>
  <si>
    <t>{"ItemNumber":"276180","ProductName":"Broccoli 3*400g VF","InventoryWarehouseId":"EP","OnHandQuantity":723,"TotalAvailableQuantity":285,"AvailableOnHandQuantity":723,"InventorySiteId":"VEN","dataAreaId":"hgv","ProductColorId":"","ProductConfigurationId":"","ProductSizeId":"","ProductStyleId":""}</t>
  </si>
  <si>
    <t>{"ItemNumber":"276182","ProductName":"Prei grof 4*400g VF","InventoryWarehouseId":"EP","OnHandQuantity":484,"TotalAvailableQuantity":124,"AvailableOnHandQuantity":484,"InventorySiteId":"VEN","dataAreaId":"hgv","ProductColorId":"","ProductConfigurationId":"","ProductSizeId":"","ProductStyleId":""}</t>
  </si>
  <si>
    <t>{"ItemNumber":"276183","ProductName":"Spitskool 3*400g VF","InventoryWarehouseId":"EP","OnHandQuantity":846,"TotalAvailableQuantity":360,"AvailableOnHandQuantity":846,"InventorySiteId":"VEN","dataAreaId":"hgv","ProductColorId":"","ProductConfigurationId":"","ProductSizeId":"","ProductStyleId":""}</t>
  </si>
  <si>
    <t>{"ItemNumber":"276186","ProductName":"Brocc.Wortel.Bloemk 4*400g VF","InventoryWarehouseId":"EP","OnHandQuantity":960,"TotalAvailableQuantity":580,"AvailableOnHandQuantity":960,"InventorySiteId":"VEN","dataAreaId":"hgv","ProductColorId":"","ProductConfigurationId":"","ProductSizeId":"","ProductStyleId":""}</t>
  </si>
  <si>
    <t>{"ItemNumber":"276188","ProductName":"Kropsla mix 5*100gr VF","InventoryWarehouseId":"EP","OnHandQuantity":705,"TotalAvailableQuantity":85,"AvailableOnHandQuantity":705,"InventorySiteId":"VEN","dataAreaId":"hgv","ProductColorId":"","ProductConfigurationId":"","ProductSizeId":"","ProductStyleId":""}</t>
  </si>
  <si>
    <t>{"ItemNumber":"276191","ProductName":"Ovengr Courgette 2*600g VF","InventoryWarehouseId":"EP","OnHandQuantity":280,"TotalAvailableQuantity":132,"AvailableOnHandQuantity":280,"InventorySiteId":"VEN","dataAreaId":"hgv","ProductColorId":"","ProductConfigurationId":"","ProductSizeId":"","ProductStyleId":""}</t>
  </si>
  <si>
    <t>{"ItemNumber":"276196","ProductName":"Rucola melange 4*150g VF","InventoryWarehouseId":"EP","OnHandQuantity":356,"TotalAvailableQuantity":-368,"AvailableOnHandQuantity":356,"InventorySiteId":"VEN","dataAreaId":"hgv","ProductColorId":"","ProductConfigurationId":"","ProductSizeId":"","ProductStyleId":""}</t>
  </si>
  <si>
    <t>{"ItemNumber":"276200","ProductName":"Eikenbl.Slamel. 5*100g VF","InventoryWarehouseId":"EP","OnHandQuantity":330,"TotalAvailableQuantity":145,"AvailableOnHandQuantity":330,"InventorySiteId":"VEN","dataAreaId":"hgv","ProductColorId":"","ProductConfigurationId":"","ProductSizeId":"","ProductStyleId":""}</t>
  </si>
  <si>
    <t>{"ItemNumber":"276201","ProductName":"Rucola melange 5*75g VF","InventoryWarehouseId":"EP","OnHandQuantity":1395,"TotalAvailableQuantity":350,"AvailableOnHandQuantity":1395,"InventorySiteId":"VEN","dataAreaId":"hgv","ProductColorId":"","ProductConfigurationId":"","ProductSizeId":"","ProductStyleId":""}</t>
  </si>
  <si>
    <t>{"ItemNumber":"276236","ProductName":"Rwk Komkommer Zak 3*150g VF","InventoryWarehouseId":"EP","OnHandQuantity":-3,"TotalAvailableQuantity":-231,"AvailableOnHandQuantity":-3,"InventorySiteId":"VEN","dataAreaId":"hgv","ProductColorId":"","ProductConfigurationId":"","ProductSizeId":"","ProductStyleId":""}</t>
  </si>
  <si>
    <t>{"ItemNumber":"276238","ProductName":"Rwk Radijs Zak 3*150g VF","InventoryWarehouseId":"EP","OnHandQuantity":564,"TotalAvailableQuantity":408,"AvailableOnHandQuantity":564,"InventorySiteId":"VEN","dataAreaId":"hgv","ProductColorId":"","ProductConfigurationId":"","ProductSizeId":"","ProductStyleId":""}</t>
  </si>
  <si>
    <t>{"ItemNumber":"276242","ProductName":"Rwk Wortel Jul Zak 3*150g VF","InventoryWarehouseId":"EP","OnHandQuantity":870,"TotalAvailableQuantity":273,"AvailableOnHandQuantity":870,"InventorySiteId":"VEN","dataAreaId":"hgv","ProductColorId":"","ProductConfigurationId":"","ProductSizeId":"","ProductStyleId":""}</t>
  </si>
  <si>
    <t>{"ItemNumber":"276250","ProductName":"Baby Spinazie 4*100g VF","InventoryWarehouseId":"EP","OnHandQuantity":1280,"TotalAvailableQuantity":536,"AvailableOnHandQuantity":1280,"InventorySiteId":"VEN","dataAreaId":"hgv","ProductColorId":"","ProductConfigurationId":"","ProductSizeId":"","ProductStyleId":""}</t>
  </si>
  <si>
    <t>{"ItemNumber":"276260","ProductName":"Hutspot 8*500gr VF","InventoryWarehouseId":"EP","OnHandQuantity":9072,"TotalAvailableQuantity":2464,"AvailableOnHandQuantity":9072,"InventorySiteId":"VEN","dataAreaId":"hgv","ProductColorId":"","ProductConfigurationId":"","ProductSizeId":"","ProductStyleId":""}</t>
  </si>
  <si>
    <t>{"ItemNumber":"276263","ProductName":"Hutspot 5*1000gr VF","InventoryWarehouseId":"EP","OnHandQuantity":1080,"TotalAvailableQuantity":590,"AvailableOnHandQuantity":1080,"InventorySiteId":"VEN","dataAreaId":"hgv","ProductColorId":"","ProductConfigurationId":"","ProductSizeId":"","ProductStyleId":""}</t>
  </si>
  <si>
    <t>{"ItemNumber":"276266","ProductName":"Champignon kastanje 4*150g VF","InventoryWarehouseId":"EP","OnHandQuantity":892,"TotalAvailableQuantity":348,"AvailableOnHandQuantity":892,"InventorySiteId":"VEN","dataAreaId":"hgv","ProductColorId":"","ProductConfigurationId":"","ProductSizeId":"","ProductStyleId":""}</t>
  </si>
  <si>
    <t>{"ItemNumber":"276267","ProductName":"Bloemkool Rijst 3*400g VF","InventoryWarehouseId":"EP","OnHandQuantity":489,"TotalAvailableQuantity":210,"AvailableOnHandQuantity":489,"InventorySiteId":"VEN","dataAreaId":"hgv","ProductColorId":"","ProductConfigurationId":"","ProductSizeId":"","ProductStyleId":""}</t>
  </si>
  <si>
    <t>{"ItemNumber":"276277","ProductName":"Courgette spaghetti 2*400g","InventoryWarehouseId":"EP","OnHandQuantity":278,"TotalAvailableQuantity":138,"AvailableOnHandQuantity":278,"InventorySiteId":"VEN","dataAreaId":"hgv","ProductColorId":"","ProductConfigurationId":"","ProductSizeId":"","ProductStyleId":""}</t>
  </si>
  <si>
    <t>{"ItemNumber":"276284","ProductName":"Zuurkool 6*500g VF","InventoryWarehouseId":"EP","OnHandQuantity":6132,"TotalAvailableQuantity":20496,"AvailableOnHandQuantity":6132,"InventorySiteId":"VEN","dataAreaId":"hgv","ProductColorId":"","ProductConfigurationId":"","ProductSizeId":"","ProductStyleId":""}</t>
  </si>
  <si>
    <t>{"ItemNumber":"276285","ProductName":"Zuurkool 8*250g VF","InventoryWarehouseId":"EP","OnHandQuantity":1024,"TotalAvailableQuantity":2200,"AvailableOnHandQuantity":1024,"InventorySiteId":"VEN","dataAreaId":"hgv","ProductColorId":"","ProductConfigurationId":"","ProductSizeId":"","ProductStyleId":""}</t>
  </si>
  <si>
    <t>{"ItemNumber":"276295","ProductName":"Alfalfa 4*40g","InventoryWarehouseId":"EP","OnHandQuantity":396,"TotalAvailableQuantity":540,"AvailableOnHandQuantity":396,"InventorySiteId":"VEN","dataAreaId":"hgv","ProductColorId":"","ProductConfigurationId":"","ProductSizeId":"","ProductStyleId":""}</t>
  </si>
  <si>
    <t>{"ItemNumber":"276310","ProductName":"JongeBladsla Veldsla 5*100g VF","InventoryWarehouseId":"EP","OnHandQuantity":635,"TotalAvailableQuantity":125,"AvailableOnHandQuantity":635,"InventorySiteId":"VEN","dataAreaId":"hgv","ProductColorId":"","ProductConfigurationId":"","ProductSizeId":"","ProductStyleId":""}</t>
  </si>
  <si>
    <t>{"ItemNumber":"276311","ProductName":"JongeBladsla Rucola 5*100g VF","InventoryWarehouseId":"EP","OnHandQuantity":1140,"TotalAvailableQuantity":370,"AvailableOnHandQuantity":1140,"InventorySiteId":"VEN","dataAreaId":"hgv","ProductColorId":"","ProductConfigurationId":"","ProductSizeId":"","ProductStyleId":""}</t>
  </si>
  <si>
    <t>{"ItemNumber":"276331","ProductName":"Krulslamelange 5*100g VF","InventoryWarehouseId":"EP","OnHandQuantity":770,"TotalAvailableQuantity":-65,"AvailableOnHandQuantity":770,"InventorySiteId":"VEN","dataAreaId":"hgv","ProductColorId":"","ProductConfigurationId":"","ProductSizeId":"","ProductStyleId":""}</t>
  </si>
  <si>
    <t>{"ItemNumber":"276337","ProductName":"Bio Rode Kool 3*300g","InventoryWarehouseId":"EP","OnHandQuantity":510,"TotalAvailableQuantity":147,"AvailableOnHandQuantity":510,"InventorySiteId":"VEN","dataAreaId":"hgv","ProductColorId":"","ProductConfigurationId":"","ProductSizeId":"","ProductStyleId":""}</t>
  </si>
  <si>
    <t>{"ItemNumber":"276338","ProductName":"Bio Witte kool 3*300g","InventoryWarehouseId":"EP","OnHandQuantity":231,"TotalAvailableQuantity":102,"AvailableOnHandQuantity":231,"InventorySiteId":"VEN","dataAreaId":"hgv","ProductColorId":"","ProductConfigurationId":"","ProductSizeId":"","ProductStyleId":""}</t>
  </si>
  <si>
    <t>{"ItemNumber":"276340","ProductName":"Bio Boerenkool 4*150g","InventoryWarehouseId":"EP","OnHandQuantity":296,"TotalAvailableQuantity":128,"AvailableOnHandQuantity":296,"InventorySiteId":"VEN","dataAreaId":"hgv","ProductColorId":"","ProductConfigurationId":"","ProductSizeId":"","ProductStyleId":""}</t>
  </si>
  <si>
    <t>{"ItemNumber":"276343","ProductName":"Uien gesneden 4*150g VF","InventoryWarehouseId":"EP","OnHandQuantity":588,"TotalAvailableQuantity":776,"AvailableOnHandQuantity":588,"InventorySiteId":"VEN","dataAreaId":"hgv","ProductColorId":"","ProductConfigurationId":"","ProductSizeId":"","ProductStyleId":""}</t>
  </si>
  <si>
    <t>{"ItemNumber":"276348","ProductName":"Bio Spinazie 2*200g","InventoryWarehouseId":"EP","OnHandQuantity":398,"TotalAvailableQuantity":144,"AvailableOnHandQuantity":398,"InventorySiteId":"VEN","dataAreaId":"hgv","ProductColorId":"","ProductConfigurationId":"","ProductSizeId":"","ProductStyleId":""}</t>
  </si>
  <si>
    <t>{"ItemNumber":"276364","ProductName":"Witte champignons 4*250g VF","InventoryWarehouseId":"EP","OnHandQuantity":1024,"TotalAvailableQuantity":380,"AvailableOnHandQuantity":1024,"InventorySiteId":"VEN","dataAreaId":"hgv","ProductColorId":"","ProductConfigurationId":"","ProductSizeId":"","ProductStyleId":""}</t>
  </si>
  <si>
    <t>{"ItemNumber":"276366","ProductName":"Bloemkool roosjes 4*200g VF","InventoryWarehouseId":"EP","OnHandQuantity":308,"TotalAvailableQuantity":132,"AvailableOnHandQuantity":308,"InventorySiteId":"VEN","dataAreaId":"hgv","ProductColorId":"","ProductConfigurationId":"","ProductSizeId":"","ProductStyleId":""}</t>
  </si>
  <si>
    <t>{"ItemNumber":"276367","ProductName":"Broccoli roosjes 4*200g VF","InventoryWarehouseId":"EP","OnHandQuantity":344,"TotalAvailableQuantity":196,"AvailableOnHandQuantity":344,"InventorySiteId":"VEN","dataAreaId":"hgv","ProductColorId":"","ProductConfigurationId":"","ProductSizeId":"","ProductStyleId":""}</t>
  </si>
  <si>
    <t>{"ItemNumber":"276370","ProductName":"RWK Wortel julienne 3*300g VF","InventoryWarehouseId":"EP","OnHandQuantity":279,"TotalAvailableQuantity":216,"AvailableOnHandQuantity":279,"InventorySiteId":"VEN","dataAreaId":"hgv","ProductColorId":"","ProductConfigurationId":"","ProductSizeId":"","ProductStyleId":""}</t>
  </si>
  <si>
    <t>{"ItemNumber":"276373","ProductName":"Witte champignons 4*125g VF","InventoryWarehouseId":"EP","OnHandQuantity":824,"TotalAvailableQuantity":268,"AvailableOnHandQuantity":824,"InventorySiteId":"VEN","dataAreaId":"hgv","ProductColorId":"","ProductConfigurationId":"","ProductSizeId":"","ProductStyleId":""}</t>
  </si>
  <si>
    <t>{"ItemNumber":"276375","ProductName":"Rode uien snippers 4*150g VF","InventoryWarehouseId":"EP","OnHandQuantity":320,"TotalAvailableQuantity":360,"AvailableOnHandQuantity":320,"InventorySiteId":"VEN","dataAreaId":"hgv","ProductColorId":"","ProductConfigurationId":"","ProductSizeId":"","ProductStyleId":""}</t>
  </si>
  <si>
    <t>{"ItemNumber":"276388","ProductName":"Wortelen 8*500g","InventoryWarehouseId":"EP","OnHandQuantity":1088,"TotalAvailableQuantity":344,"AvailableOnHandQuantity":1088,"InventorySiteId":"VEN","dataAreaId":"hgv","ProductColorId":"","ProductConfigurationId":"","ProductSizeId":"","ProductStyleId":""}</t>
  </si>
  <si>
    <t>{"ItemNumber":"276389","ProductName":"Spinazie 4*600gr VF","InventoryWarehouseId":"EP","OnHandQuantity":760,"TotalAvailableQuantity":284,"AvailableOnHandQuantity":760,"InventorySiteId":"VEN","dataAreaId":"hgv","ProductColorId":"","ProductConfigurationId":"","ProductSizeId":"","ProductStyleId":""}</t>
  </si>
  <si>
    <t>{"ItemNumber":"276390","ProductName":"Spinazie 5*400gr VF","InventoryWarehouseId":"EP","OnHandQuantity":2105,"TotalAvailableQuantity":835,"AvailableOnHandQuantity":2105,"InventorySiteId":"VEN","dataAreaId":"hgv","ProductColorId":"","ProductConfigurationId":"","ProductSizeId":"","ProductStyleId":""}</t>
  </si>
  <si>
    <t>{"ItemNumber":"276400","ProductName":"Spruiten geschoond 4*200g VF","InventoryWarehouseId":"EP","OnHandQuantity":592,"TotalAvailableQuantity":204,"AvailableOnHandQuantity":592,"InventorySiteId":"VEN","dataAreaId":"hgv","ProductColorId":"","ProductConfigurationId":"","ProductSizeId":"","ProductStyleId":""}</t>
  </si>
  <si>
    <t>{"ItemNumber":"276414","ProductName":"Uien gesnipperd 6*150g VF","InventoryWarehouseId":"EP","OnHandQuantity":2982,"TotalAvailableQuantity":3336,"AvailableOnHandQuantity":2982,"InventorySiteId":"VEN","dataAreaId":"hgv","ProductColorId":"","ProductConfigurationId":"","ProductSizeId":"","ProductStyleId":""}</t>
  </si>
  <si>
    <t>{"ItemNumber":"276415","ProductName":"Uien gesneden 6*300g VF","InventoryWarehouseId":"EP","OnHandQuantity":1596,"TotalAvailableQuantity":2220,"AvailableOnHandQuantity":1596,"InventorySiteId":"VEN","dataAreaId":"hgv","ProductColorId":"","ProductConfigurationId":"","ProductSizeId":"","ProductStyleId":""}</t>
  </si>
  <si>
    <t>{"ItemNumber":"276419","ProductName":"Tauge 6*200g VF","InventoryWarehouseId":"EP","OnHandQuantity":2262,"TotalAvailableQuantity":726,"AvailableOnHandQuantity":2262,"InventorySiteId":"VEN","dataAreaId":"hgv","ProductColorId":"","ProductConfigurationId":"","ProductSizeId":"","ProductStyleId":""}</t>
  </si>
  <si>
    <t>{"ItemNumber":"276453","ProductName":"KS Quinoa notenmix 2*200g Vegan PL","InventoryWarehouseId":"EP","OnHandQuantity":228,"TotalAvailableQuantity":186,"AvailableOnHandQuantity":228,"InventorySiteId":"VEN","dataAreaId":"hgv","ProductColorId":"","ProductConfigurationId":"","ProductSizeId":"","ProductStyleId":""}</t>
  </si>
  <si>
    <t>{"ItemNumber":"276459","ProductName":"Spitskool fijn 4*200g VF","InventoryWarehouseId":"EP","OnHandQuantity":916,"TotalAvailableQuantity":644,"AvailableOnHandQuantity":916,"InventorySiteId":"VEN","dataAreaId":"hgv","ProductColorId":"","ProductConfigurationId":"","ProductSizeId":"","ProductStyleId":""}</t>
  </si>
  <si>
    <t>{"ItemNumber":"276465","ProductName":"MTS Quinoa noten 2*400g Vegan VF","InventoryWarehouseId":"EP","OnHandQuantity":194,"TotalAvailableQuantity":148,"AvailableOnHandQuantity":194,"InventorySiteId":"VEN","dataAreaId":"hgv","ProductColorId":"","ProductConfigurationId":"","ProductSizeId":"","ProductStyleId":""}</t>
  </si>
  <si>
    <t>{"ItemNumber":"276475","ProductName":"OG Zoete aardappel, rode paprika 2*600g VF","InventoryWarehouseId":"EP","OnHandQuantity":308,"TotalAvailableQuantity":140,"AvailableOnHandQuantity":308,"InventorySiteId":"VEN","dataAreaId":"hgv","ProductColorId":"","ProductConfigurationId":"","ProductSizeId":"","ProductStyleId":""}</t>
  </si>
  <si>
    <t>{"ItemNumber":"276476","ProductName":"OG Prei, peen, kastanjechampignon 2*600g VF","InventoryWarehouseId":"EP","OnHandQuantity":312,"TotalAvailableQuantity":200,"AvailableOnHandQuantity":312,"InventorySiteId":"VEN","dataAreaId":"hgv","ProductColorId":"","ProductConfigurationId":"","ProductSizeId":"","ProductStyleId":""}</t>
  </si>
  <si>
    <t>{"ItemNumber":"276479","ProductName":"KS Couscous Hummus 2*200g Veggie","InventoryWarehouseId":"EP","OnHandQuantity":166,"TotalAvailableQuantity":134,"AvailableOnHandQuantity":166,"InventorySiteId":"VEN","dataAreaId":"hgv","ProductColorId":"","ProductConfigurationId":"","ProductSizeId":"","ProductStyleId":""}</t>
  </si>
  <si>
    <t>{"ItemNumber":"276487","ProductName":"MTS Kip Chili BL1-K1 2*400g VF","InventoryWarehouseId":"EP","OnHandQuantity":404,"TotalAvailableQuantity":160,"AvailableOnHandQuantity":404,"InventorySiteId":"VEN","dataAreaId":"hgv","ProductColorId":"","ProductConfigurationId":"","ProductSizeId":"","ProductStyleId":""}</t>
  </si>
  <si>
    <t>{"ItemNumber":"276494","ProductName":"Spinazie 5*200g VF","InventoryWarehouseId":"EP","OnHandQuantity":1670,"TotalAvailableQuantity":1070,"AvailableOnHandQuantity":1670,"InventorySiteId":"VEN","dataAreaId":"hgv","ProductColorId":"","ProductConfigurationId":"","ProductSizeId":"","ProductStyleId":""}</t>
  </si>
  <si>
    <t>{"ItemNumber":"276495","ProductName":"Gemengde Sla 4*125g VF","InventoryWarehouseId":"EP","OnHandQuantity":496,"TotalAvailableQuantity":88,"AvailableOnHandQuantity":496,"InventorySiteId":"VEN","dataAreaId":"hgv","ProductColorId":"","ProductConfigurationId":"","ProductSizeId":"","ProductStyleId":""}</t>
  </si>
  <si>
    <t>{"ItemNumber":"276496","ProductName":"Bloemkool Broccoli 4*400g VF","InventoryWarehouseId":"EP","OnHandQuantity":520,"TotalAvailableQuantity":324,"AvailableOnHandQuantity":520,"InventorySiteId":"VEN","dataAreaId":"hgv","ProductColorId":"","ProductConfigurationId":"","ProductSizeId":"","ProductStyleId":""}</t>
  </si>
  <si>
    <t>{"ItemNumber":"276497","ProductName":"Bloemkool Broccoli 4*200g VF","InventoryWarehouseId":"EP","OnHandQuantity":312,"TotalAvailableQuantity":204,"AvailableOnHandQuantity":312,"InventorySiteId":"VEN","dataAreaId":"hgv","ProductColorId":"","ProductConfigurationId":"","ProductSizeId":"","ProductStyleId":""}</t>
  </si>
  <si>
    <t>{"ItemNumber":"276498","ProductName":"MTS Kip Bac. BL1K1V1 2*400g PL","InventoryWarehouseId":"EP","OnHandQuantity":262,"TotalAvailableQuantity":94,"AvailableOnHandQuantity":262,"InventorySiteId":"VEN","dataAreaId":"hgv","ProductColorId":"","ProductConfigurationId":"","ProductSizeId":"","ProductStyleId":""}</t>
  </si>
  <si>
    <t>{"ItemNumber":"276499","ProductName":"SB Kip Pesto BL1-K1 2*350g PL","InventoryWarehouseId":"EP","OnHandQuantity":126,"TotalAvailableQuantity":90,"AvailableOnHandQuantity":126,"InventorySiteId":"VEN","dataAreaId":"hgv","ProductColorId":"","ProductConfigurationId":"","ProductSizeId":"","ProductStyleId":""}</t>
  </si>
  <si>
    <t>{"ItemNumber":"276500","ProductName":"LS Couscous Falafel 2*305g VF PL","InventoryWarehouseId":"EP","OnHandQuantity":128,"TotalAvailableQuantity":94,"AvailableOnHandQuantity":128,"InventorySiteId":"VEN","dataAreaId":"hgv","ProductColorId":"","ProductConfigurationId":"","ProductSizeId":"","ProductStyleId":""}</t>
  </si>
  <si>
    <t>{"ItemNumber":"276501","ProductName":"LS Caesar 2*250g VF","InventoryWarehouseId":"EP","OnHandQuantity":446,"TotalAvailableQuantity":98,"AvailableOnHandQuantity":446,"InventorySiteId":"VEN","dataAreaId":"hgv","ProductColorId":"","ProductConfigurationId":"","ProductSizeId":"","ProductStyleId":""}</t>
  </si>
  <si>
    <t>{"ItemNumber":"276502","ProductName":"MTS Mango Hazelnoten 2*400g Vegan PL","InventoryWarehouseId":"EP","OnHandQuantity":196,"TotalAvailableQuantity":128,"AvailableOnHandQuantity":196,"InventorySiteId":"VEN","dataAreaId":"hgv","ProductColorId":"","ProductConfigurationId":"","ProductSizeId":"","ProductStyleId":""}</t>
  </si>
  <si>
    <t>{"ItemNumber":"276504","ProductName":"SB Pokebowl Zalm ASC 2*350g PL","InventoryWarehouseId":"EP","OnHandQuantity":234,"TotalAvailableQuantity":174,"AvailableOnHandQuantity":234,"InventorySiteId":"VEN","dataAreaId":"hgv","ProductColorId":"","ProductConfigurationId":"","ProductSizeId":"","ProductStyleId":""}</t>
  </si>
  <si>
    <t>{"ItemNumber":"276505","ProductName":"Mac Spagh zak 6*450g VF","InventoryWarehouseId":"EP","OnHandQuantity":6276,"TotalAvailableQuantity":3792,"AvailableOnHandQuantity":6276,"InventorySiteId":"VEN","dataAreaId":"hgv","ProductColorId":"","ProductConfigurationId":"","ProductSizeId":"","ProductStyleId":""}</t>
  </si>
  <si>
    <t>{"ItemNumber":"276506","ProductName":"Mac Spagh 6*250g VF","InventoryWarehouseId":"EP","OnHandQuantity":1872,"TotalAvailableQuantity":1092,"AvailableOnHandQuantity":1872,"InventorySiteId":"VEN","dataAreaId":"hgv","ProductColorId":"","ProductConfigurationId":"","ProductSizeId":"","ProductStyleId":""}</t>
  </si>
  <si>
    <t>{"ItemNumber":"276507","ProductName":"Bami/nasi Zak 6*250g VF","InventoryWarehouseId":"EP","OnHandQuantity":1482,"TotalAvailableQuantity":960,"AvailableOnHandQuantity":1482,"InventorySiteId":"VEN","dataAreaId":"hgv","ProductColorId":"","ProductConfigurationId":"","ProductSizeId":"","ProductStyleId":""}</t>
  </si>
  <si>
    <t>{"ItemNumber":"276508","ProductName":"Bami zak 6*450g VF","InventoryWarehouseId":"EP","OnHandQuantity":2112,"TotalAvailableQuantity":1368,"AvailableOnHandQuantity":2112,"InventorySiteId":"VEN","dataAreaId":"hgv","ProductColorId":"","ProductConfigurationId":"","ProductSizeId":"","ProductStyleId":""}</t>
  </si>
  <si>
    <t>{"ItemNumber":"276509","ProductName":"Nasi Zak 4*450g VF","InventoryWarehouseId":"EP","OnHandQuantity":2164,"TotalAvailableQuantity":788,"AvailableOnHandQuantity":2164,"InventorySiteId":"VEN","dataAreaId":"hgv","ProductColorId":"","ProductConfigurationId":"","ProductSizeId":"","ProductStyleId":""}</t>
  </si>
  <si>
    <t>{"ItemNumber":"276510","ProductName":"Zacht slamelange hydro NL 3*75g VF","InventoryWarehouseId":"EP","OnHandQuantity":510,"TotalAvailableQuantity":336,"AvailableOnHandQuantity":510,"InventorySiteId":"VEN","dataAreaId":"hgv","ProductColorId":"","ProductConfigurationId":"","ProductSizeId":"","ProductStyleId":""}</t>
  </si>
  <si>
    <t>{"ItemNumber":"276511","ProductName":"Crispy melang 3*75g hydro NL VF","InventoryWarehouseId":"EP","OnHandQuantity":474,"TotalAvailableQuantity":354,"AvailableOnHandQuantity":474,"InventorySiteId":"VEN","dataAreaId":"hgv","ProductColorId":"","ProductConfigurationId":"","ProductSizeId":"","ProductStyleId":""}</t>
  </si>
  <si>
    <t>{"ItemNumber":"276513","ProductName":"MTS Walnoot Geitenkaas 2*450g VF","InventoryWarehouseId":"EP","OnHandQuantity":308,"TotalAvailableQuantity":46,"AvailableOnHandQuantity":308,"InventorySiteId":"VEN","dataAreaId":"hgv","ProductColorId":"","ProductConfigurationId":"","ProductSizeId":"","ProductStyleId":""}</t>
  </si>
  <si>
    <t>{"ItemNumber":"276514","ProductName":"MTS Gerookte kip BL1-K1 2*450g VF","InventoryWarehouseId":"EP","OnHandQuantity":498,"TotalAvailableQuantity":122,"AvailableOnHandQuantity":498,"InventorySiteId":"VEN","dataAreaId":"hgv","ProductColorId":"","ProductConfigurationId":"","ProductSizeId":"","ProductStyleId":""}</t>
  </si>
  <si>
    <t>{"ItemNumber":"276515","ProductName":"LS Gerookte Kip BLK* 2*250g VF","InventoryWarehouseId":"EP","OnHandQuantity":132,"TotalAvailableQuantity":56,"AvailableOnHandQuantity":132,"InventorySiteId":"VEN","dataAreaId":"hgv","ProductColorId":"","ProductConfigurationId":"","ProductSizeId":"","ProductStyleId":""}</t>
  </si>
  <si>
    <t>{"ItemNumber":"276516","ProductName":"MTS Kip Cajun BLK 2*400g VF","InventoryWarehouseId":"EP","OnHandQuantity":182,"TotalAvailableQuantity":40,"AvailableOnHandQuantity":182,"InventorySiteId":"VEN","dataAreaId":"hgv","ProductColorId":"","ProductConfigurationId":"","ProductSizeId":"","ProductStyleId":""}</t>
  </si>
  <si>
    <t>{"ItemNumber":"276517","ProductName":"OG Spruit Pompoen Rode Ui 2*600g","InventoryWarehouseId":"EP","OnHandQuantity":156,"TotalAvailableQuantity":48,"AvailableOnHandQuantity":156,"InventorySiteId":"VEN","dataAreaId":"hgv","ProductColorId":"","ProductConfigurationId":"","ProductSizeId":"","ProductStyleId":""}</t>
  </si>
  <si>
    <t>{"ItemNumber":"276519","ProductName":"Bio bieten 4*400g","InventoryWarehouseId":"EP","OnHandQuantity":1480,"TotalAvailableQuantity":1360,"AvailableOnHandQuantity":1480,"InventorySiteId":"VEN","dataAreaId":"hgv","ProductColorId":"","ProductConfigurationId":"","ProductSizeId":"","ProductStyleId":""}</t>
  </si>
  <si>
    <t>{"ItemNumber":"276520","ProductName":"MTS Kip Couscous BLK1* K1* 2*450g VF","InventoryWarehouseId":"EP","OnHandQuantity":364,"TotalAvailableQuantity":164,"AvailableOnHandQuantity":364,"InventorySiteId":"VEN","dataAreaId":"hgv","ProductColorId":"","ProductConfigurationId":"","ProductSizeId":"","ProductStyleId":""}</t>
  </si>
  <si>
    <t>{"ItemNumber":"276521","ProductName":"MTS Garnaal Oosters ASC 2*450g VF","InventoryWarehouseId":"EP","OnHandQuantity":184,"TotalAvailableQuantity":72,"AvailableOnHandQuantity":184,"InventorySiteId":"VEN","dataAreaId":"hgv","ProductColorId":"","ProductConfigurationId":"","ProductSizeId":"","ProductStyleId":""}</t>
  </si>
  <si>
    <t>{"ItemNumber":"276522","ProductName":"MTS Mozzarella 2*450g VF","InventoryWarehouseId":"EP","OnHandQuantity":262,"TotalAvailableQuantity":40,"AvailableOnHandQuantity":262,"InventorySiteId":"VEN","dataAreaId":"hgv","ProductColorId":"","ProductConfigurationId":"","ProductSizeId":"","ProductStyleId":""}</t>
  </si>
  <si>
    <t>{"ItemNumber":"276523","ProductName":"MTS Zalm ASC 2*450g VF","InventoryWarehouseId":"EP","OnHandQuantity":472,"TotalAvailableQuantity":108,"AvailableOnHandQuantity":472,"InventorySiteId":"VEN","dataAreaId":"hgv","ProductColorId":"","ProductConfigurationId":"","ProductSizeId":"","ProductStyleId":""}</t>
  </si>
  <si>
    <t>{"ItemNumber":"276524","ProductName":"MTS Tonijn MSC 2*450g VF","InventoryWarehouseId":"EP","OnHandQuantity":234,"TotalAvailableQuantity":62,"AvailableOnHandQuantity":234,"InventorySiteId":"VEN","dataAreaId":"hgv","ProductColorId":"","ProductConfigurationId":"","ProductSizeId":"","ProductStyleId":""}</t>
  </si>
  <si>
    <t>{"ItemNumber":"276525","ProductName":"MTS Gegrilde Kip BL-K1 2*450g VF","InventoryWarehouseId":"EP","OnHandQuantity":552,"TotalAvailableQuantity":116,"AvailableOnHandQuantity":552,"InventorySiteId":"VEN","dataAreaId":"hgv","ProductColorId":"","ProductConfigurationId":"","ProductSizeId":"","ProductStyleId":""}</t>
  </si>
  <si>
    <t>{"ItemNumber":"276526","ProductName":"MTS Caesar BL1-K1 2*450g VF","InventoryWarehouseId":"EP","OnHandQuantity":802,"TotalAvailableQuantity":178,"AvailableOnHandQuantity":802,"InventorySiteId":"VEN","dataAreaId":"hgv","ProductColorId":"","ProductConfigurationId":"","ProductSizeId":"","ProductStyleId":""}</t>
  </si>
  <si>
    <t>{"ItemNumber":"276528","ProductName":"MTS Kip Ketjap BL1-K1 2*450g","InventoryWarehouseId":"EP","OnHandQuantity":280,"TotalAvailableQuantity":48,"AvailableOnHandQuantity":280,"InventorySiteId":"VEN","dataAreaId":"hgv","ProductColorId":"","ProductConfigurationId":"","ProductSizeId":"","ProductStyleId":""}</t>
  </si>
  <si>
    <t>{"ItemNumber":"276530","ProductName":"Sojabonen 2*150g VF","InventoryWarehouseId":"EP","OnHandQuantity":-24,"TotalAvailableQuantity":-60,"AvailableOnHandQuantity":-24,"InventorySiteId":"VEN","dataAreaId":"hgv","ProductColorId":"","ProductConfigurationId":"","ProductSizeId":"","ProductStyleId":""}</t>
  </si>
  <si>
    <t>{"ItemNumber":"276531","ProductName":"Mac Spagh zak 6*250g VF","InventoryWarehouseId":"EP","OnHandQuantity":12,"TotalAvailableQuantity":12,"AvailableOnHandQuantity":12,"InventorySiteId":"VEN","dataAreaId":"hgv","ProductColorId":"","ProductConfigurationId":"","ProductSizeId":"","ProductStyleId":""}</t>
  </si>
  <si>
    <t>{"ItemNumber":"276533","ProductName":"Bami Nasi Hele Peper Zak 6*450g VF","InventoryWarehouseId":"EP","OnHandQuantity":54,"TotalAvailableQuantity":54,"AvailableOnHandQuantity":54,"InventorySiteId":"VEN","dataAreaId":"hgv","ProductColorId":"","ProductConfigurationId":"","ProductSizeId":"","ProductStyleId":""}</t>
  </si>
  <si>
    <t>{"ItemNumber":"280019","ProductName":"Sojabonen 4*200g","InventoryWarehouseId":"EP","OnHandQuantity":0,"TotalAvailableQuantity":-688,"AvailableOnHandQuantity":0,"InventorySiteId":"VEN","dataAreaId":"hgv","ProductColorId":"","ProductConfigurationId":"","ProductSizeId":"","ProductStyleId":""}</t>
  </si>
  <si>
    <t>{"ItemNumber":"280027","ProductName":"Wortel julienne 4*200g","InventoryWarehouseId":"EP","OnHandQuantity":8236,"TotalAvailableQuantity":716,"AvailableOnHandQuantity":8236,"InventorySiteId":"VEN","dataAreaId":"hgv","ProductColorId":"","ProductConfigurationId":"","ProductSizeId":"","ProductStyleId":""}</t>
  </si>
  <si>
    <t>{"ItemNumber":"280029","ProductName":"Broccoliroosjes 4*350g","InventoryWarehouseId":"EP","OnHandQuantity":820,"TotalAvailableQuantity":820,"AvailableOnHandQuantity":820,"InventorySiteId":"VEN","dataAreaId":"hgv","ProductColorId":"","ProductConfigurationId":"","ProductSizeId":"","ProductStyleId":""}</t>
  </si>
  <si>
    <t>{"ItemNumber":"280032","ProductName":"Rode Kool 4*300g","InventoryWarehouseId":"EP","OnHandQuantity":0,"TotalAvailableQuantity":-5956,"AvailableOnHandQuantity":0,"InventorySiteId":"VEN","dataAreaId":"hgv","ProductColorId":"","ProductConfigurationId":"","ProductSizeId":"","ProductStyleId":""}</t>
  </si>
  <si>
    <t>{"ItemNumber":"280036","ProductName":"Soepgroenten 4*250g REWE Nat","InventoryWarehouseId":"EP","OnHandQuantity":1800,"TotalAvailableQuantity":540,"AvailableOnHandQuantity":1800,"InventorySiteId":"VEN","dataAreaId":"hgv","ProductColorId":"","ProductConfigurationId":"","ProductSizeId":"","ProductStyleId":""}</t>
  </si>
  <si>
    <t>{"ItemNumber":"280037","ProductName":"Spruiten 4*350g","InventoryWarehouseId":"EP","OnHandQuantity":1596,"TotalAvailableQuantity":692,"AvailableOnHandQuantity":1596,"InventorySiteId":"VEN","dataAreaId":"hgv","ProductColorId":"","ProductConfigurationId":"","ProductSizeId":"","ProductStyleId":""}</t>
  </si>
  <si>
    <t>{"ItemNumber":"280038","ProductName":"Spinazie 4*300g VF","InventoryWarehouseId":"EP","OnHandQuantity":1188,"TotalAvailableQuantity":-3552,"AvailableOnHandQuantity":1188,"InventorySiteId":"VEN","dataAreaId":"hgv","ProductColorId":"","ProductConfigurationId":"","ProductSizeId":"","ProductStyleId":""}</t>
  </si>
  <si>
    <t>{"ItemNumber":"280039","ProductName":"Witte Kool 4*300g","InventoryWarehouseId":"EP","OnHandQuantity":4448,"TotalAvailableQuantity":1388,"AvailableOnHandQuantity":4448,"InventorySiteId":"VEN","dataAreaId":"hgv","ProductColorId":"","ProductConfigurationId":"","ProductSizeId":"","ProductStyleId":""}</t>
  </si>
  <si>
    <t>{"ItemNumber":"280047","ProductName":"Butternut 4*400g","InventoryWarehouseId":"EP","OnHandQuantity":5900,"TotalAvailableQuantity":4600,"AvailableOnHandQuantity":5900,"InventorySiteId":"VEN","dataAreaId":"hgv","ProductColorId":"","ProductConfigurationId":"","ProductSizeId":"","ProductStyleId":""}</t>
  </si>
  <si>
    <t>{"ItemNumber":"280047","ProductName":"Butternut 4*400g","InventoryWarehouseId":"RL","OnHandQuantity":0,"TotalAvailableQuantity":0,"AvailableOnHandQuantity":0,"InventorySiteId":"VEN","dataAreaId":"hgv","ProductColorId":"","ProductConfigurationId":"","ProductSizeId":"","ProductStyleId":""}</t>
  </si>
  <si>
    <t>{"ItemNumber":"280048","ProductName":"Boerenkool 4*300g","InventoryWarehouseId":"EP","OnHandQuantity":4812,"TotalAvailableQuantity":3852,"AvailableOnHandQuantity":4812,"InventorySiteId":"VEN","dataAreaId":"hgv","ProductColorId":"","ProductConfigurationId":"","ProductSizeId":"","ProductStyleId":""}</t>
  </si>
  <si>
    <t>{"ItemNumber":"282367","ProductName":"Spinazie 8*300g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</si>
  <si>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{"ItemNumber":"282368","ProductName":"Spinazie 6*400g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</si>
  <si>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{"ItemNumber":"282398","ProductName":"Wortelschijfjes 12*150g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</si>
  <si>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{"ItemNumber":"282399","ProductName":"Wortelschijfjes 10*300g NL/FR","InventoryWarehouseId":"EP","OnHandQuantity":800,"TotalAvailableQuantity":800,"AvailableOnHandQuantity":800,"InventorySiteId":"VEN","dataAreaId":"hgv","ProductColorId":"","ProductConfigurationId":"","ProductSizeId":"","ProductStyleId":""}</t>
  </si>
  <si>
    <t>{"ItemNumber":"282411","ProductName":"Mix van gesneden peen en ui 10*300g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</si>
  <si>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{"ItemNumber":"282412","ProductName":"Mix van gesneden peen en ui 8*450g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</si>
  <si>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{"ItemNumber":"282413","ProductName":"Mix van gesneden peen en ui 6*600g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</si>
  <si>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{"ItemNumber":"282423","ProductName":"Snackwortel 8*400g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</si>
  <si>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{"ItemNumber":"282441","ProductName":"Groentemix met witte kool 8*400g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</si>
  <si>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{"ItemNumber":"282442","ProductName":"Groentemix met witte kool 4*800g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</si>
  <si>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{"ItemNumber":"282443","ProductName":"Groentemix met witte kool 6*600g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</si>
  <si>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{"ItemNumber":"282445","ProductName":"Spinazie 6*200g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</si>
  <si>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{"ItemNumber":"282447","ProductName":"Rucola Naturel 10*40g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</si>
  <si>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{"ItemNumber":"282448","ProductName":"Rucola Naturel 6*80g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</si>
  <si>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{"ItemNumber":"284008","ProductName":"Spitskool Broccolimix10*300gGC","InventoryWarehouseId":"RL","OnHandQuantity":590,"TotalAvailableQuantity":590,"AvailableOnHandQuantity":590,"InventorySiteId":"VEN","dataAreaId":"hgv","ProductColorId":"","ProductConfigurationId":"","ProductSizeId":"","ProductStyleId":""}</t>
  </si>
  <si>
    <t>{"ItemNumber":"284028","ProductName":"Spinazie 6*400g GC","InventoryWarehouseId":"EP","OnHandQuantity":0,"TotalAvailableQuantity":0,"AvailableOnHandQuantity":0,"InventorySiteId":"VEN","dataAreaId":"hgv","ProductColorId":"","ProductConfigurationId":"","ProductSizeId":"","ProductStyleId":""}</t>
  </si>
  <si>
    <t>{"ItemNumber":"296011","ProductName":"CAR Ananas 5*1st","InventoryWarehouseId":"EP","OnHandQuantity":460,"TotalAvailableQuantity":860,"AvailableOnHandQuantity":460,"InventorySiteId":"VEN","dataAreaId":"hgv","ProductColorId":"","ProductConfigurationId":"","ProductSizeId":"","ProductStyleId":""}</t>
  </si>
  <si>
    <t>{"ItemNumber":"296029","ProductName":"Watermeloen Parten 6*1kg","InventoryWarehouseId":"EP","OnHandQuantity":0,"TotalAvailableQuantity":0,"AvailableOnHandQuantity":0,"InventorySiteId":"VEN","dataAreaId":"hgv","ProductColorId":"","ProductConfigurationId":"","ProductSizeId":"","ProductStyleId":""}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</si>
  <si>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{"ItemNumber":"296048","ProductName":"MTS Scampi 4*400g","InventoryWarehouseId":"EP","OnHandQuantity":364,"TotalAvailableQuantity":364,"AvailableOnHandQuantity":364,"InventorySiteId":"VEN","dataAreaId":"hgv","ProductColorId":"","ProductConfigurationId":"","ProductSizeId":"","ProductStyleId":""}</t>
  </si>
  <si>
    <t>{"ItemNumber":"296049","ProductName":"MTS Zalm 4*450g","InventoryWarehouseId":"EP","OnHandQuantity":308,"TotalAvailableQuantity":308,"AvailableOnHandQuantity":308,"InventorySiteId":"VEN","dataAreaId":"hgv","ProductColorId":"","ProductConfigurationId":"","ProductSizeId":"","ProductStyleId":""}</t>
  </si>
  <si>
    <t>{"ItemNumber":"296053","ProductName":"CAR Meloenmix 4*200g","InventoryWarehouseId":"EP","OnHandQuantity":0,"TotalAvailableQuantity":0,"AvailableOnHandQuantity":0,"InventorySiteId":"VEN","dataAreaId":"hgv","ProductColorId":"","ProductConfigurationId":"","ProductSizeId":"","ProductStyleId":""}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</si>
  <si>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{"ItemNumber":"296054","ProductName":"CAR Fruitsalade 4*200g","InventoryWarehouseId":"EP","OnHandQuantity":0,"TotalAvailableQuantity":0,"AvailableOnHandQuantity":0,"InventorySiteId":"VEN","dataAreaId":"hgv","ProductColorId":"","ProductConfigurationId":"","ProductSizeId":"","ProductStyleId":""}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</si>
  <si>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{"ItemNumber":"296056","ProductName":"CAR Kokosstukjes 4*120g","InventoryWarehouseId":"EP","OnHandQuantity":0,"TotalAvailableQuantity":0,"AvailableOnHandQuantity":0,"InventorySiteId":"VEN","dataAreaId":"hgv","ProductColorId":"","ProductConfigurationId":"","ProductSizeId":"","ProductStyleId":""}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</si>
  <si>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{"ItemNumber":"296057","ProductName":"CAR Granaatappelpit 4*90g","InventoryWarehouseId":"EP","OnHandQuantity":816,"TotalAvailableQuantity":1856,"AvailableOnHandQuantity":816,"InventorySiteId":"VEN","dataAreaId":"hgv","ProductColorId":"","ProductConfigurationId":"","ProductSizeId":"","ProductStyleId":""}</t>
  </si>
  <si>
    <t>{"ItemNumber":"296062","ProductName":"CAR Fruitmix met appel 4*150g","InventoryWarehouseId":"EP","OnHandQuantity":236,"TotalAvailableQuantity":616,"AvailableOnHandQuantity":236,"InventorySiteId":"VEN","dataAreaId":"hgv","ProductColorId":"","ProductConfigurationId":"","ProductSizeId":"","ProductStyleId":""}</t>
  </si>
  <si>
    <t>{"ItemNumber":"296064","ProductName":"CAR Tropical mix 4*120g","InventoryWarehouseId":"EP","OnHandQuantity":600,"TotalAvailableQuantity":1240,"AvailableOnHandQuantity":600,"InventorySiteId":"VEN","dataAreaId":"hgv","ProductColorId":"","ProductConfigurationId":"","ProductSizeId":"","ProductStyleId":""}</t>
  </si>
  <si>
    <t>{"ItemNumber":"296072","ProductName":"CAR Ananas 4*200gr","InventoryWarehouseId":"EP","OnHandQuantity":0,"TotalAvailableQuantity":0,"AvailableOnHandQuantity":0,"InventorySiteId":"VEN","dataAreaId":"hgv","ProductColorId":"","ProductConfigurationId":"","ProductSizeId":"","ProductStyleId":""}</t>
  </si>
  <si>
    <t>{"ItemNumber":"296077","ProductName":"CAR Watermeloen Mango 4*150g","InventoryWarehouseId":"EP","OnHandQuantity":0,"TotalAvailableQuantity":0,"AvailableOnHandQuantity":0,"InventorySiteId":"VEN","dataAreaId":"hgv","ProductColorId":"","ProductConfigurationId":"","ProductSizeId":"","ProductStyleId":""}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</si>
  <si>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{"ItemNumber":"296079","ProductName":"CAR Cantaloupe 4*200g","InventoryWarehouseId":"EP","OnHandQuantity":0,"TotalAvailableQuantity":0,"AvailableOnHandQuantity":0,"InventorySiteId":"VEN","dataAreaId":"hgv","ProductColorId":"","ProductConfigurationId":"","ProductSizeId":"","ProductStyleId":""}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</si>
  <si>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{"ItemNumber":"296096","ProductName":"CAR Kerstboom 2*450g","InventoryWarehouseId":"EP","OnHandQuantity":0,"TotalAvailableQuantity":0,"AvailableOnHandQuantity":0,"InventorySiteId":"VEN","dataAreaId":"hgv","ProductColorId":"","ProductConfigurationId":"","ProductSizeId":"","ProductStyleId":""}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</si>
  <si>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{"ItemNumber":"296099","ProductName":"CAR Aardbei 4*100g","InventoryWarehouseId":"EP","OnHandQuantity":0,"TotalAvailableQuantity":0,"AvailableOnHandQuantity":0,"InventorySiteId":"VEN","dataAreaId":"hgv","ProductColorId":"","ProductConfigurationId":"","ProductSizeId":"","ProductStyleId":""}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</si>
  <si>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{"ItemNumber":"296105","ProductName":"CAR Mango 4*120g","InventoryWarehouseId":"EP","OnHandQuantity":636,"TotalAvailableQuantity":1396,"AvailableOnHandQuantity":636,"InventorySiteId":"VEN","dataAreaId":"hgv","ProductColorId":"","ProductConfigurationId":"","ProductSizeId":"","ProductStyleId":""}</t>
  </si>
  <si>
    <t>{"ItemNumber":"296106","ProductName":"MTS Tonijn 4*450g CAR","InventoryWarehouseId":"EP","OnHandQuantity":208,"TotalAvailableQuantity":168,"AvailableOnHandQuantity":168,"InventorySiteId":"VEN","dataAreaId":"hgv","ProductColorId":"","ProductConfigurationId":"","ProductSizeId":"","ProductStyleId":""}</t>
  </si>
  <si>
    <t>{"ItemNumber":"296107","ProductName":"MTS Kip Chili 4*400g CAR","InventoryWarehouseId":"EP","OnHandQuantity":160,"TotalAvailableQuantity":104,"AvailableOnHandQuantity":104,"InventorySiteId":"VEN","dataAreaId":"hgv","ProductColorId":"","ProductConfigurationId":"","ProductSizeId":"","ProductStyleId":""}</t>
  </si>
  <si>
    <t>{"ItemNumber":"296111","ProductName":"CAR Ananas 4*300g","InventoryWarehouseId":"EP","OnHandQuantity":280,"TotalAvailableQuantity":516,"AvailableOnHandQuantity":280,"InventorySiteId":"VEN","dataAreaId":"hgv","ProductColorId":"","ProductConfigurationId":"","ProductSizeId":"","ProductStyleId":""}</t>
  </si>
  <si>
    <t>{"ItemNumber":"296112","ProductName":"CAR Mango 4*175g","InventoryWarehouseId":"EP","OnHandQuantity":172,"TotalAvailableQuantity":384,"AvailableOnHandQuantity":172,"InventorySiteId":"VEN","dataAreaId":"hgv","ProductColorId":"","ProductConfigurationId":"","ProductSizeId":"","ProductStyleId":""}</t>
  </si>
  <si>
    <t>{"ItemNumber":"296113","ProductName":"CAR Meloenmix 4*250g","InventoryWarehouseId":"EP","OnHandQuantity":156,"TotalAvailableQuantity":348,"AvailableOnHandQuantity":156,"InventorySiteId":"VEN","dataAreaId":"hgv","ProductColorId":"","ProductConfigurationId":"","ProductSizeId":"","ProductStyleId":""}</t>
  </si>
  <si>
    <t>{"ItemNumber":"296114","ProductName":"CAR Fruitsalade 4*275g","InventoryWarehouseId":"EP","OnHandQuantity":168,"TotalAvailableQuantity":328,"AvailableOnHandQuantity":168,"InventorySiteId":"VEN","dataAreaId":"hgv","ProductColorId":"","ProductConfigurationId":"","ProductSizeId":"","ProductStyleId":""}</t>
  </si>
  <si>
    <t>{"ItemNumber":"296115","ProductName":"CAR Exotische mix 4*225g","InventoryWarehouseId":"EP","OnHandQuantity":0,"TotalAvailableQuantity":0,"AvailableOnHandQuantity":0,"InventorySiteId":"VEN","dataAreaId":"hgv","ProductColorId":"","ProductConfigurationId":"","ProductSizeId":"","ProductStyleId":""}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</si>
  <si>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{"ItemNumber":"296116","ProductName":"CAR Ananas aardbei blauwe bes 4*250g","InventoryWarehouseId":"EP","OnHandQuantity":0,"TotalAvailableQuantity":0,"AvailableOnHandQuantity":0,"InventorySiteId":"VEN","dataAreaId":"hgv","ProductColorId":"","ProductConfigurationId":"","ProductSizeId":"","ProductStyleId":""}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</si>
  <si>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{"ItemNumber":"296117","ProductName":"CAR Mango granaatappelpitjes 4*250g","InventoryWarehouseId":"EP","OnHandQuantity":0,"TotalAvailableQuantity":0,"AvailableOnHandQuantity":0,"InventorySiteId":"VEN","dataAreaId":"hgv","ProductColorId":"","ProductConfigurationId":"","ProductSizeId":"","ProductStyleId":""}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</si>
  <si>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{"ItemNumber":"296118","ProductName":"CAR Ananasmix 4*450g","InventoryWarehouseId":"EP","OnHandQuantity":0,"TotalAvailableQuantity":0,"AvailableOnHandQuantity":0,"InventorySiteId":"VEN","dataAreaId":"hgv","ProductColorId":"","ProductConfigurationId":"","ProductSizeId":"","ProductStyleId":""}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</si>
  <si>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{"ItemNumber":"296119","ProductName":"CAR Fruitmix tropisch 4*450g","InventoryWarehouseId":"EP","OnHandQuantity":132,"TotalAvailableQuantity":272,"AvailableOnHandQuantity":132,"InventorySiteId":"VEN","dataAreaId":"hgv","ProductColorId":"","ProductConfigurationId":"","ProductSizeId":"","ProductStyleId":""}</t>
  </si>
  <si>
    <t>{"ItemNumber":"296120","ProductName":"CAR Fruitmix luxe 4*450g","InventoryWarehouseId":"EP","OnHandQuantity":232,"TotalAvailableQuantity":492,"AvailableOnHandQuantity":232,"InventorySiteId":"VEN","dataAreaId":"hgv","ProductColorId":"","ProductConfigurationId":"","ProductSizeId":"","ProductStyleId":""}</t>
  </si>
  <si>
    <t>{"ItemNumber":"296121","ProductName":"CAR Meloenmix 4*450g","InventoryWarehouseId":"EP","OnHandQuantity":152,"TotalAvailableQuantity":292,"AvailableOnHandQuantity":152,"InventorySiteId":"VEN","dataAreaId":"hgv","ProductColorId":"","ProductConfigurationId":"","ProductSizeId":"","ProductStyleId":""}</t>
  </si>
  <si>
    <t>{"ItemNumber":"296122","ProductName":"CAR Meloentrio 4*450g","InventoryWarehouseId":"EP","OnHandQuantity":0,"TotalAvailableQuantity":0,"AvailableOnHandQuantity":0,"InventorySiteId":"VEN","dataAreaId":"hgv","ProductColorId":"","ProductConfigurationId":"","ProductSizeId":"","ProductStyleId":""}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</si>
  <si>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{"ItemNumber":"296126","ProductName":"CAR Fruitmix met peer 4*150g","InventoryWarehouseId":"EP","OnHandQuantity":0,"TotalAvailableQuantity":0,"AvailableOnHandQuantity":0,"InventorySiteId":"VEN","dataAreaId":"hgv","ProductColorId":"","ProductConfigurationId":"","ProductSizeId":"","ProductStyleId":""}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</si>
  <si>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{"ItemNumber":"296127","ProductName":"CAR Stoofpeer 4*150g","InventoryWarehouseId":"EP","OnHandQuantity":0,"TotalAvailableQuantity":0,"AvailableOnHandQuantity":0,"InventorySiteId":"VEN","dataAreaId":"hgv","ProductColorId":"","ProductConfigurationId":"","ProductSizeId":"","ProductStyleId":""}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</si>
  <si>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{"ItemNumber":"296129","ProductName":"CAR Mango 6*120g","InventoryWarehouseId":"EP","OnHandQuantity":0,"TotalAvailableQuantity":0,"AvailableOnHandQuantity":0,"InventorySiteId":"VEN","dataAreaId":"hgv","ProductColorId":"","ProductConfigurationId":"","ProductSizeId":"","ProductStyleId":""}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</si>
  <si>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{"ItemNumber":"296137","ProductName":"CAR Sinaasappel Mono 4*150g","InventoryWarehouseId":"EP","OnHandQuantity":0,"TotalAvailableQuantity":0,"AvailableOnHandQuantity":0,"InventorySiteId":"VEN","dataAreaId":"hgv","ProductColorId":"","ProductConfigurationId":"","ProductSizeId":"","ProductStyleId":""}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</si>
  <si>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{"ItemNumber":"296138","ProductName":"CAR Ananas 4*175g","InventoryWarehouseId":"EP","OnHandQuantity":0,"TotalAvailableQuantity":0,"AvailableOnHandQuantity":0,"InventorySiteId":"VEN","dataAreaId":"hgv","ProductColorId":"","ProductConfigurationId":"","ProductSizeId":"","ProductStyleId":""}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</si>
  <si>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{"ItemNumber":"296139","ProductName":"CAR Cantaloupe 4*175g","InventoryWarehouseId":"EP","OnHandQuantity":552,"TotalAvailableQuantity":1140,"AvailableOnHandQuantity":552,"InventorySiteId":"VEN","dataAreaId":"hgv","ProductColorId":"","ProductConfigurationId":"","ProductSizeId":"","ProductStyleId":""}</t>
  </si>
  <si>
    <t>{"ItemNumber":"296140","ProductName":"CAR Kokosstukjes 4*100g","InventoryWarehouseId":"EP","OnHandQuantity":128,"TotalAvailableQuantity":380,"AvailableOnHandQuantity":128,"InventorySiteId":"VEN","dataAreaId":"hgv","ProductColorId":"","ProductConfigurationId":"","ProductSizeId":"","ProductStyleId":""}</t>
  </si>
  <si>
    <t>{"ItemNumber":"296141","ProductName":"CAR 5 vruchten 4*150g","InventoryWarehouseId":"EP","OnHandQuantity":928,"TotalAvailableQuantity":1908,"AvailableOnHandQuantity":928,"InventorySiteId":"VEN","dataAreaId":"hgv","ProductColorId":"","ProductConfigurationId":"","ProductSizeId":"","ProductStyleId":""}</t>
  </si>
  <si>
    <t>{"ItemNumber":"296142","ProductName":"CAR Meloenmix 4*150g","InventoryWarehouseId":"EP","OnHandQuantity":676,"TotalAvailableQuantity":1416,"AvailableOnHandQuantity":676,"InventorySiteId":"VEN","dataAreaId":"hgv","ProductColorId":"","ProductConfigurationId":"","ProductSizeId":"","ProductStyleId":""}</t>
  </si>
  <si>
    <t>{"ItemNumber":"296145","ProductName":"CAR Seizoensmix 4*150g","InventoryWarehouseId":"EP","OnHandQuantity":0,"TotalAvailableQuantity":0,"AvailableOnHandQuantity":0,"InventorySiteId":"VEN","dataAreaId":"hgv","ProductColorId":"","ProductConfigurationId":"","ProductSizeId":"","ProductStyleId":""}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</si>
  <si>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{"ItemNumber":"296147","ProductName":"MTS Kip Teriyaki 4*400g","InventoryWarehouseId":"EP","OnHandQuantity":128,"TotalAvailableQuantity":128,"AvailableOnHandQuantity":128,"InventorySiteId":"VEN","dataAreaId":"hgv","ProductColorId":"","ProductConfigurationId":"","ProductSizeId":"","ProductStyleId":""}</t>
  </si>
  <si>
    <t>{"ItemNumber":"296149","ProductName":"CAR Piel de Sapo 4*150g","InventoryWarehouseId":"EP","OnHandQuantity":0,"TotalAvailableQuantity":0,"AvailableOnHandQuantity":0,"InventorySiteId":"VEN","dataAreaId":"hgv","ProductColorId":"","ProductConfigurationId":"","ProductSizeId":"","ProductStyleId":""}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</si>
  <si>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{"ItemNumber":"296150","ProductName":"CAR Watermeloen 4*300g","InventoryWarehouseId":"EP","OnHandQuantity":0,"TotalAvailableQuantity":0,"AvailableOnHandQuantity":0,"InventorySiteId":"VEN","dataAreaId":"hgv","ProductColorId":"","ProductConfigurationId":"","ProductSizeId":"","ProductStyleId":""}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</si>
  <si>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{"ItemNumber":"296151","ProductName":"CAR Ananas appel watermeloen blauwe bes 4*235g","InventoryWarehouseId":"EP","OnHandQuantity":0,"TotalAvailableQuantity":0,"AvailableOnHandQuantity":0,"InventorySiteId":"VEN","dataAreaId":"hgv","ProductColorId":"","ProductConfigurationId":"","ProductSizeId":"","ProductStyleId":""}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</si>
  <si>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{"ItemNumber":"296152","ProductName":"CAR Galia half 4*300g","InventoryWarehouseId":"EP","OnHandQuantity":0,"TotalAvailableQuantity":0,"AvailableOnHandQuantity":0,"InventorySiteId":"VEN","dataAreaId":"hgv","ProductColorId":"","ProductConfigurationId":"","ProductSizeId":"","ProductStyleId":""}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</si>
  <si>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{"ItemNumber":"296153","ProductName":"CAR Cantaloupe half 4*300g","InventoryWarehouseId":"EP","OnHandQuantity":0,"TotalAvailableQuantity":0,"AvailableOnHandQuantity":0,"InventorySiteId":"VEN","dataAreaId":"hgv","ProductColorId":"","ProductConfigurationId":"","ProductSizeId":"","ProductStyleId":""}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</si>
  <si>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{"ItemNumber":"296154","ProductName":"CAR Druif appel ananas 4*225g","InventoryWarehouseId":"EP","OnHandQuantity":0,"TotalAvailableQuantity":0,"AvailableOnHandQuantity":0,"InventorySiteId":"VEN","dataAreaId":"hgv","ProductColorId":"","ProductConfigurationId":"","ProductSizeId":"","ProductStyleId":""}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</si>
  <si>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{"ItemNumber":"296155","ProductName":"CAR Meloen ananas druif 4*225g","InventoryWarehouseId":"EP","OnHandQuantity":120,"TotalAvailableQuantity":160,"AvailableOnHandQuantity":120,"InventorySiteId":"VEN","dataAreaId":"hgv","ProductColorId":"","ProductConfigurationId":"","ProductSizeId":"","ProductStyleId":""}</t>
  </si>
  <si>
    <t>{"ItemNumber":"296156","ProductName":"MTS Ger. Kip Bacon 4*400g","InventoryWarehouseId":"EP","OnHandQuantity":200,"TotalAvailableQuantity":200,"AvailableOnHandQuantity":200,"InventorySiteId":"VEN","dataAreaId":"hgv","ProductColorId":"","ProductConfigurationId":"","ProductSizeId":"","ProductStyleId":""}</t>
  </si>
  <si>
    <t>{"ItemNumber":"296157","ProductName":"MTS Kip Kerrie 4*400g","InventoryWarehouseId":"EP","OnHandQuantity":212,"TotalAvailableQuantity":212,"AvailableOnHandQuantity":212,"InventorySiteId":"VEN","dataAreaId":"hgv","ProductColorId":"","ProductConfigurationId":"","ProductSizeId":"","ProductStyleId":""}</t>
  </si>
  <si>
    <t>{"ItemNumber":"296158","ProductName":"MTS Falafel 4*400g","InventoryWarehouseId":"EP","OnHandQuantity":196,"TotalAvailableQuantity":196,"AvailableOnHandQuantity":196,"InventorySiteId":"VEN","dataAreaId":"hgv","ProductColorId":"","ProductConfigurationId":"","ProductSizeId":"","ProductStyleId":""}</t>
  </si>
  <si>
    <t>{"ItemNumber":"296159","ProductName":"MTS Mozzarella 4*400g","InventoryWarehouseId":"EP","OnHandQuantity":184,"TotalAvailableQuantity":184,"AvailableOnHandQuantity":184,"InventorySiteId":"VEN","dataAreaId":"hgv","ProductColorId":"","ProductConfigurationId":"","ProductSizeId":"","ProductStyleId":""}</t>
  </si>
  <si>
    <t>{"ItemNumber":"296160","ProductName":"CAR Ananas 6*175g","InventoryWarehouseId":"EP","OnHandQuantity":1482,"TotalAvailableQuantity":3432,"AvailableOnHandQuantity":1482,"InventorySiteId":"VEN","dataAreaId":"hgv","ProductColorId":"","ProductConfigurationId":"","ProductSizeId":"","ProductStyleId":""}</t>
  </si>
  <si>
    <t>{"ItemNumber":"296161","ProductName":"CAR 5 vruchten 6*150g","InventoryWarehouseId":"EP","OnHandQuantity":0,"TotalAvailableQuantity":0,"AvailableOnHandQuantity":0,"InventorySiteId":"VEN","dataAreaId":"hgv","ProductColorId":"","ProductConfigurationId":"","ProductSizeId":"","ProductStyleId":""}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</si>
  <si>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{"ItemNumber":"296164","ProductName":"CAR Tropical mix 6*120g","InventoryWarehouseId":"EP","OnHandQuantity":0,"TotalAvailableQuantity":0,"AvailableOnHandQuantity":0,"InventorySiteId":"VEN","dataAreaId":"hgv","ProductColorId":"","ProductConfigurationId":"","ProductSizeId":"","ProductStyleId":""}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</si>
  <si>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{"ItemNumber":"296166","ProductName":"CAR Watermeloen 6*175g","InventoryWarehouseId":"EP","OnHandQuantity":0,"TotalAvailableQuantity":0,"AvailableOnHandQuantity":0,"InventorySiteId":"VEN","dataAreaId":"hgv","ProductColorId":"","ProductConfigurationId":"","ProductSizeId":"","ProductStyleId":""}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</si>
  <si>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{"ItemNumber":"296167","ProductName":"CAR Meloentrio 6*150g","InventoryWarehouseId":"EP","OnHandQuantity":0,"TotalAvailableQuantity":0,"AvailableOnHandQuantity":0,"InventorySiteId":"VEN","dataAreaId":"hgv","ProductColorId":"","ProductConfigurationId":"","ProductSizeId":"","ProductStyleId":""}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</si>
  <si>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{"ItemNumber":"296172","ProductName":"CAR Watermeloen 4*250g","InventoryWarehouseId":"EP","OnHandQuantity":220,"TotalAvailableQuantity":468,"AvailableOnHandQuantity":220,"InventorySiteId":"VEN","dataAreaId":"hgv","ProductColorId":"","ProductConfigurationId":"","ProductSizeId":"","ProductStyleId":""}</t>
  </si>
  <si>
    <t>{"ItemNumber":"296173","ProductName":"CAR Seizoensmix najaar 4*150g","InventoryWarehouseId":"EP","OnHandQuantity":476,"TotalAvailableQuantity":1136,"AvailableOnHandQuantity":476,"InventorySiteId":"VEN","dataAreaId":"hgv","ProductColorId":"","ProductConfigurationId":"","ProductSizeId":"","ProductStyleId":""}</t>
  </si>
  <si>
    <t>{"ItemNumber":"297001","ProductName":"McD Bio Apple bag DE 12*60g","InventoryWarehouseId":"EP","OnHandQuantity":0,"TotalAvailableQuantity":12,"AvailableOnHandQuantity":0,"InventorySiteId":"VEN","dataAreaId":"hgv","ProductColorId":"","ProductConfigurationId":"","ProductSizeId":"","ProductStyleId":""}</t>
  </si>
  <si>
    <t>{"ItemNumber":"297001","ProductName":"McD Bio Apple bag DE 12*60g","InventoryWarehouseId":"RL","OnHandQuantity":0,"TotalAvailableQuantity":0,"AvailableOnHandQuantity":0,"InventorySiteId":"VEN","dataAreaId":"hgv","ProductColorId":"","ProductConfigurationId":"","ProductSizeId":"","ProductStyleId":""}</t>
  </si>
  <si>
    <t>{"ItemNumber":"297010","ProductName":"Honey Mustard Dress 50x40g McD","InventoryWarehouseId":"RL","OnHandQuantity":105000,"TotalAvailableQuantity":52500,"AvailableOnHandQuantity":52500,"InventorySiteId":"VEN","dataAreaId":"hgv","ProductColorId":"","ProductConfigurationId":"","ProductSizeId":"","ProductStyleId":""}</t>
  </si>
  <si>
    <t>{"ItemNumber":"297011","ProductName":"Curry Apple Dress 50x40g McD","InventoryWarehouseId":"RL","OnHandQuantity":7500,"TotalAvailableQuantity":7500,"AvailableOnHandQuantity":7500,"InventorySiteId":"VEN","dataAreaId":"hgv","ProductColorId":"","ProductConfigurationId":"","ProductSizeId":"","ProductStyleId":""}</t>
  </si>
  <si>
    <t>{"ItemNumber":"297012","ProductName":"Balsamico Dressing 50x25g McD","InventoryWarehouseId":"RL","OnHandQuantity":63450,"TotalAvailableQuantity":16650,"AvailableOnHandQuantity":16650,"InventorySiteId":"VEN","dataAreaId":"hgv","ProductColorId":"","ProductConfigurationId":"","ProductSizeId":"","ProductStyleId":""}</t>
  </si>
  <si>
    <t>{"ItemNumber":"297021","ProductName":"W.Kool H.Mstrd McD NL 4x200g","InventoryWarehouseId":"EP","OnHandQuantity":0,"TotalAvailableQuantity":-880,"AvailableOnHandQuantity":0,"InventorySiteId":"VEN","dataAreaId":"hgv","ProductColorId":"","ProductConfigurationId":"","ProductSizeId":"","ProductStyleId":""}</t>
  </si>
  <si>
    <t>{"ItemNumber":"297021","ProductName":"W.Kool H.Mstrd McD NL 4x200g","InventoryWarehouseId":"RL","OnHandQuantity":1,"TotalAvailableQuantity":1,"AvailableOnHandQuantity":1,"InventorySiteId":"VEN","dataAreaId":"hgv","ProductColorId":"","ProductConfigurationId":"","ProductSizeId":"","ProductStyleId":""}</t>
  </si>
  <si>
    <t>{"ItemNumber":"297038","ProductName":"McD Appelpartjes 20*60g","InventoryWarehouseId":"EP","OnHandQuantity":0,"TotalAvailableQuantity":0,"AvailableOnHandQuantity":0,"InventorySiteId":"VEN","dataAreaId":"hgv","ProductColorId":"","ProductConfigurationId":"","ProductSizeId":"","ProductStyleId":""}</t>
  </si>
  <si>
    <t>{"ItemNumber":"297039","ProductName":"McD Italian Hard Cheese 4*250g","InventoryWarehouseId":"RL","OnHandQuantity":28224,"TotalAvailableQuantity":-63168,"AvailableOnHandQuantity":28224,"InventorySiteId":"VEN","dataAreaId":"hgv","ProductColorId":"","ProductConfigurationId":"","ProductSizeId":"","ProductStyleId":""}</t>
  </si>
  <si>
    <t>{"ItemNumber":"297066","ProductName":"McD Slamix 12*60g","InventoryWarehouseId":"RL","OnHandQuantity":108,"TotalAvailableQuantity":108,"AvailableOnHandQuantity":108,"InventorySiteId":"VEN","dataAreaId":"hgv","ProductColorId":"","ProductConfigurationId":"","ProductSizeId":"","ProductStyleId":""}</t>
  </si>
  <si>
    <t>{"ItemNumber":"297070","ProductName":"Red Cabbage Mix Mstrd McD 4*200g","InventoryWarehouseId":"EP","OnHandQuantity":0,"TotalAvailableQuantity":-760,"AvailableOnHandQuantity":0,"InventorySiteId":"VEN","dataAreaId":"hgv","ProductColorId":"","ProductConfigurationId":"","ProductSizeId":"","ProductStyleId":""}</t>
  </si>
  <si>
    <t>{"ItemNumber":"297071","ProductName":"McD Slamix 8*60g","InventoryWarehouseId":"EP","OnHandQuantity":0,"TotalAvailableQuantity":-1400,"AvailableOnHandQuantity":0,"InventorySiteId":"VEN","dataAreaId":"hgv","ProductColorId":"","ProductConfigurationId":"","ProductSizeId":"","ProductStyleId":""}</t>
  </si>
  <si>
    <t>{"ItemNumber":"297072","ProductName":"McD Slamix 8*100g","InventoryWarehouseId":"EP","OnHandQuantity":0,"TotalAvailableQuantity":-1520,"AvailableOnHandQuantity":0,"InventorySiteId":"VEN","dataAreaId":"hgv","ProductColorId":"","ProductConfigurationId":"","ProductSizeId":"","ProductStyleId":""}</t>
  </si>
  <si>
    <t>{"ItemNumber":"297073","ProductName":"Rucola Sla McD 8*100g","InventoryWarehouseId":"EP","OnHandQuantity":0,"TotalAvailableQuantity":-752,"AvailableOnHandQuantity":0,"InventorySiteId":"VEN","dataAreaId":"hgv","ProductColorId":"","ProductConfigurationId":"","ProductSizeId":"","ProductStyleId":""}</t>
  </si>
  <si>
    <t>{"ItemNumber":"300046","ProductName":"Dille 1*20g","InventoryWarehouseId":"EP","OnHandQuantity":0,"TotalAvailableQuantity":0,"AvailableOnHandQuantity":0,"InventorySiteId":"VEN","dataAreaId":"hgv","ProductColorId":"","ProductConfigurationId":"","ProductSizeId":"","ProductStyleId":""}</t>
  </si>
  <si>
    <t>{"ItemNumber":"300047","ProductName":"Dragon 1*20g","InventoryWarehouseId":"EP","OnHandQuantity":0,"TotalAvailableQuantity":0,"AvailableOnHandQuantity":0,"InventorySiteId":"VEN","dataAreaId":"hgv","ProductColorId":"","ProductConfigurationId":"","ProductSizeId":"","ProductStyleId":""}</t>
  </si>
  <si>
    <t>{"ItemNumber":"300048","ProductName":"Citroengras 1*40g","InventoryWarehouseId":"EP","OnHandQuantity":0,"TotalAvailableQuantity":0,"AvailableOnHandQuantity":0,"InventorySiteId":"VEN","dataAreaId":"hgv","ProductColorId":"","ProductConfigurationId":"","ProductSizeId":"","ProductStyleId":""}</t>
  </si>
  <si>
    <t>{"ItemNumber":"300050","ProductName":"Rozemarijn 1*20g","InventoryWarehouseId":"EP","OnHandQuantity":0,"TotalAvailableQuantity":0,"AvailableOnHandQuantity":0,"InventorySiteId":"VEN","dataAreaId":"hgv","ProductColorId":"","ProductConfigurationId":"","ProductSizeId":"","ProductStyleId":""}</t>
  </si>
  <si>
    <t>{"ItemNumber":"300051","ProductName":"Munt 1*20g","InventoryWarehouseId":"EP","OnHandQuantity":0,"TotalAvailableQuantity":0,"AvailableOnHandQuantity":0,"InventorySiteId":"VEN","dataAreaId":"hgv","ProductColorId":"","ProductConfigurationId":"","ProductSizeId":"","ProductStyleId":""}</t>
  </si>
  <si>
    <t>{"ItemNumber":"300052","ProductName":"Koriander 1*20g","InventoryWarehouseId":"EP","OnHandQuantity":0,"TotalAvailableQuantity":287,"AvailableOnHandQuantity":0,"InventorySiteId":"VEN","dataAreaId":"hgv","ProductColorId":"","ProductConfigurationId":"","ProductSizeId":"","ProductStyleId":""}</t>
  </si>
  <si>
    <t>{"ItemNumber":"300053","ProductName":"Salie 1*20g","InventoryWarehouseId":"EP","OnHandQuantity":0,"TotalAvailableQuantity":0,"AvailableOnHandQuantity":0,"InventorySiteId":"VEN","dataAreaId":"hgv","ProductColorId":"","ProductConfigurationId":"","ProductSizeId":"","ProductStyleId":""}</t>
  </si>
  <si>
    <t>{"ItemNumber":"300055","ProductName":"Koriander 6*20g","InventoryWarehouseId":"EP","OnHandQuantity":0,"TotalAvailableQuantity":0,"AvailableOnHandQuantity":0,"InventorySiteId":"VEN","dataAreaId":"hgv","ProductColorId":"","ProductConfigurationId":"","ProductSizeId":"","ProductStyleId":""}</t>
  </si>
  <si>
    <t>{"ItemNumber":"300057","ProductName":"Munt 6*20g","InventoryWarehouseId":"EP","OnHandQuantity":0,"TotalAvailableQuantity":0,"AvailableOnHandQuantity":0,"InventorySiteId":"VEN","dataAreaId":"hgv","ProductColorId":"","ProductConfigurationId":"","ProductSizeId":"","ProductStyleId":""}</t>
  </si>
  <si>
    <t>{"ItemNumber":"300058","ProductName":"Rozemarijn 6*20g","InventoryWarehouseId":"EP","OnHandQuantity":0,"TotalAvailableQuantity":0,"AvailableOnHandQuantity":0,"InventorySiteId":"VEN","dataAreaId":"hgv","ProductColorId":"","ProductConfigurationId":"","ProductSizeId":"","ProductStyleId":""}</t>
  </si>
  <si>
    <t>{"ItemNumber":"300059","ProductName":"Tijm 6*20g","InventoryWarehouseId":"EP","OnHandQuantity":0,"TotalAvailableQuantity":0,"AvailableOnHandQuantity":0,"InventorySiteId":"VEN","dataAreaId":"hgv","ProductColorId":"","ProductConfigurationId":"","ProductSizeId":"","ProductStyleId":""}</t>
  </si>
  <si>
    <t>{"ItemNumber":"300061","ProductName":"Munt 12*50g","InventoryWarehouseId":"EP","OnHandQuantity":0,"TotalAvailableQuantity":0,"AvailableOnHandQuantity":0,"InventorySiteId":"VEN","dataAreaId":"hgv","ProductColorId":"","ProductConfigurationId":"","ProductSizeId":"","ProductStyleId":""}</t>
  </si>
  <si>
    <t>{"ItemNumber":"300061","ProductName":"Munt 12*50g","InventoryWarehouseId":"RL","OnHandQuantity":8064,"TotalAvailableQuantity":8076,"AvailableOnHandQuantity":8064,"InventorySiteId":"VEN","dataAreaId":"hgv","ProductColorId":"","ProductConfigurationId":"","ProductSizeId":"","ProductStyleId":""}</t>
  </si>
  <si>
    <t>{"ItemNumber":"300062","ProductName":"Eatable Flower mix 8*15gr","InventoryWarehouseId":"EP","OnHandQuantity":0,"TotalAvailableQuantity":8,"AvailableOnHandQuantity":0,"InventorySiteId":"VEN","dataAreaId":"hgv","ProductColorId":"","ProductConfigurationId":"","ProductSizeId":"","ProductStyleId":""}</t>
  </si>
  <si>
    <t>{"ItemNumber":"300144","ProductName":"Herb mix Garlic butter 18*20g","InventoryWarehouseId":"EP","OnHandQuantity":0,"TotalAvailableQuantity":18,"AvailableOnHandQuantity":0,"InventorySiteId":"VEN","dataAreaId":"hgv","ProductColorId":"","ProductConfigurationId":"","ProductSizeId":"","ProductStyleId":""}</t>
  </si>
  <si>
    <t>{"ItemNumber":"300145","ProductName":"Herb mix Tzatziki 18*20g","InventoryWarehouseId":"EP","OnHandQuantity":0,"TotalAvailableQuantity":18,"AvailableOnHandQuantity":0,"InventorySiteId":"VEN","dataAreaId":"hgv","ProductColorId":"","ProductConfigurationId":"","ProductSizeId":"","ProductStyleId":""}</t>
  </si>
  <si>
    <t>{"ItemNumber":"300146","ProductName":"BBQ Herb mix  18*20g","InventoryWarehouseId":"EP","OnHandQuantity":0,"TotalAvailableQuantity":18,"AvailableOnHandQuantity":0,"InventorySiteId":"VEN","dataAreaId":"hgv","ProductColorId":"","ProductConfigurationId":"","ProductSizeId":"","ProductStyleId":""}</t>
  </si>
  <si>
    <t>{"ItemNumber":"300147","ProductName":"Thyme 12*50g","InventoryWarehouseId":"EP","OnHandQuantity":0,"TotalAvailableQuantity":24,"AvailableOnHandQuantity":0,"InventorySiteId":"VEN","dataAreaId":"hgv","ProductColorId":"","ProductConfigurationId":"","ProductSizeId":"","ProductStyleId":""}</t>
  </si>
  <si>
    <t>{"ItemNumber":"303","ProductName":"WWfust 0.3KG","InventoryWarehouseId":"GR","OnHandQuantity":1834,"TotalAvailableQuantity":1834,"AvailableOnHandQuantity":1834,"InventorySiteId":"VEN","dataAreaId":"hgv","ProductColorId":"","ProductConfigurationId":"","ProductSizeId":"","ProductStyleId":""}</t>
  </si>
  <si>
    <t>{"ItemNumber":"304","ProductName":"WWfust 0.4KG","InventoryWarehouseId":"GR","OnHandQuantity":0,"TotalAvailableQuantity":0,"AvailableOnHandQuantity":0,"InventorySiteId":"VEN","dataAreaId":"hgv","ProductColorId":"","ProductConfigurationId":"","ProductSizeId":"","ProductStyleId":""}</t>
  </si>
  <si>
    <t>{"ItemNumber":"305","ProductName":"WWfust 0.5KG","InventoryWarehouseId":"GR","OnHandQuantity":150,"TotalAvailableQuantity":150,"AvailableOnHandQuantity":150,"InventorySiteId":"VEN","dataAreaId":"hgv","ProductColorId":"","ProductConfigurationId":"","ProductSizeId":"","ProductStyleId":""}</t>
  </si>
  <si>
    <t>{"ItemNumber":"307","ProductName":"WWfust 0.8KG","InventoryWarehouseId":"GR","OnHandQuantity":0,"TotalAvailableQuantity":0,"AvailableOnHandQuantity":0,"InventorySiteId":"VEN","dataAreaId":"hgv","ProductColorId":"","ProductConfigurationId":"","ProductSizeId":"","ProductStyleId":""}</t>
  </si>
  <si>
    <t>{"ItemNumber":"308","ProductName":"WWfust 1.0KG","InventoryWarehouseId":"GR","OnHandQuantity":18,"TotalAvailableQuantity":18,"AvailableOnHandQuantity":18,"InventorySiteId":"VEN","dataAreaId":"hgv","ProductColorId":"","ProductConfigurationId":"","ProductSizeId":"","ProductStyleId":""}</t>
  </si>
  <si>
    <t>{"ItemNumber":"309","ProductName":"WWfust 0,2KG","InventoryWarehouseId":"GR","OnHandQuantity":0,"TotalAvailableQuantity":0,"AvailableOnHandQuantity":0,"InventorySiteId":"VEN","dataAreaId":"hgv","ProductColorId":"","ProductConfigurationId":"","ProductSizeId":"","ProductStyleId":""}</t>
  </si>
  <si>
    <t>{"ItemNumber":"310109","ProductName":"DELI Red cabbage 6*250g","InventoryWarehouseId":"EP","OnHandQuantity":0,"TotalAvailableQuantity":-360,"AvailableOnHandQuantity":0,"InventorySiteId":"VEN","dataAreaId":"hgv","ProductColorId":"","ProductConfigurationId":"","ProductSizeId":"","ProductStyleId":""}</t>
  </si>
  <si>
    <t>{"ItemNumber":"310110","ProductName":"DELI Red onion rings 6*250g","InventoryWarehouseId":"EP","OnHandQuantity":0,"TotalAvailableQuantity":-1296,"AvailableOnHandQuantity":0,"InventorySiteId":"VEN","dataAreaId":"hgv","ProductColorId":"","ProductConfigurationId":"","ProductSizeId":"","ProductStyleId":""}</t>
  </si>
  <si>
    <t>{"ItemNumber":"310112","ProductName":"DELI Pomegranate seed 4*150g","InventoryWarehouseId":"EP","OnHandQuantity":0,"TotalAvailableQuantity":0,"AvailableOnHandQuantity":0,"InventorySiteId":"VEN","dataAreaId":"hgv","ProductColorId":"","ProductConfigurationId":"","ProductSizeId":"","ProductStyleId":""}</t>
  </si>
  <si>
    <t>{"ItemNumber":"310135","ProductName":"Romaine sla 1*400g","InventoryWarehouseId":"EP","OnHandQuantity":1605,"TotalAvailableQuantity":524,"AvailableOnHandQuantity":1605,"InventorySiteId":"VEN","dataAreaId":"hgv","ProductColorId":"","ProductConfigurationId":"","ProductSizeId":"","ProductStyleId":""}</t>
  </si>
  <si>
    <t>{"ItemNumber":"310138","ProductName":"CAR Aardbei bavarois 4*110g","InventoryWarehouseId":"EP","OnHandQuantity":360,"TotalAvailableQuantity":740,"AvailableOnHandQuantity":360,"InventorySiteId":"VEN","dataAreaId":"hgv","ProductColorId":"","ProductConfigurationId":"","ProductSizeId":"","ProductStyleId":""}</t>
  </si>
  <si>
    <t>{"ItemNumber":"310139","ProductName":"CAR Vanille bavarois appel mango 4*110g","InventoryWarehouseId":"EP","OnHandQuantity":208,"TotalAvailableQuantity":416,"AvailableOnHandQuantity":208,"InventorySiteId":"VEN","dataAreaId":"hgv","ProductColorId":"","ProductConfigurationId":"","ProductSizeId":"","ProductStyleId":""}</t>
  </si>
  <si>
    <t>{"ItemNumber":"310140","ProductName":"CAR Luchtige yoghurt mango ananas 4*80g","InventoryWarehouseId":"EP","OnHandQuantity":0,"TotalAvailableQuantity":0,"AvailableOnHandQuantity":0,"InventorySiteId":"VEN","dataAreaId":"hgv","ProductColorId":"","ProductConfigurationId":"","ProductSizeId":"","ProductStyleId":""}</t>
  </si>
  <si>
    <t>{"ItemNumber":"310141","ProductName":"CAR Luchtige yoghurt rode vruchten 4*80g","InventoryWarehouseId":"EP","OnHandQuantity":304,"TotalAvailableQuantity":552,"AvailableOnHandQuantity":304,"InventorySiteId":"VEN","dataAreaId":"hgv","ProductColorId":"","ProductConfigurationId":"","ProductSizeId":"","ProductStyleId":""}</t>
  </si>
  <si>
    <t>{"ItemNumber":"310165","ProductName":"Uien zakjes 1*50g tbv BIET","InventoryWarehouseId":"EP","OnHandQuantity":43200,"TotalAvailableQuantity":43200,"AvailableOnHandQuantity":43200,"InventorySiteId":"VEN","dataAreaId":"hgv","ProductColorId":"","ProductConfigurationId":"","ProductSizeId":"","ProductStyleId":""}</t>
  </si>
  <si>
    <t>{"ItemNumber":"310170","ProductName":"Ink MAGION CARROT CAKE PANCAK 6*160","InventoryWarehouseId":"EP","OnHandQuantity":0,"TotalAvailableQuantity":-270,"AvailableOnHandQuantity":0,"InventorySiteId":"VEN","dataAreaId":"hgv","ProductColorId":"","ProductConfigurationId":"","ProductSizeId":"","ProductStyleId":""}</t>
  </si>
  <si>
    <t>{"ItemNumber":"310171","ProductName":"Ink MAGION PUMPK CINNA PANCAK 6*160","InventoryWarehouseId":"EP","OnHandQuantity":0,"TotalAvailableQuantity":-342,"AvailableOnHandQuantity":0,"InventorySiteId":"VEN","dataAreaId":"hgv","ProductColorId":"","ProductConfigurationId":"","ProductSizeId":"","ProductStyleId":""}</t>
  </si>
  <si>
    <t>{"ItemNumber":"310174","ProductName":"Ink JOHMA RAUWKOST TW KRUIDEN 6*200","InventoryWarehouseId":"EP","OnHandQuantity":750,"TotalAvailableQuantity":750,"AvailableOnHandQuantity":750,"InventorySiteId":"VEN","dataAreaId":"hgv","ProductColorId":"","ProductConfigurationId":"","ProductSizeId":"","ProductStyleId":""}</t>
  </si>
  <si>
    <t>{"ItemNumber":"310175","ProductName":"Ink JOHMA RAUWKOST KOMKOMMER 6*200","InventoryWarehouseId":"EP","OnHandQuantity":1500,"TotalAvailableQuantity":1500,"AvailableOnHandQuantity":1500,"InventorySiteId":"VEN","dataAreaId":"hgv","ProductColorId":"","ProductConfigurationId":"","ProductSizeId":"","ProductStyleId":""}</t>
  </si>
  <si>
    <t>{"ItemNumber":"310176","ProductName":"Ink JOHMA RAUWKOST FARMER 6*200","InventoryWarehouseId":"EP","OnHandQuantity":1950,"TotalAvailableQuantity":912,"AvailableOnHandQuantity":1950,"InventorySiteId":"VEN","dataAreaId":"hgv","ProductColorId":"","ProductConfigurationId":"","ProductSizeId":"","ProductStyleId":""}</t>
  </si>
  <si>
    <t>{"ItemNumber":"310177","ProductName":"Ink JOHMA RAUWKOST WIT KOOL 6*200","InventoryWarehouseId":"EP","OnHandQuantity":1500,"TotalAvailableQuantity":1500,"AvailableOnHandQuantity":1500,"InventorySiteId":"VEN","dataAreaId":"hgv","ProductColorId":"","ProductConfigurationId":"","ProductSizeId":"","ProductStyleId":""}</t>
  </si>
  <si>
    <t>{"ItemNumber":"310178","ProductName":"Ink JOHMA RAUWKOST COLESLAW 6*200","InventoryWarehouseId":"EP","OnHandQuantity":1800,"TotalAvailableQuantity":-240,"AvailableOnHandQuantity":1800,"InventorySiteId":"VEN","dataAreaId":"hgv","ProductColorId":"","ProductConfigurationId":"","ProductSizeId":"","ProductStyleId":""}</t>
  </si>
  <si>
    <t>{"ItemNumber":"310179","ProductName":"Ink MAGION BLOEMKOOL BODEM 4*390","InventoryWarehouseId":"EP","OnHandQuantity":0,"TotalAvailableQuantity":-3328,"AvailableOnHandQuantity":0,"InventorySiteId":"VEN","dataAreaId":"hgv","ProductColorId":"","ProductConfigurationId":"","ProductSizeId":"","ProductStyleId":""}</t>
  </si>
  <si>
    <t>{"ItemNumber":"311","ProductName":"Dummy Blok Pallet tbv SSCC","InventoryWarehouseId":"EP","OnHandQuantity":-4065,"TotalAvailableQuantity":-4065,"AvailableOnHandQuantity":-4065,"InventorySiteId":"VEN","dataAreaId":"hgv","ProductColorId":"","ProductConfigurationId":"","ProductSizeId":"","ProductStyleId":""}</t>
  </si>
  <si>
    <t>{"ItemNumber":"312","ProductName":"Dummy Rolly tbv SSCC","InventoryWarehouseId":"EP","OnHandQuantity":-46620,"TotalAvailableQuantity":-46620,"AvailableOnHandQuantity":-46620,"InventorySiteId":"VEN","dataAreaId":"hgv","ProductColorId":"","ProductConfigurationId":"","ProductSizeId":"","ProductStyleId":""}</t>
  </si>
  <si>
    <t>{"ItemNumber":"313","ProductName":"Doos 0.3KG","InventoryWarehouseId":"EP","OnHandQuantity":0,"TotalAvailableQuantity":0,"AvailableOnHandQuantity":0,"InventorySiteId":"VEN","dataAreaId":"hgv","ProductColorId":"","ProductConfigurationId":"","ProductSizeId":"","ProductStyleId":""}</t>
  </si>
  <si>
    <t>{"ItemNumber":"313","ProductName":"Doos 0.3KG","InventoryWarehouseId":"GR","OnHandQuantity":63873,"TotalAvailableQuantity":63873,"AvailableOnHandQuantity":63873,"InventorySiteId":"VEN","dataAreaId":"hgv","ProductColorId":"","ProductConfigurationId":"","ProductSizeId":"","ProductStyleId":""}</t>
  </si>
  <si>
    <t>{"ItemNumber":"313","ProductName":"Doos 0.3KG","InventoryWarehouseId":"RL","OnHandQuantity":0,"TotalAvailableQuantity":0,"AvailableOnHandQuantity":0,"InventorySiteId":"VEN","dataAreaId":"hgv","ProductColorId":"","ProductConfigurationId":"","ProductSizeId":"","ProductStyleId":""}</t>
  </si>
  <si>
    <t>{"ItemNumber":"314","ProductName":"Doos 0.5KG","InventoryWarehouseId":"EP","OnHandQuantity":1066,"TotalAvailableQuantity":1066,"AvailableOnHandQuantity":1066,"InventorySiteId":"VEN","dataAreaId":"hgv","ProductColorId":"","ProductConfigurationId":"","ProductSizeId":"","ProductStyleId":""}</t>
  </si>
  <si>
    <t>{"ItemNumber":"314","ProductName":"Doos 0.5KG","InventoryWarehouseId":"GR","OnHandQuantity":5226,"TotalAvailableQuantity":5226,"AvailableOnHandQuantity":5226,"InventorySiteId":"VEN","dataAreaId":"hgv","ProductColorId":"","ProductConfigurationId":"","ProductSizeId":"","ProductStyleId":""}</t>
  </si>
  <si>
    <t>{"ItemNumber":"314","ProductName":"Doos 0.5KG","InventoryWarehouseId":"RL","OnHandQuantity":0,"TotalAvailableQuantity":0,"AvailableOnHandQuantity":0,"InventorySiteId":"VEN","dataAreaId":"hgv","ProductColorId":"","ProductConfigurationId":"","ProductSizeId":"","ProductStyleId":""}</t>
  </si>
  <si>
    <t>{"ItemNumber":"315","ProductName":"Doos 0.8KG","InventoryWarehouseId":"GR","OnHandQuantity":4,"TotalAvailableQuantity":4,"AvailableOnHandQuantity":4,"InventorySiteId":"VEN","dataAreaId":"hgv","ProductColorId":"","ProductConfigurationId":"","ProductSizeId":"","ProductStyleId":""}</t>
  </si>
  <si>
    <t>{"ItemNumber":"316","ProductName":"Doos 1.0KG","InventoryWarehouseId":"GR","OnHandQuantity":1573,"TotalAvailableQuantity":1573,"AvailableOnHandQuantity":1573,"InventorySiteId":"VEN","dataAreaId":"hgv","ProductColorId":"","ProductConfigurationId":"","ProductSizeId":"","ProductStyleId":""}</t>
  </si>
  <si>
    <t>{"ItemNumber":"317","ProductName":"Wegwerp pallet 7.0kg","InventoryWarehouseId":"EP","OnHandQuantity":0,"TotalAvailableQuantity":0,"AvailableOnHandQuantity":0,"InventorySiteId":"VEN","dataAreaId":"hgv","ProductColorId":"","ProductConfigurationId":"","ProductSizeId":"","ProductStyleId":""}</t>
  </si>
  <si>
    <t>{"ItemNumber":"317","ProductName":"Wegwerp pallet 7.0kg","InventoryWarehouseId":"GR","OnHandQuantity":197,"TotalAvailableQuantity":197,"AvailableOnHandQuantity":197,"InventorySiteId":"VEN","dataAreaId":"hgv","ProductColorId":"","ProductConfigurationId":"","ProductSizeId":"","ProductStyleId":""}</t>
  </si>
  <si>
    <t>{"ItemNumber":"318","ProductName":"Wegwerp pallet 15.0kg","InventoryWarehouseId":"EMB3","OnHandQuantity":0,"TotalAvailableQuantity":0,"AvailableOnHandQuantity":0,"InventorySiteId":"VEN","dataAreaId":"hgv","ProductColorId":"","ProductConfigurationId":"","ProductSizeId":"","ProductStyleId":""}</t>
  </si>
  <si>
    <t>{"ItemNumber":"318","ProductName":"Wegwerp pallet 15.0kg","InventoryWarehouseId":"EP","OnHandQuantity":181,"TotalAvailableQuantity":181,"AvailableOnHandQuantity":181,"InventorySiteId":"VEN","dataAreaId":"hgv","ProductColorId":"","ProductConfigurationId":"","ProductSizeId":"","ProductStyleId":""}</t>
  </si>
  <si>
    <t>{"ItemNumber":"318","ProductName":"Wegwerp pallet 15.0kg","InventoryWarehouseId":"GR","OnHandQuantity":-456,"TotalAvailableQuantity":-456,"AvailableOnHandQuantity":-456,"InventorySiteId":"VEN","dataAreaId":"hgv","ProductColorId":"","ProductConfigurationId":"","ProductSizeId":"","ProductStyleId":""}</t>
  </si>
  <si>
    <t>{"ItemNumber":"318","ProductName":"Wegwerp pallet 15.0kg","InventoryWarehouseId":"RL","OnHandQuantity":1,"TotalAvailableQuantity":0,"AvailableOnHandQuantity":1,"InventorySiteId":"VEN","dataAreaId":"hgv","ProductColorId":"","ProductConfigurationId":"","ProductSizeId":"","ProductStyleId":""}</t>
  </si>
  <si>
    <t>{"ItemNumber":"319","ProductName":"Wegwerp pallet 21.0kg","InventoryWarehouseId":"GR","OnHandQuantity":49,"TotalAvailableQuantity":49,"AvailableOnHandQuantity":49,"InventorySiteId":"VEN","dataAreaId":"hgv","ProductColorId":"","ProductConfigurationId":"","ProductSizeId":"","ProductStyleId":""}</t>
  </si>
  <si>
    <t>{"ItemNumber":"320","ProductName":"Wegwerp pallet 11.0kg","InventoryWarehouseId":"GR","OnHandQuantity":774,"TotalAvailableQuantity":774,"AvailableOnHandQuantity":774,"InventorySiteId":"VEN","dataAreaId":"hgv","ProductColorId":"","ProductConfigurationId":"","ProductSizeId":"","ProductStyleId":""}</t>
  </si>
  <si>
    <t>{"ItemNumber":"321003","ProductName":"GLOBUS Mischkarton Family Bowl 4*500g","InventoryWarehouseId":"EP","OnHandQuantity":0,"TotalAvailableQuantity":-288,"AvailableOnHandQuantity":0,"InventorySiteId":"VEN","dataAreaId":"hgv","ProductColorId":"","ProductConfigurationId":"","ProductSizeId":"","ProductStyleId":""}</t>
  </si>
  <si>
    <t>{"ItemNumber":"321004","ProductName":"Feldsalat Mix 5*100g","InventoryWarehouseId":"EP","OnHandQuantity":0,"TotalAvailableQuantity":-1090,"AvailableOnHandQuantity":0,"InventorySiteId":"VEN","dataAreaId":"hgv","ProductColorId":"","ProductConfigurationId":"","ProductSizeId":"","ProductStyleId":""}</t>
  </si>
  <si>
    <t>{"ItemNumber":"321005","ProductName":"Blattsalat Mix 4*150g","InventoryWarehouseId":"EP","OnHandQuantity":0,"TotalAvailableQuantity":-1388,"AvailableOnHandQuantity":0,"InventorySiteId":"VEN","dataAreaId":"hgv","ProductColorId":"","ProductConfigurationId":"","ProductSizeId":"","ProductStyleId":""}</t>
  </si>
  <si>
    <t>{"ItemNumber":"321006","ProductName":"Eissalat mix 4*150g","InventoryWarehouseId":"EP","OnHandQuantity":0,"TotalAvailableQuantity":-1024,"AvailableOnHandQuantity":0,"InventorySiteId":"VEN","dataAreaId":"hgv","ProductColorId":"","ProductConfigurationId":"","ProductSizeId":"","ProductStyleId":""}</t>
  </si>
  <si>
    <t>{"ItemNumber":"321007","ProductName":"IJsbergsla 4*250g","InventoryWarehouseId":"EP","OnHandQuantity":0,"TotalAvailableQuantity":-264,"AvailableOnHandQuantity":0,"InventorySiteId":"VEN","dataAreaId":"hgv","ProductColorId":"","ProductConfigurationId":"","ProductSizeId":"","ProductStyleId":""}</t>
  </si>
  <si>
    <t>{"ItemNumber":"321008","ProductName":"Rode Kool 4*300g","InventoryWarehouseId":"EP","OnHandQuantity":0,"TotalAvailableQuantity":-260,"AvailableOnHandQuantity":0,"InventorySiteId":"VEN","dataAreaId":"hgv","ProductColorId":"","ProductConfigurationId":"","ProductSizeId":"","ProductStyleId":""}</t>
  </si>
  <si>
    <t>{"ItemNumber":"321009","ProductName":"Witte Kool 4*300g","InventoryWarehouseId":"EP","OnHandQuantity":0,"TotalAvailableQuantity":-252,"AvailableOnHandQuantity":0,"InventorySiteId":"VEN","dataAreaId":"hgv","ProductColorId":"","ProductConfigurationId":"","ProductSizeId":"","ProductStyleId":""}</t>
  </si>
  <si>
    <t>{"ItemNumber":"321010","ProductName":"Wortel julienne 4*200g","InventoryWarehouseId":"EP","OnHandQuantity":0,"TotalAvailableQuantity":-376,"AvailableOnHandQuantity":0,"InventorySiteId":"VEN","dataAreaId":"hgv","ProductColorId":"","ProductConfigurationId":"","ProductSizeId":"","ProductStyleId":""}</t>
  </si>
  <si>
    <t>{"ItemNumber":"321011","ProductName":"Wokmix Japans 4*400g","InventoryWarehouseId":"EP","OnHandQuantity":0,"TotalAvailableQuantity":-124,"AvailableOnHandQuantity":0,"InventorySiteId":"VEN","dataAreaId":"hgv","ProductColorId":"","ProductConfigurationId":"","ProductSizeId":"","ProductStyleId":""}</t>
  </si>
  <si>
    <t>{"ItemNumber":"321016","ProductName":"MB Barbecue mix 1*500g Globus","InventoryWarehouseId":"EP","OnHandQuantity":0,"TotalAvailableQuantity":0,"AvailableOnHandQuantity":0,"InventorySiteId":"VEN","dataAreaId":"hgv","ProductColorId":"","ProductConfigurationId":"","ProductSizeId":"","ProductStyleId":""}</t>
  </si>
  <si>
    <t>{"ItemNumber":"321017","ProductName":"MB Bunter mix 1*500g Globus","InventoryWarehouseId":"EP","OnHandQuantity":0,"TotalAvailableQuantity":0,"AvailableOnHandQuantity":0,"InventorySiteId":"VEN","dataAreaId":"hgv","ProductColorId":"","ProductConfigurationId":"","ProductSizeId":"","ProductStyleId":""}</t>
  </si>
  <si>
    <t>{"ItemNumber":"321022","ProductName":"GLOBUS SB Classic 2*250g","InventoryWarehouseId":"EP","OnHandQuantity":0,"TotalAvailableQuantity":-316,"AvailableOnHandQuantity":0,"InventorySiteId":"VEN","dataAreaId":"hgv","ProductColorId":"","ProductConfigurationId":"","ProductSizeId":"","ProductStyleId":""}</t>
  </si>
  <si>
    <t>{"ItemNumber":"321024","ProductName":"Soepgroenten 6*150g Globus","InventoryWarehouseId":"EP","OnHandQuantity":0,"TotalAvailableQuantity":-120,"AvailableOnHandQuantity":0,"InventorySiteId":"VEN","dataAreaId":"hgv","ProductColorId":"","ProductConfigurationId":"","ProductSizeId":"","ProductStyleId":""}</t>
  </si>
  <si>
    <t>{"ItemNumber":"321025","ProductName":"Salatschale Schinken &amp; Käse 4*300g Globus","InventoryWarehouseId":"EP","OnHandQuantity":0,"TotalAvailableQuantity":-272,"AvailableOnHandQuantity":0,"InventorySiteId":"VEN","dataAreaId":"hgv","ProductColorId":"","ProductConfigurationId":"","ProductSizeId":"","ProductStyleId":""}</t>
  </si>
  <si>
    <t>{"ItemNumber":"321026","ProductName":"Salatschale Hänchensalat mit Senf-Dressing 4*300g Globus","InventoryWarehouseId":"EP","OnHandQuantity":0,"TotalAvailableQuantity":-280,"AvailableOnHandQuantity":0,"InventorySiteId":"VEN","dataAreaId":"hgv","ProductColorId":"","ProductConfigurationId":"","ProductSizeId":"","ProductStyleId":""}</t>
  </si>
  <si>
    <t>{"ItemNumber":"321027","ProductName":"Salatschale Caesar 4*300g Globus","InventoryWarehouseId":"EP","OnHandQuantity":0,"TotalAvailableQuantity":-376,"AvailableOnHandQuantity":0,"InventorySiteId":"VEN","dataAreaId":"hgv","ProductColorId":"","ProductConfigurationId":"","ProductSizeId":"","ProductStyleId":""}</t>
  </si>
  <si>
    <t>{"ItemNumber":"322009","ProductName":"Salatbeutel Mix I 6er","InventoryWarehouseId":"EP","OnHandQuantity":0,"TotalAvailableQuantity":-2,"AvailableOnHandQuantity":0,"InventorySiteId":"VEN","dataAreaId":"hgv","ProductColorId":"","ProductConfigurationId":"","ProductSizeId":"","ProductStyleId":""}</t>
  </si>
  <si>
    <t>{"ItemNumber":"322011","ProductName":"Salatschale Schinken &amp; Käse 4*300g","InventoryWarehouseId":"EP","OnHandQuantity":2000,"TotalAvailableQuantity":1584,"AvailableOnHandQuantity":2000,"InventorySiteId":"VEN","dataAreaId":"hgv","ProductColorId":"","ProductConfigurationId":"","ProductSizeId":"","ProductStyleId":""}</t>
  </si>
  <si>
    <t>{"ItemNumber":"322012","ProductName":"Salatschale Caesar 4*300g","InventoryWarehouseId":"EP","OnHandQuantity":2532,"TotalAvailableQuantity":1900,"AvailableOnHandQuantity":2532,"InventorySiteId":"VEN","dataAreaId":"hgv","ProductColorId":"","ProductConfigurationId":"","ProductSizeId":"","ProductStyleId":""}</t>
  </si>
  <si>
    <t>{"ItemNumber":"322013","ProductName":"Salatschale Hänchensalat mit Senf-Dressing 4*300g","InventoryWarehouseId":"EP","OnHandQuantity":2652,"TotalAvailableQuantity":1992,"AvailableOnHandQuantity":2652,"InventorySiteId":"VEN","dataAreaId":"hgv","ProductColorId":"","ProductConfigurationId":"","ProductSizeId":"","ProductStyleId":""}</t>
  </si>
  <si>
    <t>{"ItemNumber":"322021","ProductName":"Pasta Salat Thunfisch 1*350g","InventoryWarehouseId":"EP","OnHandQuantity":342,"TotalAvailableQuantity":-8,"AvailableOnHandQuantity":342,"InventorySiteId":"VEN","dataAreaId":"hgv","ProductColorId":"","ProductConfigurationId":"","ProductSizeId":"","ProductStyleId":""}</t>
  </si>
  <si>
    <t>{"ItemNumber":"322022","ProductName":"Pasta Salat Tomate-Mozzarella 1*350g","InventoryWarehouseId":"EP","OnHandQuantity":348,"TotalAvailableQuantity":-2,"AvailableOnHandQuantity":348,"InventorySiteId":"VEN","dataAreaId":"hgv","ProductColorId":"","ProductConfigurationId":"","ProductSizeId":"","ProductStyleId":""}</t>
  </si>
  <si>
    <t>{"ItemNumber":"322023","ProductName":"Pasta Salat Käse 1*350g","InventoryWarehouseId":"EP","OnHandQuantity":354,"TotalAvailableQuantity":4,"AvailableOnHandQuantity":354,"InventorySiteId":"VEN","dataAreaId":"hgv","ProductColorId":"","ProductConfigurationId":"","ProductSizeId":"","ProductStyleId":""}</t>
  </si>
  <si>
    <t>{"ItemNumber":"322028","ProductName":"Salat Hirtenkäse 1*325g","InventoryWarehouseId":"EP","OnHandQuantity":354,"TotalAvailableQuantity":4,"AvailableOnHandQuantity":354,"InventorySiteId":"VEN","dataAreaId":"hgv","ProductColorId":"","ProductConfigurationId":"","ProductSizeId":"","ProductStyleId":""}</t>
  </si>
  <si>
    <t>{"ItemNumber":"322029","ProductName":"Salatbeutel Mix 1 6er Netto MD","InventoryWarehouseId":"EP","OnHandQuantity":3450,"TotalAvailableQuantity":6342,"AvailableOnHandQuantity":3450,"InventorySiteId":"VEN","dataAreaId":"hgv","ProductColorId":"","ProductConfigurationId":"","ProductSizeId":"","ProductStyleId":""}</t>
  </si>
  <si>
    <t>{"ItemNumber":"322030","ProductName":"Salatbeutel Mix 2 6er Netto MD","InventoryWarehouseId":"EP","OnHandQuantity":1308,"TotalAvailableQuantity":7104,"AvailableOnHandQuantity":1308,"InventorySiteId":"VEN","dataAreaId":"hgv","ProductColorId":"","ProductConfigurationId":"","ProductSizeId":"","ProductStyleId":""}</t>
  </si>
  <si>
    <t>{"ItemNumber":"322031","ProductName":"Pastasalat Mixkarton III 4st Netto MD","InventoryWarehouseId":"EP","OnHandQuantity":1932,"TotalAvailableQuantity":2716,"AvailableOnHandQuantity":1932,"InventorySiteId":"VEN","dataAreaId":"hgv","ProductColorId":"","ProductConfigurationId":"","ProductSizeId":"","ProductStyleId":""}</t>
  </si>
  <si>
    <t>{"ItemNumber":"322032","ProductName":"Mixkarton Rbg Chin en Ital NETTO 4*400g","InventoryWarehouseId":"EP","OnHandQuantity":728,"TotalAvailableQuantity":892,"AvailableOnHandQuantity":728,"InventorySiteId":"VEN","dataAreaId":"hgv","ProductColorId":"","ProductConfigurationId":"","ProductSizeId":"","ProductStyleId":""}</t>
  </si>
  <si>
    <t>{"ItemNumber":"322033","ProductName":"Rbg Chinees 1*400g","InventoryWarehouseId":"EP","OnHandQuantity":180,"TotalAvailableQuantity":0,"AvailableOnHandQuantity":180,"InventorySiteId":"VEN","dataAreaId":"hgv","ProductColorId":"","ProductConfigurationId":"","ProductSizeId":"","ProductStyleId":""}</t>
  </si>
  <si>
    <t>{"ItemNumber":"322034","ProductName":"Rbg Italiaanse Stijl 1*400g","InventoryWarehouseId":"EP","OnHandQuantity":180,"TotalAvailableQuantity":0,"AvailableOnHandQuantity":180,"InventorySiteId":"VEN","dataAreaId":"hgv","ProductColorId":"","ProductConfigurationId":"","ProductSizeId":"","ProductStyleId":""}</t>
  </si>
  <si>
    <t>{"ItemNumber":"322035","ProductName":"Rohkost Mix 1*200g","InventoryWarehouseId":"EP","OnHandQuantity":3664,"TotalAvailableQuantity":26,"AvailableOnHandQuantity":3664,"InventorySiteId":"VEN","dataAreaId":"hgv","ProductColorId":"","ProductConfigurationId":"","ProductSizeId":"","ProductStyleId":""}</t>
  </si>
  <si>
    <t>{"ItemNumber":"322036","ProductName":"Blattsalat Mix 1*150g","InventoryWarehouseId":"EP","OnHandQuantity":3664,"TotalAvailableQuantity":26,"AvailableOnHandQuantity":3664,"InventorySiteId":"VEN","dataAreaId":"hgv","ProductColorId":"","ProductConfigurationId":"","ProductSizeId":"","ProductStyleId":""}</t>
  </si>
  <si>
    <t>{"ItemNumber":"322037","ProductName":"Feldsalat Mix 1*100g","InventoryWarehouseId":"EP","OnHandQuantity":2320,"TotalAvailableQuantity":10,"AvailableOnHandQuantity":2320,"InventorySiteId":"VEN","dataAreaId":"hgv","ProductColorId":"","ProductConfigurationId":"","ProductSizeId":"","ProductStyleId":""}</t>
  </si>
  <si>
    <t>{"ItemNumber":"322038","ProductName":"Eissalat Mix 1*150g","InventoryWarehouseId":"EP","OnHandQuantity":2320,"TotalAvailableQuantity":-36,"AvailableOnHandQuantity":2320,"InventorySiteId":"VEN","dataAreaId":"hgv","ProductColorId":"","ProductConfigurationId":"","ProductSizeId":"","ProductStyleId":""}</t>
  </si>
  <si>
    <t>{"ItemNumber":"323006","ProductName":"Blattsalat Mix 5*150g VF","InventoryWarehouseId":"EP","OnHandQuantity":0,"TotalAvailableQuantity":1800,"AvailableOnHandQuantity":0,"InventorySiteId":"VEN","dataAreaId":"hgv","ProductColorId":"","ProductConfigurationId":"","ProductSizeId":"","ProductStyleId":""}</t>
  </si>
  <si>
    <t>{"ItemNumber":"327","ProductName":"Wegwerp Europallet 7,0kg","InventoryWarehouseId":"GR","OnHandQuantity":23,"TotalAvailableQuantity":23,"AvailableOnHandQuantity":23,"InventorySiteId":"VEN","dataAreaId":"hgv","ProductColorId":"","ProductConfigurationId":"","ProductSizeId":"","ProductStyleId":""}</t>
  </si>
  <si>
    <t>{"ItemNumber":"328","ProductName":"Wegwerp Europallet 11,0kg","InventoryWarehouseId":"EP","OnHandQuantity":1,"TotalAvailableQuantity":1,"AvailableOnHandQuantity":1,"InventorySiteId":"VEN","dataAreaId":"hgv","ProductColorId":"","ProductConfigurationId":"","ProductSizeId":"","ProductStyleId":""}</t>
  </si>
  <si>
    <t>{"ItemNumber":"328","ProductName":"Wegwerp Europallet 11,0kg","InventoryWarehouseId":"GR","OnHandQuantity":79,"TotalAvailableQuantity":79,"AvailableOnHandQuantity":79,"InventorySiteId":"VEN","dataAreaId":"hgv","ProductColorId":"","ProductConfigurationId":"","ProductSizeId":"","ProductStyleId":""}</t>
  </si>
  <si>
    <t>{"ItemNumber":"329","ProductName":"WWfust 0,75KG","InventoryWarehouseId":"GR","OnHandQuantity":470,"TotalAvailableQuantity":470,"AvailableOnHandQuantity":470,"InventorySiteId":"VEN","dataAreaId":"hgv","ProductColorId":"","ProductConfigurationId":"","ProductSizeId":"","ProductStyleId":""}</t>
  </si>
  <si>
    <t>{"ItemNumber":"401","ProductName":"Hessing Pallet","InventoryWarehouseId":"EMB3","OnHandQuantity":52,"TotalAvailableQuantity":52,"AvailableOnHandQuantity":52,"InventorySiteId":"VEN","dataAreaId":"hgv","ProductColorId":"","ProductConfigurationId":"","ProductSizeId":"","ProductStyleId":""}</t>
  </si>
  <si>
    <t>{"ItemNumber":"401","ProductName":"Hessing Pallet","InventoryWarehouseId":"EP","OnHandQuantity":59,"TotalAvailableQuantity":59,"AvailableOnHandQuantity":59,"InventorySiteId":"VEN","dataAreaId":"hgv","ProductColorId":"","ProductConfigurationId":"","ProductSizeId":"","ProductStyleId":""}</t>
  </si>
  <si>
    <t>{"ItemNumber":"401","ProductName":"Hessing Pallet","InventoryWarehouseId":"GR","OnHandQuantity":340,"TotalAvailableQuantity":-238,"AvailableOnHandQuantity":340,"InventorySiteId":"VEN","dataAreaId":"hgv","ProductColorId":"","ProductConfigurationId":"","ProductSizeId":"","ProductStyleId":""}</t>
  </si>
  <si>
    <t>{"ItemNumber":"401","ProductName":"Hessing Pallet","InventoryWarehouseId":"RL","OnHandQuantity":37,"TotalAvailableQuantity":34,"AvailableOnHandQuantity":37,"InventorySiteId":"VEN","dataAreaId":"hgv","ProductColorId":"","ProductConfigurationId":"","ProductSizeId":"","ProductStyleId":""}</t>
  </si>
  <si>
    <t>{"ItemNumber":"402","ProductName":"Interne Pallet Blauw","InventoryWarehouseId":"EP","OnHandQuantity":2,"TotalAvailableQuantity":2,"AvailableOnHandQuantity":2,"InventorySiteId":"VEN","dataAreaId":"hgv","ProductColorId":"","ProductConfigurationId":"","ProductSizeId":"","ProductStyleId":""}</t>
  </si>
  <si>
    <t>{"ItemNumber":"402","ProductName":"Interne Pallet Blauw","InventoryWarehouseId":"GR","OnHandQuantity":685,"TotalAvailableQuantity":685,"AvailableOnHandQuantity":685,"InventorySiteId":"VEN","dataAreaId":"hgv","ProductColorId":"","ProductConfigurationId":"","ProductSizeId":"","ProductStyleId":""}</t>
  </si>
  <si>
    <t>{"ItemNumber":"402","ProductName":"Interne Pallet Blauw","InventoryWarehouseId":"RL","OnHandQuantity":1,"TotalAvailableQuantity":1,"AvailableOnHandQuantity":1,"InventorySiteId":"VEN","dataAreaId":"hgv","ProductColorId":"","ProductConfigurationId":"","ProductSizeId":"","ProductStyleId":""}</t>
  </si>
  <si>
    <t>{"ItemNumber":"404","ProductName":"Poolpallet","InventoryWarehouseId":"EMB3","OnHandQuantity":402,"TotalAvailableQuantity":402,"AvailableOnHandQuantity":402,"InventorySiteId":"VEN","dataAreaId":"hgv","ProductColorId":"","ProductConfigurationId":"","ProductSizeId":"","ProductStyleId":""}</t>
  </si>
  <si>
    <t>{"ItemNumber":"404","ProductName":"Poolpallet","InventoryWarehouseId":"EP","OnHandQuantity":951,"TotalAvailableQuantity":892,"AvailableOnHandQuantity":951,"InventorySiteId":"VEN","dataAreaId":"hgv","ProductColorId":"","ProductConfigurationId":"","ProductSizeId":"","ProductStyleId":""}</t>
  </si>
  <si>
    <t>{"ItemNumber":"404","ProductName":"Poolpallet","InventoryWarehouseId":"GR","OnHandQuantity":-76,"TotalAvailableQuantity":-75,"AvailableOnHandQuantity":-76,"InventorySiteId":"VEN","dataAreaId":"hgv","ProductColorId":"","ProductConfigurationId":"","ProductSizeId":"","ProductStyleId":""}</t>
  </si>
  <si>
    <t>{"ItemNumber":"404","ProductName":"Poolpallet","InventoryWarehouseId":"RL","OnHandQuantity":5,"TotalAvailableQuantity":5,"AvailableOnHandQuantity":5,"InventorySiteId":"VEN","dataAreaId":"hgv","ProductColorId":"","ProductConfigurationId":"","ProductSizeId":"","ProductStyleId":""}</t>
  </si>
  <si>
    <t>{"ItemNumber":"405","ProductName":"Europallet 120*80","InventoryWarehouseId":"EMB3","OnHandQuantity":3,"TotalAvailableQuantity":3,"AvailableOnHandQuantity":3,"InventorySiteId":"VEN","dataAreaId":"hgv","ProductColorId":"","ProductConfigurationId":"","ProductSizeId":"","ProductStyleId":""}</t>
  </si>
  <si>
    <t>{"ItemNumber":"405","ProductName":"Europallet 120*80","InventoryWarehouseId":"EP","OnHandQuantity":524,"TotalAvailableQuantity":1015,"AvailableOnHandQuantity":524,"InventorySiteId":"VEN","dataAreaId":"hgv","ProductColorId":"","ProductConfigurationId":"","ProductSizeId":"","ProductStyleId":""}</t>
  </si>
  <si>
    <t>{"ItemNumber":"405","ProductName":"Europallet 120*80","InventoryWarehouseId":"GR","OnHandQuantity":894,"TotalAvailableQuantity":896,"AvailableOnHandQuantity":894,"InventorySiteId":"VEN","dataAreaId":"hgv","ProductColorId":"","ProductConfigurationId":"","ProductSizeId":"","ProductStyleId":""}</t>
  </si>
  <si>
    <t>{"ItemNumber":"405","ProductName":"Europallet 120*80","InventoryWarehouseId":"RL","OnHandQuantity":-2,"TotalAvailableQuantity":-12,"AvailableOnHandQuantity":-2,"InventorySiteId":"VEN","dataAreaId":"hgv","ProductColorId":"","ProductConfigurationId":"","ProductSizeId":"","ProductStyleId":""}</t>
  </si>
  <si>
    <t>{"ItemNumber":"406","ProductName":"LPR 120*100","InventoryWarehouseId":"EMB3","OnHandQuantity":0,"TotalAvailableQuantity":-26,"AvailableOnHandQuantity":0,"InventorySiteId":"VEN","dataAreaId":"hgv","ProductColorId":"","ProductConfigurationId":"","ProductSizeId":"","ProductStyleId":""}</t>
  </si>
  <si>
    <t>{"ItemNumber":"406","ProductName":"LPR 120*100","InventoryWarehouseId":"EP","OnHandQuantity":7301,"TotalAvailableQuantity":8545,"AvailableOnHandQuantity":7301,"InventorySiteId":"VEN","dataAreaId":"hgv","ProductColorId":"","ProductConfigurationId":"","ProductSizeId":"","ProductStyleId":""}</t>
  </si>
  <si>
    <t>{"ItemNumber":"406","ProductName":"LPR 120*100","InventoryWarehouseId":"GR","OnHandQuantity":76,"TotalAvailableQuantity":49,"AvailableOnHandQuantity":76,"InventorySiteId":"VEN","dataAreaId":"hgv","ProductColorId":"","ProductConfigurationId":"","ProductSizeId":"","ProductStyleId":""}</t>
  </si>
  <si>
    <t>{"ItemNumber":"406","ProductName":"LPR 120*100","InventoryWarehouseId":"RL","OnHandQuantity":3,"TotalAvailableQuantity":3,"AvailableOnHandQuantity":3,"InventorySiteId":"VEN","dataAreaId":"hgv","ProductColorId":"","ProductConfigurationId":"","ProductSizeId":"","ProductStyleId":""}</t>
  </si>
  <si>
    <t>{"ItemNumber":"407","ProductName":"vd Plas Pallet","InventoryWarehouseId":"EP","OnHandQuantity":0,"TotalAvailableQuantity":0,"AvailableOnHandQuantity":0,"InventorySiteId":"VEN","dataAreaId":"hgv","ProductColorId":"","ProductConfigurationId":"","ProductSizeId":"","ProductStyleId":""}</t>
  </si>
  <si>
    <t>{"ItemNumber":"407","ProductName":"vd Plas Pallet","InventoryWarehouseId":"GR","OnHandQuantity":-8,"TotalAvailableQuantity":-8,"AvailableOnHandQuantity":-8,"InventorySiteId":"VEN","dataAreaId":"hgv","ProductColorId":"","ProductConfigurationId":"","ProductSizeId":"","ProductStyleId":""}</t>
  </si>
  <si>
    <t>{"ItemNumber":"408","ProductName":"CHEP 120*100","InventoryWarehouseId":"EMB3","OnHandQuantity":0,"TotalAvailableQuantity":0,"AvailableOnHandQuantity":0,"InventorySiteId":"VEN","dataAreaId":"hgv","ProductColorId":"","ProductConfigurationId":"","ProductSizeId":"","ProductStyleId":""}</t>
  </si>
  <si>
    <t>{"ItemNumber":"408","ProductName":"CHEP 120*100","InventoryWarehouseId":"EP","OnHandQuantity":311,"TotalAvailableQuantity":311,"AvailableOnHandQuantity":311,"InventorySiteId":"VEN","dataAreaId":"hgv","ProductColorId":"","ProductConfigurationId":"","ProductSizeId":"","ProductStyleId":""}</t>
  </si>
  <si>
    <t>{"ItemNumber":"408","ProductName":"CHEP 120*100","InventoryWarehouseId":"GR","OnHandQuantity":558,"TotalAvailableQuantity":557,"AvailableOnHandQuantity":558,"InventorySiteId":"VEN","dataAreaId":"hgv","ProductColorId":"","ProductConfigurationId":"","ProductSizeId":"","ProductStyleId":""}</t>
  </si>
  <si>
    <t>{"ItemNumber":"409","ProductName":"CHEP 120*80","InventoryWarehouseId":"EMB3","OnHandQuantity":-32,"TotalAvailableQuantity":-31,"AvailableOnHandQuantity":-32,"InventorySiteId":"VEN","dataAreaId":"hgv","ProductColorId":"","ProductConfigurationId":"","ProductSizeId":"","ProductStyleId":""}</t>
  </si>
  <si>
    <t>{"ItemNumber":"409","ProductName":"CHEP 120*80","InventoryWarehouseId":"EP","OnHandQuantity":-2294,"TotalAvailableQuantity":1193,"AvailableOnHandQuantity":-2294,"InventorySiteId":"VEN","dataAreaId":"hgv","ProductColorId":"","ProductConfigurationId":"","ProductSizeId":"","ProductStyleId":""}</t>
  </si>
  <si>
    <t>{"ItemNumber":"409","ProductName":"CHEP 120*80","InventoryWarehouseId":"GR","OnHandQuantity":951,"TotalAvailableQuantity":950,"AvailableOnHandQuantity":951,"InventorySiteId":"VEN","dataAreaId":"hgv","ProductColorId":"","ProductConfigurationId":"","ProductSizeId":"","ProductStyleId":""}</t>
  </si>
  <si>
    <t>{"ItemNumber":"409","ProductName":"CHEP 120*80","InventoryWarehouseId":"RL","OnHandQuantity":0,"TotalAvailableQuantity":0,"AvailableOnHandQuantity":0,"InventorySiteId":"VEN","dataAreaId":"hgv","ProductColorId":"","ProductConfigurationId":"","ProductSizeId":"","ProductStyleId":""}</t>
  </si>
  <si>
    <t>{"ItemNumber":"411","ProductName":"H1 Pallet 120*80","InventoryWarehouseId":"EMB3","OnHandQuantity":0,"TotalAvailableQuantity":0,"AvailableOnHandQuantity":0,"InventorySiteId":"VEN","dataAreaId":"hgv","ProductColorId":"","ProductConfigurationId":"","ProductSizeId":"","ProductStyleId":""}</t>
  </si>
  <si>
    <t>{"ItemNumber":"411","ProductName":"H1 Pallet 120*80","InventoryWarehouseId":"EP","OnHandQuantity":136,"TotalAvailableQuantity":136,"AvailableOnHandQuantity":136,"InventorySiteId":"VEN","dataAreaId":"hgv","ProductColorId":"","ProductConfigurationId":"","ProductSizeId":"","ProductStyleId":""}</t>
  </si>
  <si>
    <t>{"ItemNumber":"411","ProductName":"H1 Pallet 120*80","InventoryWarehouseId":"GR","OnHandQuantity":1178,"TotalAvailableQuantity":1178,"AvailableOnHandQuantity":1178,"InventorySiteId":"VEN","dataAreaId":"hgv","ProductColorId":"","ProductConfigurationId":"","ProductSizeId":"","ProductStyleId":""}</t>
  </si>
  <si>
    <t>{"ItemNumber":"412","ProductName":"DPA pallet","InventoryWarehouseId":"EP","OnHandQuantity":5,"TotalAvailableQuantity":5,"AvailableOnHandQuantity":5,"InventorySiteId":"VEN","dataAreaId":"hgv","ProductColorId":"","ProductConfigurationId":"","ProductSizeId":"","ProductStyleId":""}</t>
  </si>
  <si>
    <t>{"ItemNumber":"412","ProductName":"DPA pallet","InventoryWarehouseId":"GR","OnHandQuantity":171,"TotalAvailableQuantity":171,"AvailableOnHandQuantity":171,"InventorySiteId":"VEN","dataAreaId":"hgv","ProductColorId":"","ProductConfigurationId":"","ProductSizeId":"","ProductStyleId":""}</t>
  </si>
  <si>
    <t>{"ItemNumber":"413","ProductName":"IPP 120*80","InventoryWarehouseId":"EMB3","OnHandQuantity":32,"TotalAvailableQuantity":32,"AvailableOnHandQuantity":32,"InventorySiteId":"VEN","dataAreaId":"hgv","ProductColorId":"","ProductConfigurationId":"","ProductSizeId":"","ProductStyleId":""}</t>
  </si>
  <si>
    <t>{"ItemNumber":"413","ProductName":"IPP 120*80","InventoryWarehouseId":"EP","OnHandQuantity":980,"TotalAvailableQuantity":820,"AvailableOnHandQuantity":980,"InventorySiteId":"VEN","dataAreaId":"hgv","ProductColorId":"","ProductConfigurationId":"","ProductSizeId":"","ProductStyleId":""}</t>
  </si>
  <si>
    <t>{"ItemNumber":"413","ProductName":"IPP 120*80","InventoryWarehouseId":"GR","OnHandQuantity":98,"TotalAvailableQuantity":98,"AvailableOnHandQuantity":98,"InventorySiteId":"VEN","dataAreaId":"hgv","ProductColorId":"","ProductConfigurationId":"","ProductSizeId":"","ProductStyleId":""}</t>
  </si>
  <si>
    <t>{"ItemNumber":"419","ProductName":"Evers Pallet","InventoryWarehouseId":"GR","OnHandQuantity":-359,"TotalAvailableQuantity":-359,"AvailableOnHandQuantity":-359,"InventorySiteId":"VEN","dataAreaId":"hgv","ProductColorId":"","ProductConfigurationId":"","ProductSizeId":"","ProductStyleId":""}</t>
  </si>
  <si>
    <t>{"ItemNumber":"420","ProductName":"H3 Pallet 120*100","InventoryWarehouseId":"GR","OnHandQuantity":1,"TotalAvailableQuantity":1,"AvailableOnHandQuantity":1,"InventorySiteId":"VEN","dataAreaId":"hgv","ProductColorId":"","ProductConfigurationId":"","ProductSizeId":"","ProductStyleId":""}</t>
  </si>
  <si>
    <t>{"ItemNumber":"421","ProductName":"Plastic Pallet Zwart","InventoryWarehouseId":"EP","OnHandQuantity":1,"TotalAvailableQuantity":1,"AvailableOnHandQuantity":1,"InventorySiteId":"VEN","dataAreaId":"hgv","ProductColorId":"","ProductConfigurationId":"","ProductSizeId":"","ProductStyleId":""}</t>
  </si>
  <si>
    <t>{"ItemNumber":"421","ProductName":"Plastic Pallet Zwart","InventoryWarehouseId":"GR","OnHandQuantity":99,"TotalAvailableQuantity":99,"AvailableOnHandQuantity":99,"InventorySiteId":"VEN","dataAreaId":"hgv","ProductColorId":"","ProductConfigurationId":"","ProductSizeId":"","ProductStyleId":""}</t>
  </si>
  <si>
    <t>{"ItemNumber":"431","ProductName":"Versland Pallet","InventoryWarehouseId":"EP","OnHandQuantity":2,"TotalAvailableQuantity":2,"AvailableOnHandQuantity":2,"InventorySiteId":"VEN","dataAreaId":"hgv","ProductColorId":"","ProductConfigurationId":"","ProductSizeId":"","ProductStyleId":""}</t>
  </si>
  <si>
    <t>{"ItemNumber":"431","ProductName":"Versland Pallet","InventoryWarehouseId":"GR","OnHandQuantity":908,"TotalAvailableQuantity":906,"AvailableOnHandQuantity":908,"InventorySiteId":"VEN","dataAreaId":"hgv","ProductColorId":"","ProductConfigurationId":"","ProductSizeId":"","ProductStyleId":""}</t>
  </si>
  <si>
    <t>{"ItemNumber":"432","ProductName":"LD CHEP plastic 80*120","InventoryWarehouseId":"EP","OnHandQuantity":1,"TotalAvailableQuantity":1,"AvailableOnHandQuantity":1,"InventorySiteId":"VEN","dataAreaId":"hgv","ProductColorId":"","ProductConfigurationId":"","ProductSizeId":"","ProductStyleId":""}</t>
  </si>
  <si>
    <t>{"ItemNumber":"432","ProductName":"LD CHEP plastic 80*120","InventoryWarehouseId":"GR","OnHandQuantity":21,"TotalAvailableQuantity":20,"AvailableOnHandQuantity":21,"InventorySiteId":"VEN","dataAreaId":"hgv","ProductColorId":"","ProductConfigurationId":"","ProductSizeId":"","ProductStyleId":""}</t>
  </si>
  <si>
    <t>{"ItemNumber":"433","ProductName":"LD CHEP plastic 100*120","InventoryWarehouseId":"GR","OnHandQuantity":0,"TotalAvailableQuantity":0,"AvailableOnHandQuantity":0,"InventorySiteId":"VEN","dataAreaId":"hgv","ProductColorId":"","ProductConfigurationId":"","ProductSizeId":"","ProductStyleId":""}</t>
  </si>
  <si>
    <t>{"ItemNumber":"437","ProductName":"Green Produce Pallet","InventoryWarehouseId":"GR","OnHandQuantity":-5,"TotalAvailableQuantity":-5,"AvailableOnHandQuantity":-5,"InventorySiteId":"VEN","dataAreaId":"hgv","ProductColorId":"","ProductConfigurationId":"","ProductSizeId":"","ProductStyleId":""}</t>
  </si>
  <si>
    <t>{"ItemNumber":"438","ProductName":"Hessing Pallet Geel","InventoryWarehouseId":"GR","OnHandQuantity":2,"TotalAvailableQuantity":2,"AvailableOnHandQuantity":2,"InventorySiteId":"VEN","dataAreaId":"hgv","ProductColorId":"","ProductConfigurationId":"","ProductSizeId":"","ProductStyleId":""}</t>
  </si>
  <si>
    <t>{"ItemNumber":"442","ProductName":"LPR 120*80","InventoryWarehouseId":"GR","OnHandQuantity":24,"TotalAvailableQuantity":24,"AvailableOnHandQuantity":24,"InventorySiteId":"VEN","dataAreaId":"hgv","ProductColorId":"","ProductConfigurationId":"","ProductSizeId":"","ProductStyleId":""}</t>
  </si>
  <si>
    <t>{"ItemNumber":"443","ProductName":"VGR Crouton pallet","InventoryWarehouseId":"GR","OnHandQuantity":62,"TotalAvailableQuantity":62,"AvailableOnHandQuantity":62,"InventorySiteId":"VEN","dataAreaId":"hgv","ProductColorId":"","ProductConfigurationId":"","ProductSizeId":"","ProductStyleId":""}</t>
  </si>
  <si>
    <t>{"ItemNumber":"50015","ProductName":"F350 (OPP+AM 30mU)","InventoryWarehouseId":"EP","OnHandQuantity":151250,"TotalAvailableQuantity":151250,"AvailableOnHandQuantity":151250,"InventorySiteId":"VEN","dataAreaId":"hgv","ProductColorId":"","ProductConfigurationId":"","ProductSizeId":"","ProductStyleId":""}</t>
  </si>
  <si>
    <t>{"ItemNumber":"50017","ProductName":"F390 (OPP+AM 30mU)","InventoryWarehouseId":"EP","OnHandQuantity":38410.52,"TotalAvailableQuantity":117810.52,"AvailableOnHandQuantity":38410.52,"InventorySiteId":"VEN","dataAreaId":"hgv","ProductColorId":"","ProductConfigurationId":"","ProductSizeId":"","ProductStyleId":""}</t>
  </si>
  <si>
    <t>{"ItemNumber":"50018","ProductName":"F390 RBM.(30PL160)","InventoryWarehouseId":"EP","OnHandQuantity":72989.83,"TotalAvailableQuantity":72966.31,"AvailableOnHandQuantity":72989.83,"InventorySiteId":"VEN","dataAreaId":"hgv","ProductColorId":"","ProductConfigurationId":"","ProductSizeId":"","ProductStyleId":""}</t>
  </si>
  <si>
    <t>{"ItemNumber":"50019","ProductName":"F470 (30mU)","InventoryWarehouseId":"EP","OnHandQuantity":74338.31,"TotalAvailableQuantity":74338.31,"AvailableOnHandQuantity":74338.31,"InventorySiteId":"VEN","dataAreaId":"hgv","ProductColorId":"","ProductConfigurationId":"","ProductSizeId":"","ProductStyleId":""}</t>
  </si>
  <si>
    <t>{"ItemNumber":"50021","ProductName":"F470 RBM.(30PL160)","InventoryWarehouseId":"EP","OnHandQuantity":31250,"TotalAvailableQuantity":31250,"AvailableOnHandQuantity":31250,"InventorySiteId":"VEN","dataAreaId":"hgv","ProductColorId":"","ProductConfigurationId":"","ProductSizeId":"","ProductStyleId":""}</t>
  </si>
  <si>
    <t>{"ItemNumber":"50022","ProductName":"F530 (OPP+AM) lpm","InventoryWarehouseId":"EP","OnHandQuantity":5000,"TotalAvailableQuantity":40000,"AvailableOnHandQuantity":5000,"InventorySiteId":"VEN","dataAreaId":"hgv","ProductColorId":"","ProductConfigurationId":"","ProductSizeId":"","ProductStyleId":""}</t>
  </si>
  <si>
    <t>{"ItemNumber":"50023","ProductName":"F470 SU Voordeel OPP","InventoryWarehouseId":"EP","OnHandQuantity":47362,"TotalAvailableQuantity":47362,"AvailableOnHandQuantity":47362,"InventorySiteId":"VEN","dataAreaId":"hgv","ProductColorId":"","ProductConfigurationId":"","ProductSizeId":"","ProductStyleId":""}</t>
  </si>
  <si>
    <t>{"ItemNumber":"50024","ProductName":"F470 SU Voordeel P160","InventoryWarehouseId":"EP","OnHandQuantity":15000,"TotalAvailableQuantity":15000,"AvailableOnHandQuantity":15000,"InventorySiteId":"VEN","dataAreaId":"hgv","ProductColorId":"","ProductConfigurationId":"","ProductSizeId":"","ProductStyleId":""}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</si>
  <si>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{"ItemNumber":"50026","ProductName":"F305 (P+ 30PL120)","InventoryWarehouseId":"EP","OnHandQuantity":54395.56,"TotalAvailableQuantity":54395.56,"AvailableOnHandQuantity":54395.56,"InventorySiteId":"VEN","dataAreaId":"hgv","ProductColorId":"","ProductConfigurationId":"","ProductSizeId":"","ProductStyleId":""}</t>
  </si>
  <si>
    <t>{"ItemNumber":"50027","ProductName":"F350 (P+ 30PL120)","InventoryWarehouseId":"EP","OnHandQuantity":11834.31,"TotalAvailableQuantity":11834.31,"AvailableOnHandQuantity":11834.31,"InventorySiteId":"VEN","dataAreaId":"hgv","ProductColorId":"","ProductConfigurationId":"","ProductSizeId":"","ProductStyleId":""}</t>
  </si>
  <si>
    <t>{"ItemNumber":"50032","ProductName":"F240 (26UT120) lpm","InventoryWarehouseId":"EP","OnHandQuantity":17900,"TotalAvailableQuantity":17900,"AvailableOnHandQuantity":17900,"InventorySiteId":"VEN","dataAreaId":"hgv","ProductColorId":"","ProductConfigurationId":"","ProductSizeId":"","ProductStyleId":""}</t>
  </si>
  <si>
    <t>{"ItemNumber":"50041","ProductName":"FQ EAT 75x90 blauw","InventoryWarehouseId":"EP","OnHandQuantity":171250,"TotalAvailableQuantity":171250,"AvailableOnHandQuantity":171250,"InventorySiteId":"VEN","dataAreaId":"hgv","ProductColorId":"","ProductConfigurationId":"","ProductSizeId":"","ProductStyleId":""}</t>
  </si>
  <si>
    <t>{"ItemNumber":"50057","ProductName":"Blanco Thermisch PP 50x70mm","InventoryWarehouseId":"EP","OnHandQuantity":545000,"TotalAvailableQuantity":545000,"AvailableOnHandQuantity":545000,"InventorySiteId":"VEN","dataAreaId":"hgv","ProductColorId":"","ProductConfigurationId":"","ProductSizeId":"","ProductStyleId":""}</t>
  </si>
  <si>
    <t>{"ItemNumber":"50175","ProductName":"F630 (30mu)","InventoryWarehouseId":"EP","OnHandQuantity":28038.22,"TotalAvailableQuantity":28038.22,"AvailableOnHandQuantity":28038.22,"InventorySiteId":"VEN","dataAreaId":"hgv","ProductColorId":"","ProductConfigurationId":"","ProductSizeId":"","ProductStyleId":""}</t>
  </si>
  <si>
    <t>{"ItemNumber":"50184","ProductName":"F320 OLAF P110 perf R","InventoryWarehouseId":"EP","OnHandQuantity":1000,"TotalAvailableQuantity":12850,"AvailableOnHandQuantity":1000,"InventorySiteId":"VEN","dataAreaId":"hgv","ProductColorId":"","ProductConfigurationId":"","ProductSizeId":"","ProductStyleId":""}</t>
  </si>
  <si>
    <t>{"ItemNumber":"50217","ProductName":"Schaal FFF-53mm 180x180     st","InventoryWarehouseId":"EP","OnHandQuantity":104141,"TotalAvailableQuantity":104141,"AvailableOnHandQuantity":104141,"InventorySiteId":"VEN","dataAreaId":"hgv","ProductColorId":"","ProductConfigurationId":"","ProductSizeId":"","ProductStyleId":""}</t>
  </si>
  <si>
    <t>{"ItemNumber":"50241","ProductName":"Transp Blackm Blanco 45x15","InventoryWarehouseId":"EP","OnHandQuantity":54000,"TotalAvailableQuantity":54000,"AvailableOnHandQuantity":54000,"InventorySiteId":"VEN","dataAreaId":"hgv","ProductColorId":"","ProductConfigurationId":"","ProductSizeId":"","ProductStyleId":""}</t>
  </si>
  <si>
    <t>{"ItemNumber":"50243","ProductName":"Blanco DiepvriesRP48 60x120m","InventoryWarehouseId":"EP","OnHandQuantity":153894,"TotalAvailableQuantity":153894,"AvailableOnHandQuantity":153894,"InventorySiteId":"VEN","dataAreaId":"hgv","ProductColorId":"","ProductConfigurationId":"","ProductSizeId":"","ProductStyleId":""}</t>
  </si>
  <si>
    <t>{"ItemNumber":"50244","ProductName":"Geel Diepvries RP48 60x120mm","InventoryWarehouseId":"EP","OnHandQuantity":40970,"TotalAvailableQuantity":40970,"AvailableOnHandQuantity":40970,"InventorySiteId":"VEN","dataAreaId":"hgv","ProductColorId":"","ProductConfigurationId":"","ProductSizeId":"","ProductStyleId":""}</t>
  </si>
  <si>
    <t>{"ItemNumber":"50271","ProductName":"Tape 3M 50mmx990m","InventoryWarehouseId":"EP","OnHandQuantity":0,"TotalAvailableQuantity":0,"AvailableOnHandQuantity":0,"InventorySiteId":"VEN","dataAreaId":"hgv","ProductColorId":"","ProductConfigurationId":"","ProductSizeId":"","ProductStyleId":""}</t>
  </si>
  <si>
    <t>{"ItemNumber":"50274","ProductName":"Paars Diepvries RP48 60x120mm","InventoryWarehouseId":"EP","OnHandQuantity":62345,"TotalAvailableQuantity":62345,"AvailableOnHandQuantity":62345,"InventorySiteId":"VEN","dataAreaId":"hgv","ProductColorId":"","ProductConfigurationId":"","ProductSizeId":"","ProductStyleId":""}</t>
  </si>
  <si>
    <t>{"ItemNumber":"50276","ProductName":"Rood Diepvries RP48 60x120mm","InventoryWarehouseId":"EP","OnHandQuantity":45185,"TotalAvailableQuantity":45185,"AvailableOnHandQuantity":45185,"InventorySiteId":"VEN","dataAreaId":"hgv","ProductColorId":"","ProductConfigurationId":"","ProductSizeId":"","ProductStyleId":""}</t>
  </si>
  <si>
    <t>{"ItemNumber":"50291","ProductName":"Schaal R-APET 73-70","InventoryWarehouseId":"EP","OnHandQuantity":46193,"TotalAvailableQuantity":45995,"AvailableOnHandQuantity":46193,"InventorySiteId":"VEN","dataAreaId":"hgv","ProductColorId":"","ProductConfigurationId":"","ProductSizeId":"","ProductStyleId":""}</t>
  </si>
  <si>
    <t>{"ItemNumber":"50320","ProductName":"Tray inzet30H-1vaks FFF schaal","InventoryWarehouseId":"EP","OnHandQuantity":124611,"TotalAvailableQuantity":124611,"AvailableOnHandQuantity":124611,"InventorySiteId":"VEN","dataAreaId":"hgv","ProductColorId":"","ProductConfigurationId":"","ProductSizeId":"","ProductStyleId":""}</t>
  </si>
  <si>
    <t>{"ItemNumber":"504","ProductName":"CC Rolly","InventoryWarehouseId":"EP","OnHandQuantity":1067,"TotalAvailableQuantity":12715,"AvailableOnHandQuantity":1067,"InventorySiteId":"VEN","dataAreaId":"hgv","ProductColorId":"","ProductConfigurationId":"","ProductSizeId":"","ProductStyleId":""}</t>
  </si>
  <si>
    <t>{"ItemNumber":"504","ProductName":"CC Rolly","InventoryWarehouseId":"RL","OnHandQuantity":15,"TotalAvailableQuantity":15,"AvailableOnHandQuantity":15,"InventorySiteId":"VEN","dataAreaId":"hgv","ProductColorId":"","ProductConfigurationId":"","ProductSizeId":"","ProductStyleId":""}</t>
  </si>
  <si>
    <t>{"ItemNumber":"50464","ProductName":"Etiket Wit 55x76mm W6","InventoryWarehouseId":"EP","OnHandQuantity":50400,"TotalAvailableQuantity":50400,"AvailableOnHandQuantity":50400,"InventorySiteId":"VEN","dataAreaId":"hgv","ProductColorId":"","ProductConfigurationId":"","ProductSizeId":"","ProductStyleId":""}</t>
  </si>
  <si>
    <t>{"ItemNumber":"50489","ProductName":"VB-dmw WIT 100x150mm","InventoryWarehouseId":"EP","OnHandQuantity":81000,"TotalAvailableQuantity":81000,"AvailableOnHandQuantity":81000,"InventorySiteId":"VEN","dataAreaId":"hgv","ProductColorId":"","ProductConfigurationId":"","ProductSizeId":"","ProductStyleId":""}</t>
  </si>
  <si>
    <t>{"ItemNumber":"505","ProductName":"Low Noise Rolly","InventoryWarehouseId":"EP","OnHandQuantity":1066,"TotalAvailableQuantity":26655,"AvailableOnHandQuantity":1066,"InventorySiteId":"VEN","dataAreaId":"hgv","ProductColorId":"","ProductConfigurationId":"","ProductSizeId":"","ProductStyleId":""}</t>
  </si>
  <si>
    <t>{"ItemNumber":"50643","ProductName":"FQ BLANCO 75x90mm","InventoryWarehouseId":"EP","OnHandQuantity":172500,"TotalAvailableQuantity":172500,"AvailableOnHandQuantity":172500,"InventorySiteId":"VEN","dataAreaId":"hgv","ProductColorId":"","ProductConfigurationId":"","ProductSizeId":"","ProductStyleId":""}</t>
  </si>
  <si>
    <t>{"ItemNumber":"50674","ProductName":"F225 OLAF P30 perf","InventoryWarehouseId":"EP","OnHandQuantity":70898.53,"TotalAvailableQuantity":70891.51,"AvailableOnHandQuantity":70898.53,"InventorySiteId":"VEN","dataAreaId":"hgv","ProductColorId":"","ProductConfigurationId":"","ProductSizeId":"","ProductStyleId":""}</t>
  </si>
  <si>
    <t>{"ItemNumber":"50675","ProductName":"F220 OLAF","InventoryWarehouseId":"EP","OnHandQuantity":29659.1,"TotalAvailableQuantity":29558.31,"AvailableOnHandQuantity":29659.1,"InventorySiteId":"VEN","dataAreaId":"hgv","ProductColorId":"","ProductConfigurationId":"","ProductSizeId":"","ProductStyleId":""}</t>
  </si>
  <si>
    <t>{"ItemNumber":"50678","ProductName":"Etiket blanco 55x76 wik2","InventoryWarehouseId":"EP","OnHandQuantity":469494,"TotalAvailableQuantity":469494,"AvailableOnHandQuantity":469494,"InventorySiteId":"VEN","dataAreaId":"hgv","ProductColorId":"","ProductConfigurationId":"","ProductSizeId":"","ProductStyleId":""}</t>
  </si>
  <si>
    <t>{"ItemNumber":"50680","ProductName":"Blanco+inpr lak 54x77mm","InventoryWarehouseId":"EP","OnHandQuantity":105000,"TotalAvailableQuantity":105000,"AvailableOnHandQuantity":105000,"InventorySiteId":"VEN","dataAreaId":"hgv","ProductColorId":"","ProductConfigurationId":"","ProductSizeId":"","ProductStyleId":""}</t>
  </si>
  <si>
    <t>{"ItemNumber":"50681","ProductName":"Schaal FFF50 3 vaks","InventoryWarehouseId":"EP","OnHandQuantity":72068,"TotalAvailableQuantity":72068,"AvailableOnHandQuantity":72068,"InventorySiteId":"VEN","dataAreaId":"hgv","ProductColorId":"","ProductConfigurationId":"","ProductSizeId":"","ProductStyleId":""}</t>
  </si>
  <si>
    <t>{"ItemNumber":"50685","ProductName":"F270 OLAF","InventoryWarehouseId":"EP","OnHandQuantity":41019.8,"TotalAvailableQuantity":111019.8,"AvailableOnHandQuantity":41019.8,"InventorySiteId":"VEN","dataAreaId":"hgv","ProductColorId":"","ProductConfigurationId":"","ProductSizeId":"","ProductStyleId":""}</t>
  </si>
  <si>
    <t>{"ItemNumber":"50695","ProductName":"Wit etiket 55x55mm wik4","InventoryWarehouseId":"EP","OnHandQuantity":1714500,"TotalAvailableQuantity":1714500,"AvailableOnHandQuantity":1714500,"InventorySiteId":"VEN","dataAreaId":"hgv","ProductColorId":"","ProductConfigurationId":"","ProductSizeId":"","ProductStyleId":""}</t>
  </si>
  <si>
    <t>{"ItemNumber":"50705","ProductName":"Schaal Fruit de Luxe 40mm","InventoryWarehouseId":"EP","OnHandQuantity":71334,"TotalAvailableQuantity":71334,"AvailableOnHandQuantity":71334,"InventorySiteId":"VEN","dataAreaId":"hgv","ProductColorId":"","ProductConfigurationId":"","ProductSizeId":"","ProductStyleId":""}</t>
  </si>
  <si>
    <t>{"ItemNumber":"50707","ProductName":"Schaal FFF-37mm           st","InventoryWarehouseId":"EP","OnHandQuantity":45000,"TotalAvailableQuantity":45000,"AvailableOnHandQuantity":45000,"InventorySiteId":"VEN","dataAreaId":"hgv","ProductColorId":"","ProductConfigurationId":"","ProductSizeId":"","ProductStyleId":""}</t>
  </si>
  <si>
    <t>{"ItemNumber":"50910","ProductName":"FQ Bami Nasi 500g 75x90PA","InventoryWarehouseId":"EP","OnHandQuantity":13750,"TotalAvailableQuantity":13750,"AvailableOnHandQuantity":13750,"InventorySiteId":"VEN","dataAreaId":"hgv","ProductColorId":"","ProductConfigurationId":"","ProductSizeId":"","ProductStyleId":""}</t>
  </si>
  <si>
    <t>{"ItemNumber":"50921","ProductName":"FQ IJsbergsla 300g 75x90 LGR","InventoryWarehouseId":"EP","OnHandQuantity":8750,"TotalAvailableQuantity":8750,"AvailableOnHandQuantity":8750,"InventorySiteId":"VEN","dataAreaId":"hgv","ProductColorId":"","ProductConfigurationId":"","ProductSizeId":"","ProductStyleId":""}</t>
  </si>
  <si>
    <t>{"ItemNumber":"50947","ProductName":"FQ Hutspot 1000g 75x90 GR","InventoryWarehouseId":"EP","OnHandQuantity":2500,"TotalAvailableQuantity":2500,"AvailableOnHandQuantity":2500,"InventorySiteId":"VEN","dataAreaId":"hgv","ProductColorId":"","ProductConfigurationId":"","ProductSizeId":"","ProductStyleId":""}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</si>
  <si>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{"ItemNumber":"50992","ProductName":"Cup 96ml","InventoryWarehouseId":"EP","OnHandQuantity":58000,"TotalAvailableQuantity":58000,"AvailableOnHandQuantity":58000,"InventorySiteId":"VEN","dataAreaId":"hgv","ProductColorId":"","ProductConfigurationId":"","ProductSizeId":"","ProductStyleId":""}</t>
  </si>
  <si>
    <t>{"ItemNumber":"51445","ProductName":"Licht GR Diepvries RP48","InventoryWarehouseId":"EP","OnHandQuantity":85000,"TotalAvailableQuantity":85000,"AvailableOnHandQuantity":85000,"InventorySiteId":"VEN","dataAreaId":"hgv","ProductColorId":"","ProductConfigurationId":"","ProductSizeId":"","ProductStyleId":""}</t>
  </si>
  <si>
    <t>{"ItemNumber":"51456","ProductName":"JU Noodetiket BE 75x90 2018","InventoryWarehouseId":"EP","OnHandQuantity":339500,"TotalAvailableQuantity":339500,"AvailableOnHandQuantity":339500,"InventorySiteId":"VEN","dataAreaId":"hgv","ProductColorId":"","ProductConfigurationId":"","ProductSizeId":"","ProductStyleId":""}</t>
  </si>
  <si>
    <t>{"ItemNumber":"51815","ProductName":"DK Ready to Eat Noodetik. Wit","InventoryWarehouseId":"EP","OnHandQuantity":415000,"TotalAvailableQuantity":415000,"AvailableOnHandQuantity":415000,"InventorySiteId":"VEN","dataAreaId":"hgv","ProductColorId":"","ProductConfigurationId":"","ProductSizeId":"","ProductStyleId":""}</t>
  </si>
  <si>
    <t>{"ItemNumber":"52017","ProductName":"Lijm Tef 272 (Bostik) Planos","InventoryWarehouseId":"EP","OnHandQuantity":2304,"TotalAvailableQuantity":2304,"AvailableOnHandQuantity":2304,"InventorySiteId":"VEN","dataAreaId":"hgv","ProductColorId":"","ProductConfigurationId":"","ProductSizeId":"","ProductStyleId":""}</t>
  </si>
  <si>
    <t>{"ItemNumber":"52392","ProductName":"SU SS Rauwkost 275g OE","InventoryWarehouseId":"EP","OnHandQuantity":28511,"TotalAvailableQuantity":28511,"AvailableOnHandQuantity":28511,"InventorySiteId":"VEN","dataAreaId":"hgv","ProductColorId":"","ProductConfigurationId":"","ProductSizeId":"","ProductStyleId":""}</t>
  </si>
  <si>
    <t>{"ItemNumber":"52399","ProductName":"SU SS Hollands 275g OE V3","InventoryWarehouseId":"EP","OnHandQuantity":27631,"TotalAvailableQuantity":27631,"AvailableOnHandQuantity":27631,"InventorySiteId":"VEN","dataAreaId":"hgv","ProductColorId":"","ProductConfigurationId":"","ProductSizeId":"","ProductStyleId":""}</t>
  </si>
  <si>
    <t>{"ItemNumber":"52400","ProductName":"F220SU SSRauwkost 275gVeggieV2","InventoryWarehouseId":"EP","OnHandQuantity":5646.36,"TotalAvailableQuantity":5646.36,"AvailableOnHandQuantity":5646.36,"InventorySiteId":"VEN","dataAreaId":"hgv","ProductColorId":"","ProductConfigurationId":"","ProductSizeId":"","ProductStyleId":""}</t>
  </si>
  <si>
    <t>{"ItemNumber":"52442","ProductName":"Schaal FFF-4 VAKS 37mm transp","InventoryWarehouseId":"EP","OnHandQuantity":56250,"TotalAvailableQuantity":56250,"AvailableOnHandQuantity":56250,"InventorySiteId":"VEN","dataAreaId":"hgv","ProductColorId":"","ProductConfigurationId":"","ProductSizeId":"","ProductStyleId":""}</t>
  </si>
  <si>
    <t>{"ItemNumber":"52477","ProductName":"NEMT Klar til brug70x95","InventoryWarehouseId":"EP","OnHandQuantity":88000,"TotalAvailableQuantity":88000,"AvailableOnHandQuantity":88000,"InventorySiteId":"VEN","dataAreaId":"hgv","ProductColorId":"","ProductConfigurationId":"","ProductSizeId":"","ProductStyleId":""}</t>
  </si>
  <si>
    <t>{"ItemNumber":"52535","ProductName":"Smeding Blanco etiket 72x79mm","InventoryWarehouseId":"EP","OnHandQuantity":326000,"TotalAvailableQuantity":326000,"AvailableOnHandQuantity":326000,"InventorySiteId":"VEN","dataAreaId":"hgv","ProductColorId":"","ProductConfigurationId":"","ProductSizeId":"","ProductStyleId":""}</t>
  </si>
  <si>
    <t>{"ItemNumber":"52548","ProductName":"F270 olaf P30","InventoryWarehouseId":"EP","OnHandQuantity":69700,"TotalAvailableQuantity":69700,"AvailableOnHandQuantity":69700,"InventorySiteId":"VEN","dataAreaId":"hgv","ProductColorId":"","ProductConfigurationId":"","ProductSizeId":"","ProductStyleId":""}</t>
  </si>
  <si>
    <t>{"ItemNumber":"52549","ProductName":"Etiket Wit Portret 90x65","InventoryWarehouseId":"EP","OnHandQuantity":169255,"TotalAvailableQuantity":169255,"AvailableOnHandQuantity":169255,"InventorySiteId":"VEN","dataAreaId":"hgv","ProductColorId":"","ProductConfigurationId":"","ProductSizeId":"","ProductStyleId":""}</t>
  </si>
  <si>
    <t>{"ItemNumber":"52650","ProductName":"F390 JU Pompoen 400g P160 V4","InventoryWarehouseId":"EP","OnHandQuantity":0,"TotalAvailableQuantity":0,"AvailableOnHandQuantity":0,"InventorySiteId":"VEN","dataAreaId":"hgv","ProductColorId":"","ProductConfigurationId":"","ProductSizeId":"","ProductStyleId":""}</t>
  </si>
  <si>
    <t>{"ItemNumber":"52664","ProductName":"F530 JU Andijvie 400g P30 V4","InventoryWarehouseId":"EP","OnHandQuantity":0,"TotalAvailableQuantity":0,"AvailableOnHandQuantity":0,"InventorySiteId":"VEN","dataAreaId":"hgv","ProductColorId":"","ProductConfigurationId":"","ProductSizeId":"","ProductStyleId":""}</t>
  </si>
  <si>
    <t>{"ItemNumber":"52795","ProductName":"F220 JU SS Italiaans 250g","InventoryWarehouseId":"EP","OnHandQuantity":0,"TotalAvailableQuantity":0,"AvailableOnHandQuantity":0,"InventorySiteId":"VEN","dataAreaId":"hgv","ProductColorId":"","ProductConfigurationId":"","ProductSizeId":"","ProductStyleId":""}</t>
  </si>
  <si>
    <t>{"ItemNumber":"52942","ProductName":"F470 JU Eikenbl. Rucola100g V3","InventoryWarehouseId":"EP","OnHandQuantity":0,"TotalAvailableQuantity":0,"AvailableOnHandQuantity":0,"InventorySiteId":"VEN","dataAreaId":"hgv","ProductColorId":"","ProductConfigurationId":"","ProductSizeId":"","ProductStyleId":""}</t>
  </si>
  <si>
    <t>{"ItemNumber":"53032","ProductName":"JU SS Tomaat Komk330g OEø90 V2","InventoryWarehouseId":"EP","OnHandQuantity":0,"TotalAvailableQuantity":0,"AvailableOnHandQuantity":0,"InventorySiteId":"VEN","dataAreaId":"hgv","ProductColorId":"","ProductConfigurationId":"","ProductSizeId":"","ProductStyleId":""}</t>
  </si>
  <si>
    <t>{"ItemNumber":"53106","ProductName":"F350 PLUS Snijb.gesn.400g P160","InventoryWarehouseId":"EP","OnHandQuantity":2622.44,"TotalAvailableQuantity":42622.44,"AvailableOnHandQuantity":2622.44,"InventorySiteId":"VEN","dataAreaId":"hgv","ProductColorId":"","ProductConfigurationId":"","ProductSizeId":"","ProductStyleId":""}</t>
  </si>
  <si>
    <t>{"ItemNumber":"53112","ProductName":"F390 PLUS Koolraap 400g","InventoryWarehouseId":"EP","OnHandQuantity":0,"TotalAvailableQuantity":10000,"AvailableOnHandQuantity":0,"InventorySiteId":"VEN","dataAreaId":"hgv","ProductColorId":"","ProductConfigurationId":"","ProductSizeId":"","ProductStyleId":""}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</si>
  <si>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{"ItemNumber":"53113","ProductName":"F390 PLUS Pompoenblok 400gP160","InventoryWarehouseId":"EP","OnHandQuantity":5320.02,"TotalAvailableQuantity":10320.02,"AvailableOnHandQuantity":5320.02,"InventorySiteId":"VEN","dataAreaId":"hgv","ProductColorId":"","ProductConfigurationId":"","ProductSizeId":"","ProductStyleId":""}</t>
  </si>
  <si>
    <t>{"ItemNumber":"53115","ProductName":"F390 PLUS SperziebGesn400gP120","InventoryWarehouseId":"EP","OnHandQuantity":30986.1,"TotalAvailableQuantity":70986.1,"AvailableOnHandQuantity":30986.1,"InventorySiteId":"VEN","dataAreaId":"hgv","ProductColorId":"","ProductConfigurationId":"","ProductSizeId":"","ProductStyleId":""}</t>
  </si>
  <si>
    <t>{"ItemNumber":"53116","ProductName":"F390 PLUS SperziebGesn600gP120","InventoryWarehouseId":"EP","OnHandQuantity":0,"TotalAvailableQuantity":0,"AvailableOnHandQuantity":0,"InventorySiteId":"VEN","dataAreaId":"hgv","ProductColorId":"","ProductConfigurationId":"","ProductSizeId":"","ProductStyleId":""}</t>
  </si>
  <si>
    <t>{"ItemNumber":"53229","ProductName":"F470 SU Rucola Nat 85G","InventoryWarehouseId":"EP","OnHandQuantity":0,"TotalAvailableQuantity":60000,"AvailableOnHandQuantity":0,"InventorySiteId":"VEN","dataAreaId":"hgv","ProductColorId":"","ProductConfigurationId":"","ProductSizeId":"","ProductStyleId":""}</t>
  </si>
  <si>
    <t>{"ItemNumber":"53230","ProductName":"F470 SU Veldsla Nat 85g","InventoryWarehouseId":"EP","OnHandQuantity":4789.04,"TotalAvailableQuantity":24789.04,"AvailableOnHandQuantity":4789.04,"InventorySiteId":"VEN","dataAreaId":"hgv","ProductColorId":"","ProductConfigurationId":"","ProductSizeId":"","ProductStyleId":""}</t>
  </si>
  <si>
    <t>{"ItemNumber":"53289","ProductName":"PLUS Noodetiket transp. 80x60","InventoryWarehouseId":"EP","OnHandQuantity":210598,"TotalAvailableQuantity":210598,"AvailableOnHandQuantity":210598,"InventorySiteId":"VEN","dataAreaId":"hgv","ProductColorId":"","ProductConfigurationId":"","ProductSizeId":"","ProductStyleId":""}</t>
  </si>
  <si>
    <t>{"ItemNumber":"53304","ProductName":"Rond bakje 122 met Ril 50H","InventoryWarehouseId":"EP","OnHandQuantity":124106,"TotalAvailableQuantity":124106,"AvailableOnHandQuantity":124106,"InventorySiteId":"VEN","dataAreaId":"hgv","ProductColorId":"","ProductConfigurationId":"","ProductSizeId":"","ProductStyleId":""}</t>
  </si>
  <si>
    <t>{"ItemNumber":"53359","ProductName":"F220 SU SS Italiaans 250g P0","InventoryWarehouseId":"EP","OnHandQuantity":1341.69,"TotalAvailableQuantity":9341.69,"AvailableOnHandQuantity":1341.69,"InventorySiteId":"VEN","dataAreaId":"hgv","ProductColorId":"","ProductConfigurationId":"","ProductSizeId":"","ProductStyleId":""}</t>
  </si>
  <si>
    <t>{"ItemNumber":"53360","ProductName":"F220 SU SS Komkom/tom 330gP0","InventoryWarehouseId":"EP","OnHandQuantity":3373.41,"TotalAvailableQuantity":3373.41,"AvailableOnHandQuantity":3373.41,"InventorySiteId":"VEN","dataAreaId":"hgv","ProductColorId":"","ProductConfigurationId":"","ProductSizeId":"","ProductStyleId":""}</t>
  </si>
  <si>
    <t>{"ItemNumber":"53374","ProductName":"SU SS Italiaans 250g OE","InventoryWarehouseId":"EP","OnHandQuantity":19461,"TotalAvailableQuantity":19443,"AvailableOnHandQuantity":19461,"InventorySiteId":"VEN","dataAreaId":"hgv","ProductColorId":"","ProductConfigurationId":"","ProductSizeId":"","ProductStyleId":""}</t>
  </si>
  <si>
    <t>{"ItemNumber":"53375","ProductName":"SU SS Komkomm/tomaat 330g OE","InventoryWarehouseId":"EP","OnHandQuantity":16331,"TotalAvailableQuantity":15999,"AvailableOnHandQuantity":16331,"InventorySiteId":"VEN","dataAreaId":"hgv","ProductColorId":"","ProductConfigurationId":"","ProductSizeId":"","ProductStyleId":""}</t>
  </si>
  <si>
    <t>{"ItemNumber":"53385","ProductName":"F470 SU Grove prei 400g P160","InventoryWarehouseId":"EP","OnHandQuantity":12222.78,"TotalAvailableQuantity":12222.78,"AvailableOnHandQuantity":12222.78,"InventorySiteId":"VEN","dataAreaId":"hgv","ProductColorId":"","ProductConfigurationId":"","ProductSizeId":"","ProductStyleId":""}</t>
  </si>
  <si>
    <t>{"ItemNumber":"53386","ProductName":"F470 SU Spitskool 400g P0","InventoryWarehouseId":"EP","OnHandQuantity":11408.66,"TotalAvailableQuantity":11408.66,"AvailableOnHandQuantity":11408.66,"InventorySiteId":"VEN","dataAreaId":"hgv","ProductColorId":"","ProductConfigurationId":"","ProductSizeId":"","ProductStyleId":""}</t>
  </si>
  <si>
    <t>{"ItemNumber":"53388","ProductName":"F470 SU Wor/Bloe/Broc400g P90","InventoryWarehouseId":"EP","OnHandQuantity":14500,"TotalAvailableQuantity":14500,"AvailableOnHandQuantity":14500,"InventorySiteId":"VEN","dataAreaId":"hgv","ProductColorId":"","ProductConfigurationId":"","ProductSizeId":"","ProductStyleId":""}</t>
  </si>
  <si>
    <t>{"ItemNumber":"53389","ProductName":"F470 SU Andijvie fijn 250g P1","InventoryWarehouseId":"EP","OnHandQuantity":26815.38,"TotalAvailableQuantity":26815.38,"AvailableOnHandQuantity":26815.38,"InventorySiteId":"VEN","dataAreaId":"hgv","ProductColorId":"","ProductConfigurationId":"","ProductSizeId":"","ProductStyleId":""}</t>
  </si>
  <si>
    <t>{"ItemNumber":"53391","ProductName":"F470 SU Eikenbladmel 100g P0","InventoryWarehouseId":"EP","OnHandQuantity":9197.64,"TotalAvailableQuantity":9197.64,"AvailableOnHandQuantity":9197.64,"InventorySiteId":"VEN","dataAreaId":"hgv","ProductColorId":"","ProductConfigurationId":"","ProductSizeId":"","ProductStyleId":""}</t>
  </si>
  <si>
    <t>{"ItemNumber":"53392","ProductName":"F470 SU IJsbergsla 400g P0","InventoryWarehouseId":"EP","OnHandQuantity":10996.26,"TotalAvailableQuantity":3496.26,"AvailableOnHandQuantity":10996.26,"InventorySiteId":"VEN","dataAreaId":"hgv","ProductColorId":"","ProductConfigurationId":"","ProductSizeId":"","ProductStyleId":""}</t>
  </si>
  <si>
    <t>{"ItemNumber":"53393","ProductName":"F470 SU Rucola melang150g P0","InventoryWarehouseId":"EP","OnHandQuantity":15975.3,"TotalAvailableQuantity":15975.3,"AvailableOnHandQuantity":15975.3,"InventorySiteId":"VEN","dataAreaId":"hgv","ProductColorId":"","ProductConfigurationId":"","ProductSizeId":"","ProductStyleId":""}</t>
  </si>
  <si>
    <t>{"ItemNumber":"53394","ProductName":"F470 SU Rucola melang 75g P0","InventoryWarehouseId":"EP","OnHandQuantity":24475.46,"TotalAvailableQuantity":24475.46,"AvailableOnHandQuantity":24475.46,"InventorySiteId":"VEN","dataAreaId":"hgv","ProductColorId":"","ProductConfigurationId":"","ProductSizeId":"","ProductStyleId":""}</t>
  </si>
  <si>
    <t>{"ItemNumber":"53409","ProductName":"F305 SU Snackwort.350g P120","InventoryWarehouseId":"EP","OnHandQuantity":9314.02,"TotalAvailableQuantity":9314.02,"AvailableOnHandQuantity":9314.02,"InventorySiteId":"VEN","dataAreaId":"hgv","ProductColorId":"","ProductConfigurationId":"","ProductSizeId":"","ProductStyleId":""}</t>
  </si>
  <si>
    <t>{"ItemNumber":"53410","ProductName":"F305 SU Snackwort.150g P120","InventoryWarehouseId":"EP","OnHandQuantity":26732.3,"TotalAvailableQuantity":26732.3,"AvailableOnHandQuantity":26732.3,"InventorySiteId":"VEN","dataAreaId":"hgv","ProductColorId":"","ProductConfigurationId":"","ProductSizeId":"","ProductStyleId":""}</t>
  </si>
  <si>
    <t>{"ItemNumber":"53412","ProductName":"F350 SU IJsberg nat. 100g","InventoryWarehouseId":"EP","OnHandQuantity":12068.37,"TotalAvailableQuantity":52068.37,"AvailableOnHandQuantity":12068.37,"InventorySiteId":"VEN","dataAreaId":"hgv","ProductColorId":"","ProductConfigurationId":"","ProductSizeId":"","ProductStyleId":""}</t>
  </si>
  <si>
    <t>{"ItemNumber":"53413","ProductName":"F350 SU Slamelange gemengd 60g","InventoryWarehouseId":"EP","OnHandQuantity":6968.34,"TotalAvailableQuantity":6968.34,"AvailableOnHandQuantity":6968.34,"InventorySiteId":"VEN","dataAreaId":"hgv","ProductColorId":"","ProductConfigurationId":"","ProductSizeId":"","ProductStyleId":""}</t>
  </si>
  <si>
    <t>{"ItemNumber":"53414","ProductName":"F350 SU Snijbonen200g P120","InventoryWarehouseId":"EP","OnHandQuantity":11250,"TotalAvailableQuantity":11250,"AvailableOnHandQuantity":11250,"InventorySiteId":"VEN","dataAreaId":"hgv","ProductColorId":"","ProductConfigurationId":"","ProductSizeId":"","ProductStyleId":""}</t>
  </si>
  <si>
    <t>{"ItemNumber":"53415","ProductName":"F350 SU Snijbonen400g P160","InventoryWarehouseId":"EP","OnHandQuantity":5306.01,"TotalAvailableQuantity":5306.01,"AvailableOnHandQuantity":5306.01,"InventorySiteId":"VEN","dataAreaId":"hgv","ProductColorId":"","ProductConfigurationId":"","ProductSizeId":"","ProductStyleId":""}</t>
  </si>
  <si>
    <t>{"ItemNumber":"53416","ProductName":"F350 SU Sperziebonen 200g P120","InventoryWarehouseId":"EP","OnHandQuantity":3589.99,"TotalAvailableQuantity":3589.99,"AvailableOnHandQuantity":3589.99,"InventorySiteId":"VEN","dataAreaId":"hgv","ProductColorId":"","ProductConfigurationId":"","ProductSizeId":"","ProductStyleId":""}</t>
  </si>
  <si>
    <t>{"ItemNumber":"53418","ProductName":"F390 SU Koolrapen 400g","InventoryWarehouseId":"EP","OnHandQuantity":724.27,"TotalAvailableQuantity":724.27,"AvailableOnHandQuantity":724.27,"InventorySiteId":"VEN","dataAreaId":"hgv","ProductColorId":"","ProductConfigurationId":"","ProductSizeId":"","ProductStyleId":""}</t>
  </si>
  <si>
    <t>{"ItemNumber":"53420","ProductName":"F390 SU Pompoen blok 400g P160","InventoryWarehouseId":"EP","OnHandQuantity":5000,"TotalAvailableQuantity":5000,"AvailableOnHandQuantity":5000,"InventorySiteId":"VEN","dataAreaId":"hgv","ProductColorId":"","ProductConfigurationId":"","ProductSizeId":"","ProductStyleId":""}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</si>
  <si>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{"ItemNumber":"53421","ProductName":"F390 SU Prei Fijn 200g P160","InventoryWarehouseId":"EP","OnHandQuantity":9210.52,"TotalAvailableQuantity":9210.52,"AvailableOnHandQuantity":9210.52,"InventorySiteId":"VEN","dataAreaId":"hgv","ProductColorId":"","ProductConfigurationId":"","ProductSizeId":"","ProductStyleId":""}</t>
  </si>
  <si>
    <t>{"ItemNumber":"53422","ProductName":"F390 SU Rode Kool 400g","InventoryWarehouseId":"EP","OnHandQuantity":3750,"TotalAvailableQuantity":3750,"AvailableOnHandQuantity":3750,"InventorySiteId":"VEN","dataAreaId":"hgv","ProductColorId":"","ProductConfigurationId":"","ProductSizeId":"","ProductStyleId":""}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</si>
  <si>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{"ItemNumber":"53423","ProductName":"F390 SU Spruiten350g P60","InventoryWarehouseId":"EP","OnHandQuantity":11250,"TotalAvailableQuantity":11244.36,"AvailableOnHandQuantity":11250,"InventorySiteId":"VEN","dataAreaId":"hgv","ProductColorId":"","ProductConfigurationId":"","ProductSizeId":"","ProductStyleId":""}</t>
  </si>
  <si>
    <t>{"ItemNumber":"53424","ProductName":"F390 SU Wortelen 300g 40LM P90","InventoryWarehouseId":"EP","OnHandQuantity":15218.15,"TotalAvailableQuantity":15218.15,"AvailableOnHandQuantity":15218.15,"InventorySiteId":"VEN","dataAreaId":"hgv","ProductColorId":"","ProductConfigurationId":"","ProductSizeId":"","ProductStyleId":""}</t>
  </si>
  <si>
    <t>{"ItemNumber":"53425","ProductName":"F390 SU Wortelen 500g 40LM P90","InventoryWarehouseId":"EP","OnHandQuantity":18833.11,"TotalAvailableQuantity":18833.11,"AvailableOnHandQuantity":18833.11,"InventorySiteId":"VEN","dataAreaId":"hgv","ProductColorId":"","ProductConfigurationId":"","ProductSizeId":"","ProductStyleId":""}</t>
  </si>
  <si>
    <t>{"ItemNumber":"53426","ProductName":"F390 SU Sperziebonen 400g P120","InventoryWarehouseId":"EP","OnHandQuantity":645.74,"TotalAvailableQuantity":645.74,"AvailableOnHandQuantity":645.74,"InventorySiteId":"VEN","dataAreaId":"hgv","ProductColorId":"","ProductConfigurationId":"","ProductSizeId":"","ProductStyleId":""}</t>
  </si>
  <si>
    <t>{"ItemNumber":"53427","ProductName":"F390 SU IJsberg mix 200g","InventoryWarehouseId":"EP","OnHandQuantity":45089.2,"TotalAvailableQuantity":45089.2,"AvailableOnHandQuantity":45089.2,"InventorySiteId":"VEN","dataAreaId":"hgv","ProductColorId":"","ProductConfigurationId":"","ProductSizeId":"","ProductStyleId":""}</t>
  </si>
  <si>
    <t>{"ItemNumber":"53428","ProductName":"F390 SU IJsberg nat. 200g","InventoryWarehouseId":"EP","OnHandQuantity":97090.48,"TotalAvailableQuantity":97090.48,"AvailableOnHandQuantity":97090.48,"InventorySiteId":"VEN","dataAreaId":"hgv","ProductColorId":"","ProductConfigurationId":"","ProductSizeId":"","ProductStyleId":""}</t>
  </si>
  <si>
    <t>{"ItemNumber":"53429","ProductName":"F390 SU IJsberg Tuinkr. 200g","InventoryWarehouseId":"EP","OnHandQuantity":28650,"TotalAvailableQuantity":28650,"AvailableOnHandQuantity":28650,"InventorySiteId":"VEN","dataAreaId":"hgv","ProductColorId":"","ProductConfigurationId":"","ProductSizeId":"","ProductStyleId":""}</t>
  </si>
  <si>
    <t>{"ItemNumber":"53430","ProductName":"F390 SU Witte Kool 400g","InventoryWarehouseId":"EP","OnHandQuantity":40000,"TotalAvailableQuantity":40000,"AvailableOnHandQuantity":40000,"InventorySiteId":"VEN","dataAreaId":"hgv","ProductColorId":"","ProductConfigurationId":"","ProductSizeId":"","ProductStyleId":""}</t>
  </si>
  <si>
    <t>{"ItemNumber":"53431","ProductName":"F530 SU Andijvie fijn 500g P1","InventoryWarehouseId":"EP","OnHandQuantity":8159.18,"TotalAvailableQuantity":8159.18,"AvailableOnHandQuantity":8159.18,"InventorySiteId":"VEN","dataAreaId":"hgv","ProductColorId":"","ProductConfigurationId":"","ProductSizeId":"","ProductStyleId":""}</t>
  </si>
  <si>
    <t>{"ItemNumber":"53432","ProductName":"F530 SU Andijvie grof 400g P1","InventoryWarehouseId":"EP","OnHandQuantity":12077.24,"TotalAvailableQuantity":12077.24,"AvailableOnHandQuantity":12077.24,"InventorySiteId":"VEN","dataAreaId":"hgv","ProductColorId":"","ProductConfigurationId":"","ProductSizeId":"","ProductStyleId":""}</t>
  </si>
  <si>
    <t>{"ItemNumber":"53436","ProductName":"F530 SU Kropsla mix 100g","InventoryWarehouseId":"EP","OnHandQuantity":13805.6,"TotalAvailableQuantity":13805.6,"AvailableOnHandQuantity":13805.6,"InventorySiteId":"VEN","dataAreaId":"hgv","ProductColorId":"","ProductConfigurationId":"","ProductSizeId":"","ProductStyleId":""}</t>
  </si>
  <si>
    <t>{"ItemNumber":"53438","ProductName":"F530 SU Kropsla mix 200g","InventoryWarehouseId":"EP","OnHandQuantity":6547.64,"TotalAvailableQuantity":6547.64,"AvailableOnHandQuantity":6547.64,"InventorySiteId":"VEN","dataAreaId":"hgv","ProductColorId":"","ProductConfigurationId":"","ProductSizeId":"","ProductStyleId":""}</t>
  </si>
  <si>
    <t>{"ItemNumber":"53441","ProductName":"F470 SU Bloemkoolroos 400gP160","InventoryWarehouseId":"EP","OnHandQuantity":26705.67,"TotalAvailableQuantity":26705.67,"AvailableOnHandQuantity":26705.67,"InventorySiteId":"VEN","dataAreaId":"hgv","ProductColorId":"","ProductConfigurationId":"","ProductSizeId":"","ProductStyleId":""}</t>
  </si>
  <si>
    <t>{"ItemNumber":"53442","ProductName":"F470 Su Broccoliroos 400g P160","InventoryWarehouseId":"EP","OnHandQuantity":4189.87,"TotalAvailableQuantity":4189.87,"AvailableOnHandQuantity":4189.87,"InventorySiteId":"VEN","dataAreaId":"hgv","ProductColorId":"","ProductConfigurationId":"","ProductSizeId":"","ProductStyleId":""}</t>
  </si>
  <si>
    <t>{"ItemNumber":"53443","ProductName":"F305 SU RWK Komkom. 150g P120","InventoryWarehouseId":"EP","OnHandQuantity":11999.52,"TotalAvailableQuantity":11999.52,"AvailableOnHandQuantity":11999.52,"InventorySiteId":"VEN","dataAreaId":"hgv","ProductColorId":"","ProductConfigurationId":"","ProductSizeId":"","ProductStyleId":""}</t>
  </si>
  <si>
    <t>{"ItemNumber":"53445","ProductName":"F350 SU RWK Wortel 150g P160","InventoryWarehouseId":"EP","OnHandQuantity":3570.64,"TotalAvailableQuantity":3570.64,"AvailableOnHandQuantity":3570.64,"InventorySiteId":"VEN","dataAreaId":"hgv","ProductColorId":"","ProductConfigurationId":"","ProductSizeId":"","ProductStyleId":""}</t>
  </si>
  <si>
    <t>{"ItemNumber":"53450","ProductName":"F305 SU RWK Radijs 150g P120","InventoryWarehouseId":"EP","OnHandQuantity":17014.65,"TotalAvailableQuantity":17014.65,"AvailableOnHandQuantity":17014.65,"InventorySiteId":"VEN","dataAreaId":"hgv","ProductColorId":"","ProductConfigurationId":"","ProductSizeId":"","ProductStyleId":""}</t>
  </si>
  <si>
    <t>{"ItemNumber":"53462","ProductName":"F320 SU Courgette Spag400gP110","InventoryWarehouseId":"EP","OnHandQuantity":23750,"TotalAvailableQuantity":23750,"AvailableOnHandQuantity":23750,"InventorySiteId":"VEN","dataAreaId":"hgv","ProductColorId":"","ProductConfigurationId":"","ProductSizeId":"","ProductStyleId":""}</t>
  </si>
  <si>
    <t>{"ItemNumber":"53463","ProductName":"F470 SU Bami Nasi 500g P160","InventoryWarehouseId":"EP","OnHandQuantity":0,"TotalAvailableQuantity":10000,"AvailableOnHandQuantity":0,"InventorySiteId":"VEN","dataAreaId":"hgv","ProductColorId":"","ProductConfigurationId":"","ProductSizeId":"","ProductStyleId":""}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</si>
  <si>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{"ItemNumber":"53464","ProductName":"F470 SU Mac Spag gr. 500g P160","InventoryWarehouseId":"EP","OnHandQuantity":8876.48,"TotalAvailableQuantity":8876.48,"AvailableOnHandQuantity":8876.48,"InventorySiteId":"VEN","dataAreaId":"hgv","ProductColorId":"","ProductConfigurationId":"","ProductSizeId":"","ProductStyleId":""}</t>
  </si>
  <si>
    <t>{"ItemNumber":"53466","ProductName":"F470 SU RBG Italiaans 600gP160","InventoryWarehouseId":"EP","OnHandQuantity":1000,"TotalAvailableQuantity":6000,"AvailableOnHandQuantity":1000,"InventorySiteId":"VEN","dataAreaId":"hgv","ProductColorId":"","ProductConfigurationId":"","ProductSizeId":"","ProductStyleId":""}</t>
  </si>
  <si>
    <t>{"ItemNumber":"53472","ProductName":"SU Courgette Spag400g OE 76x55","InventoryWarehouseId":"EP","OnHandQuantity":10000,"TotalAvailableQuantity":10000,"AvailableOnHandQuantity":10000,"InventorySiteId":"VEN","dataAreaId":"hgv","ProductColorId":"","ProductConfigurationId":"","ProductSizeId":"","ProductStyleId":""}</t>
  </si>
  <si>
    <t>{"ItemNumber":"53477","ProductName":"SU Biet gesn Ui 400g BE 90x75","InventoryWarehouseId":"EP","OnHandQuantity":21000,"TotalAvailableQuantity":21000,"AvailableOnHandQuantity":21000,"InventorySiteId":"VEN","dataAreaId":"hgv","ProductColorId":"","ProductConfigurationId":"","ProductSizeId":"","ProductStyleId":""}</t>
  </si>
  <si>
    <t>{"ItemNumber":"53478","ProductName":"SU Biet gesn Ui 400g OE 75x55","InventoryWarehouseId":"EP","OnHandQuantity":16000,"TotalAvailableQuantity":16000,"AvailableOnHandQuantity":16000,"InventorySiteId":"VEN","dataAreaId":"hgv","ProductColorId":"","ProductConfigurationId":"","ProductSizeId":"","ProductStyleId":""}</t>
  </si>
  <si>
    <t>{"ItemNumber":"53488","ProductName":"F390 SU RBG Champignon250gP160","InventoryWarehouseId":"EP","OnHandQuantity":26104.64,"TotalAvailableQuantity":26104.64,"AvailableOnHandQuantity":26104.64,"InventorySiteId":"VEN","dataAreaId":"hgv","ProductColorId":"","ProductConfigurationId":"","ProductSizeId":"","ProductStyleId":""}</t>
  </si>
  <si>
    <t>{"ItemNumber":"53489","ProductName":"F390 SU RBG Champignon400gP160","InventoryWarehouseId":"EP","OnHandQuantity":13420.38,"TotalAvailableQuantity":13420.38,"AvailableOnHandQuantity":13420.38,"InventorySiteId":"VEN","dataAreaId":"hgv","ProductColorId":"","ProductConfigurationId":"","ProductSizeId":"","ProductStyleId":""}</t>
  </si>
  <si>
    <t>{"ItemNumber":"53490","ProductName":"F390 SU RBG Japans 400g P160","InventoryWarehouseId":"EP","OnHandQuantity":15885.61,"TotalAvailableQuantity":25885.61,"AvailableOnHandQuantity":15885.61,"InventorySiteId":"VEN","dataAreaId":"hgv","ProductColorId":"","ProductConfigurationId":"","ProductSizeId":"","ProductStyleId":""}</t>
  </si>
  <si>
    <t>{"ItemNumber":"53491","ProductName":"F390 SU RBG Chinees 250g P160","InventoryWarehouseId":"EP","OnHandQuantity":24825.02,"TotalAvailableQuantity":24825.02,"AvailableOnHandQuantity":24825.02,"InventorySiteId":"VEN","dataAreaId":"hgv","ProductColorId":"","ProductConfigurationId":"","ProductSizeId":"","ProductStyleId":""}</t>
  </si>
  <si>
    <t>{"ItemNumber":"53492","ProductName":"F390 SU RBG Chinees 400g P160","InventoryWarehouseId":"EP","OnHandQuantity":25408.25,"TotalAvailableQuantity":25408.25,"AvailableOnHandQuantity":25408.25,"InventorySiteId":"VEN","dataAreaId":"hgv","ProductColorId":"","ProductConfigurationId":"","ProductSizeId":"","ProductStyleId":""}</t>
  </si>
  <si>
    <t>{"ItemNumber":"53494","ProductName":"F390 SU RBG Fijn 400g P160","InventoryWarehouseId":"EP","OnHandQuantity":39434.05,"TotalAvailableQuantity":39434.05,"AvailableOnHandQuantity":39434.05,"InventorySiteId":"VEN","dataAreaId":"hgv","ProductColorId":"","ProductConfigurationId":"","ProductSizeId":"","ProductStyleId":""}</t>
  </si>
  <si>
    <t>{"ItemNumber":"53495","ProductName":"F390 SU RBG Hollands 400g P160","InventoryWarehouseId":"EP","OnHandQuantity":17270.18,"TotalAvailableQuantity":17270.18,"AvailableOnHandQuantity":17270.18,"InventorySiteId":"VEN","dataAreaId":"hgv","ProductColorId":"","ProductConfigurationId":"","ProductSizeId":"","ProductStyleId":""}</t>
  </si>
  <si>
    <t>{"ItemNumber":"53496","ProductName":"F390 SU RBG Italiaans 250gP160","InventoryWarehouseId":"EP","OnHandQuantity":10654.18,"TotalAvailableQuantity":10654.18,"AvailableOnHandQuantity":10654.18,"InventorySiteId":"VEN","dataAreaId":"hgv","ProductColorId":"","ProductConfigurationId":"","ProductSizeId":"","ProductStyleId":""}</t>
  </si>
  <si>
    <t>{"ItemNumber":"53497","ProductName":"F390 SU RBG Italiaans 400gP160","InventoryWarehouseId":"EP","OnHandQuantity":29007.22,"TotalAvailableQuantity":29007.22,"AvailableOnHandQuantity":29007.22,"InventorySiteId":"VEN","dataAreaId":"hgv","ProductColorId":"","ProductConfigurationId":"","ProductSizeId":"","ProductStyleId":""}</t>
  </si>
  <si>
    <t>{"ItemNumber":"53499","ProductName":"F390 SU RBG Thais 400g P160","InventoryWarehouseId":"EP","OnHandQuantity":18426.78,"TotalAvailableQuantity":18426.78,"AvailableOnHandQuantity":18426.78,"InventorySiteId":"VEN","dataAreaId":"hgv","ProductColorId":"","ProductConfigurationId":"","ProductSizeId":"","ProductStyleId":""}</t>
  </si>
  <si>
    <t>{"ItemNumber":"53500","ProductName":"F390 SU Boerensoepgr 350g P160","InventoryWarehouseId":"EP","OnHandQuantity":12484,"TotalAvailableQuantity":12484,"AvailableOnHandQuantity":12484,"InventorySiteId":"VEN","dataAreaId":"hgv","ProductColorId":"","ProductConfigurationId":"","ProductSizeId":"","ProductStyleId":""}</t>
  </si>
  <si>
    <t>{"ItemNumber":"53503","ProductName":"F390 SU Mac Spag gr 250g P160","InventoryWarehouseId":"EP","OnHandQuantity":6720.09,"TotalAvailableQuantity":6720.09,"AvailableOnHandQuantity":6720.09,"InventorySiteId":"VEN","dataAreaId":"hgv","ProductColorId":"","ProductConfigurationId":"","ProductSizeId":"","ProductStyleId":""}</t>
  </si>
  <si>
    <t>{"ItemNumber":"53504","ProductName":"F390 SU RBG Mexicaans 400gP160","InventoryWarehouseId":"EP","OnHandQuantity":17500,"TotalAvailableQuantity":22500,"AvailableOnHandQuantity":17500,"InventorySiteId":"VEN","dataAreaId":"hgv","ProductColorId":"","ProductConfigurationId":"","ProductSizeId":"","ProductStyleId":""}</t>
  </si>
  <si>
    <t>{"ItemNumber":"53505","ProductName":"F390 SU Soepgroenten 350g P160","InventoryWarehouseId":"EP","OnHandQuantity":5000,"TotalAvailableQuantity":5000,"AvailableOnHandQuantity":5000,"InventorySiteId":"VEN","dataAreaId":"hgv","ProductColorId":"","ProductConfigurationId":"","ProductSizeId":"","ProductStyleId":""}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</si>
  <si>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{"ItemNumber":"53506","ProductName":"F390 SU Fijne Soepgr. 250gP160","InventoryWarehouseId":"EP","OnHandQuantity":18458.3,"TotalAvailableQuantity":18458.3,"AvailableOnHandQuantity":18458.3,"InventorySiteId":"VEN","dataAreaId":"hgv","ProductColorId":"","ProductConfigurationId":"","ProductSizeId":"","ProductStyleId":""}</t>
  </si>
  <si>
    <t>{"ItemNumber":"53508","ProductName":"Thermo Top Permanent 100x200","InventoryWarehouseId":"EP","OnHandQuantity":231200,"TotalAvailableQuantity":231200,"AvailableOnHandQuantity":231200,"InventorySiteId":"VEN","dataAreaId":"hgv","ProductColorId":"","ProductConfigurationId":"","ProductSizeId":"","ProductStyleId":""}</t>
  </si>
  <si>
    <t>{"ItemNumber":"53528","ProductName":"F390 SU BamiNasizak 250g P160","InventoryWarehouseId":"EP","OnHandQuantity":10890.26,"TotalAvailableQuantity":10890.26,"AvailableOnHandQuantity":10890.26,"InventorySiteId":"VEN","dataAreaId":"hgv","ProductColorId":"","ProductConfigurationId":"","ProductSizeId":"","ProductStyleId":""}</t>
  </si>
  <si>
    <t>{"ItemNumber":"53537","ProductName":"F350 SU Uien gesn  300g P160","InventoryWarehouseId":"EP","OnHandQuantity":18950,"TotalAvailableQuantity":18950,"AvailableOnHandQuantity":18950,"InventorySiteId":"VEN","dataAreaId":"hgv","ProductColorId":"","ProductConfigurationId":"","ProductSizeId":"","ProductStyleId":""}</t>
  </si>
  <si>
    <t>{"ItemNumber":"53576","ProductName":"F390 Lidl RBGMexicaans400gP160","InventoryWarehouseId":"EP","OnHandQuantity":17500,"TotalAvailableQuantity":17500,"AvailableOnHandQuantity":17500,"InventorySiteId":"VEN","dataAreaId":"hgv","ProductColorId":"","ProductConfigurationId":"","ProductSizeId":"","ProductStyleId":""}</t>
  </si>
  <si>
    <t>{"ItemNumber":"53577","ProductName":"F390 Lidl Wok Japans 400g P160","InventoryWarehouseId":"EP","OnHandQuantity":60000,"TotalAvailableQuantity":60000,"AvailableOnHandQuantity":60000,"InventorySiteId":"VEN","dataAreaId":"hgv","ProductColorId":"","ProductConfigurationId":"","ProductSizeId":"","ProductStyleId":""}</t>
  </si>
  <si>
    <t>{"ItemNumber":"53621","ProductName":"F180 OLAF P30 2rij","InventoryWarehouseId":"EP","OnHandQuantity":14450.83,"TotalAvailableQuantity":14448.68,"AvailableOnHandQuantity":14450.83,"InventorySiteId":"VEN","dataAreaId":"hgv","ProductColorId":"","ProductConfigurationId":"","ProductSizeId":"","ProductStyleId":""}</t>
  </si>
  <si>
    <t>{"ItemNumber":"53626","ProductName":"F350 SU Bloemklrijst 400g P120","InventoryWarehouseId":"EP","OnHandQuantity":15181.13,"TotalAvailableQuantity":15181.13,"AvailableOnHandQuantity":15181.13,"InventorySiteId":"VEN","dataAreaId":"hgv","ProductColorId":"","ProductConfigurationId":"","ProductSizeId":"","ProductStyleId":""}</t>
  </si>
  <si>
    <t>{"ItemNumber":"53647","ProductName":"F350 PL Snijbonen 200g P120 V2","InventoryWarehouseId":"EP","OnHandQuantity":11077.86,"TotalAvailableQuantity":11077.86,"AvailableOnHandQuantity":11077.86,"InventorySiteId":"VEN","dataAreaId":"hgv","ProductColorId":"","ProductConfigurationId":"","ProductSizeId":"","ProductStyleId":""}</t>
  </si>
  <si>
    <t>{"ItemNumber":"53657","ProductName":"NEMT Bio coleslaw 350g BE","InventoryWarehouseId":"EP","OnHandQuantity":28298,"TotalAvailableQuantity":28298,"AvailableOnHandQuantity":28298,"InventorySiteId":"VEN","dataAreaId":"hgv","ProductColorId":"","ProductConfigurationId":"","ProductSizeId":"","ProductStyleId":""}</t>
  </si>
  <si>
    <t>{"ItemNumber":"53658","ProductName":"NEMT Bio Coleslaw 350g OE","InventoryWarehouseId":"EP","OnHandQuantity":20724,"TotalAvailableQuantity":35724,"AvailableOnHandQuantity":20724,"InventorySiteId":"VEN","dataAreaId":"hgv","ProductColorId":"","ProductConfigurationId":"","ProductSizeId":"","ProductStyleId":""}</t>
  </si>
  <si>
    <t>{"ItemNumber":"53670","ProductName":"F350 PL SperziebGesn200gP120V2","InventoryWarehouseId":"EP","OnHandQuantity":22113.53,"TotalAvailableQuantity":22113.53,"AvailableOnHandQuantity":22113.53,"InventorySiteId":"VEN","dataAreaId":"hgv","ProductColorId":"","ProductConfigurationId":"","ProductSizeId":"","ProductStyleId":""}</t>
  </si>
  <si>
    <t>{"ItemNumber":"53740","ProductName":"F470 JU Spitskool 400g V3","InventoryWarehouseId":"EP","OnHandQuantity":0,"TotalAvailableQuantity":0,"AvailableOnHandQuantity":0,"InventorySiteId":"VEN","dataAreaId":"hgv","ProductColorId":"","ProductConfigurationId":"","ProductSizeId":"","ProductStyleId":""}</t>
  </si>
  <si>
    <t>{"ItemNumber":"53764","ProductName":"SU SS Caesar 285g OE V3","InventoryWarehouseId":"EP","OnHandQuantity":42903,"TotalAvailableQuantity":42903,"AvailableOnHandQuantity":42903,"InventorySiteId":"VEN","dataAreaId":"hgv","ProductColorId":"","ProductConfigurationId":"","ProductSizeId":"","ProductStyleId":""}</t>
  </si>
  <si>
    <t>{"ItemNumber":"53765","ProductName":"F220 SU SS Caesar 285g V2","InventoryWarehouseId":"EP","OnHandQuantity":6368.02,"TotalAvailableQuantity":6368.02,"AvailableOnHandQuantity":6368.02,"InventorySiteId":"VEN","dataAreaId":"hgv","ProductColorId":"","ProductConfigurationId":"","ProductSizeId":"","ProductStyleId":""}</t>
  </si>
  <si>
    <t>{"ItemNumber":"53766","ProductName":"F220 SU SSHollands275gveggieV3","InventoryWarehouseId":"EP","OnHandQuantity":1439.7,"TotalAvailableQuantity":1439.7,"AvailableOnHandQuantity":1439.7,"InventorySiteId":"VEN","dataAreaId":"hgv","ProductColorId":"","ProductConfigurationId":"","ProductSizeId":"","ProductStyleId":""}</t>
  </si>
  <si>
    <t>{"ItemNumber":"53788","ProductName":"F530 SU Jng bladsla Rucola100g","InventoryWarehouseId":"EP","OnHandQuantity":32057.26,"TotalAvailableQuantity":32057.26,"AvailableOnHandQuantity":32057.26,"InventorySiteId":"VEN","dataAreaId":"hgv","ProductColorId":"","ProductConfigurationId":"","ProductSizeId":"","ProductStyleId":""}</t>
  </si>
  <si>
    <t>{"ItemNumber":"53789","ProductName":"F530 SU Rucola 150g","InventoryWarehouseId":"EP","OnHandQuantity":3750,"TotalAvailableQuantity":3750,"AvailableOnHandQuantity":3750,"InventorySiteId":"VEN","dataAreaId":"hgv","ProductColorId":"","ProductConfigurationId":"","ProductSizeId":"","ProductStyleId":""}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</si>
  <si>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{"ItemNumber":"53821","ProductName":"F310 Alu schaal Plus pack P30","InventoryWarehouseId":"EP","OnHandQuantity":12000,"TotalAvailableQuantity":12000,"AvailableOnHandQuantity":12000,"InventorySiteId":"VEN","dataAreaId":"hgv","ProductColorId":"","ProductConfigurationId":"","ProductSizeId":"","ProductStyleId":""}</t>
  </si>
  <si>
    <t>{"ItemNumber":"53888","ProductName":"PL BIO Boerenkool 150g BE","InventoryWarehouseId":"EP","OnHandQuantity":20886,"TotalAvailableQuantity":20886,"AvailableOnHandQuantity":20886,"InventorySiteId":"VEN","dataAreaId":"hgv","ProductColorId":"","ProductConfigurationId":"","ProductSizeId":"","ProductStyleId":""}</t>
  </si>
  <si>
    <t>{"ItemNumber":"53889","ProductName":"PL BIO rode kool 300g BE","InventoryWarehouseId":"EP","OnHandQuantity":10983,"TotalAvailableQuantity":25983,"AvailableOnHandQuantity":10983,"InventorySiteId":"VEN","dataAreaId":"hgv","ProductColorId":"","ProductConfigurationId":"","ProductSizeId":"","ProductStyleId":""}</t>
  </si>
  <si>
    <t>{"ItemNumber":"53891","ProductName":"PL BIO Witte kool 300g BE","InventoryWarehouseId":"EP","OnHandQuantity":17895,"TotalAvailableQuantity":17895,"AvailableOnHandQuantity":17895,"InventorySiteId":"VEN","dataAreaId":"hgv","ProductColorId":"","ProductConfigurationId":"","ProductSizeId":"","ProductStyleId":""}</t>
  </si>
  <si>
    <t>{"ItemNumber":"53945","ProductName":"Ascorbinezuur poedervorm KG V2","InventoryWarehouseId":"GR","OnHandQuantity":75,"TotalAvailableQuantity":71.62,"AvailableOnHandQuantity":75,"InventorySiteId":"VEN","dataAreaId":"hgv","ProductColorId":"","ProductConfigurationId":"","ProductSizeId":"","ProductStyleId":""}</t>
  </si>
  <si>
    <t>{"ItemNumber":"53946","ProductName":"Schaal FFF66,5 180x180 st","InventoryWarehouseId":"EP","OnHandQuantity":350447,"TotalAvailableQuantity":345723,"AvailableOnHandQuantity":350447,"InventorySiteId":"VEN","dataAreaId":"hgv","ProductColorId":"","ProductConfigurationId":"","ProductSizeId":"","ProductStyleId":""}</t>
  </si>
  <si>
    <t>{"ItemNumber":"53969","ProductName":"F390 Sal. Bio rode kool300g V2","InventoryWarehouseId":"EP","OnHandQuantity":9023,"TotalAvailableQuantity":9023,"AvailableOnHandQuantity":9023,"InventorySiteId":"VEN","dataAreaId":"hgv","ProductColorId":"","ProductConfigurationId":"","ProductSizeId":"","ProductStyleId":""}</t>
  </si>
  <si>
    <t>{"ItemNumber":"53970","ProductName":"F390 Sal. Bio Witte kool300gV2","InventoryWarehouseId":"EP","OnHandQuantity":12548.18,"TotalAvailableQuantity":12548.18,"AvailableOnHandQuantity":12548.18,"InventorySiteId":"VEN","dataAreaId":"hgv","ProductColorId":"","ProductConfigurationId":"","ProductSizeId":"","ProductStyleId":""}</t>
  </si>
  <si>
    <t>{"ItemNumber":"53971","ProductName":"F530 Sal. Bio veldsla 75g V2","InventoryWarehouseId":"EP","OnHandQuantity":4847.06,"TotalAvailableQuantity":14847.06,"AvailableOnHandQuantity":4847.06,"InventorySiteId":"VEN","dataAreaId":"hgv","ProductColorId":"","ProductConfigurationId":"","ProductSizeId":"","ProductStyleId":""}</t>
  </si>
  <si>
    <t>{"ItemNumber":"53973","ProductName":"F320 SU Nasischaal 450gP110","InventoryWarehouseId":"EP","OnHandQuantity":3750,"TotalAvailableQuantity":3750,"AvailableOnHandQuantity":3750,"InventorySiteId":"VEN","dataAreaId":"hgv","ProductColorId":"","ProductConfigurationId":"","ProductSizeId":"","ProductStyleId":""}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</si>
  <si>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{"ItemNumber":"53975","ProductName":"F320 SU Bami schaal 450g P140","InventoryWarehouseId":"EP","OnHandQuantity":12700,"TotalAvailableQuantity":12700,"AvailableOnHandQuantity":12700,"InventorySiteId":"VEN","dataAreaId":"hgv","ProductColorId":"","ProductConfigurationId":"","ProductSizeId":"","ProductStyleId":""}</t>
  </si>
  <si>
    <t>{"ItemNumber":"53976","ProductName":"F320 SU Macspagh 450g P160","InventoryWarehouseId":"EP","OnHandQuantity":12640,"TotalAvailableQuantity":12640,"AvailableOnHandQuantity":12640,"InventorySiteId":"VEN","dataAreaId":"hgv","ProductColorId":"","ProductConfigurationId":"","ProductSizeId":"","ProductStyleId":""}</t>
  </si>
  <si>
    <t>{"ItemNumber":"53979","ProductName":"SU MacSpagh schaal 450g OE","InventoryWarehouseId":"EP","OnHandQuantity":40000,"TotalAvailableQuantity":40000,"AvailableOnHandQuantity":40000,"InventorySiteId":"VEN","dataAreaId":"hgv","ProductColorId":"","ProductConfigurationId":"","ProductSizeId":"","ProductStyleId":""}</t>
  </si>
  <si>
    <t>{"ItemNumber":"53980","ProductName":"SU Bami schaal 450g OE","InventoryWarehouseId":"EP","OnHandQuantity":8000,"TotalAvailableQuantity":8000,"AvailableOnHandQuantity":8000,"InventorySiteId":"VEN","dataAreaId":"hgv","ProductColorId":"","ProductConfigurationId":"","ProductSizeId":"","ProductStyleId":""}</t>
  </si>
  <si>
    <t>{"ItemNumber":"53981","ProductName":"SU Nasi schaal 450g OE","InventoryWarehouseId":"EP","OnHandQuantity":12000,"TotalAvailableQuantity":12000,"AvailableOnHandQuantity":12000,"InventorySiteId":"VEN","dataAreaId":"hgv","ProductColorId":"","ProductConfigurationId":"","ProductSizeId":"","ProductStyleId":""}</t>
  </si>
  <si>
    <t>{"ItemNumber":"53988","ProductName":"SU BIO+ Spinazie 200g BE","InventoryWarehouseId":"EP","OnHandQuantity":15000,"TotalAvailableQuantity":15000,"AvailableOnHandQuantity":15000,"InventorySiteId":"VEN","dataAreaId":"hgv","ProductColorId":"","ProductConfigurationId":"","ProductSizeId":"","ProductStyleId":""}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</si>
  <si>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{"ItemNumber":"53989","ProductName":"SU Bio+ Boerenkool grof150g BE","InventoryWarehouseId":"EP","OnHandQuantity":19250,"TotalAvailableQuantity":19250,"AvailableOnHandQuantity":19250,"InventorySiteId":"VEN","dataAreaId":"hgv","ProductColorId":"","ProductConfigurationId":"","ProductSizeId":"","ProductStyleId":""}</t>
  </si>
  <si>
    <t>{"ItemNumber":"53995","ProductName":"F470 SU Krulslamelange 100g","InventoryWarehouseId":"EP","OnHandQuantity":13839.65,"TotalAvailableQuantity":13839.65,"AvailableOnHandQuantity":13839.65,"InventorySiteId":"VEN","dataAreaId":"hgv","ProductColorId":"","ProductConfigurationId":"","ProductSizeId":"","ProductStyleId":""}</t>
  </si>
  <si>
    <t>{"ItemNumber":"54031","ProductName":"Schaal  Rond 195x50mm","InventoryWarehouseId":"EP","OnHandQuantity":43580,"TotalAvailableQuantity":57980,"AvailableOnHandQuantity":43580,"InventorySiteId":"VEN","dataAreaId":"hgv","ProductColorId":"","ProductConfigurationId":"","ProductSizeId":"","ProductStyleId":""}</t>
  </si>
  <si>
    <t>{"ItemNumber":"54039","ProductName":"SU BIO+ Rode kool 300g BE","InventoryWarehouseId":"EP","OnHandQuantity":14693,"TotalAvailableQuantity":14693,"AvailableOnHandQuantity":14693,"InventorySiteId":"VEN","dataAreaId":"hgv","ProductColorId":"","ProductConfigurationId":"","ProductSizeId":"","ProductStyleId":""}</t>
  </si>
  <si>
    <t>{"ItemNumber":"54040","ProductName":"SU BIO+ Rucola 40g BE","InventoryWarehouseId":"EP","OnHandQuantity":10500,"TotalAvailableQuantity":10500,"AvailableOnHandQuantity":10500,"InventorySiteId":"VEN","dataAreaId":"hgv","ProductColorId":"","ProductConfigurationId":"","ProductSizeId":"","ProductStyleId":""}</t>
  </si>
  <si>
    <t>{"ItemNumber":"54050","ProductName":"F530 Salling Bio rucola 75g","InventoryWarehouseId":"EP","OnHandQuantity":11713.56,"TotalAvailableQuantity":36713.56,"AvailableOnHandQuantity":11713.56,"InventorySiteId":"VEN","dataAreaId":"hgv","ProductColorId":"","ProductConfigurationId":"","ProductSizeId":"","ProductStyleId":""}</t>
  </si>
  <si>
    <t>{"ItemNumber":"54067","ProductName":"Kraft Bowl 850cc Ø183","InventoryWarehouseId":"EP","OnHandQuantity":57611,"TotalAvailableQuantity":57587,"AvailableOnHandQuantity":57611,"InventorySiteId":"VEN","dataAreaId":"hgv","ProductColorId":"","ProductConfigurationId":"","ProductSizeId":"","ProductStyleId":""}</t>
  </si>
  <si>
    <t>{"ItemNumber":"54083","ProductName":"SAL SS Salatblanding300g OE","InventoryWarehouseId":"EP","OnHandQuantity":8839,"TotalAvailableQuantity":8839,"AvailableOnHandQuantity":8839,"InventorySiteId":"VEN","dataAreaId":"hgv","ProductColorId":"","ProductConfigurationId":"","ProductSizeId":"","ProductStyleId":""}</t>
  </si>
  <si>
    <t>{"ItemNumber":"54085","ProductName":"SAL Organic coleslaw 350g OE","InventoryWarehouseId":"EP","OnHandQuantity":27326,"TotalAvailableQuantity":27326,"AvailableOnHandQuantity":27326,"InventorySiteId":"VEN","dataAreaId":"hgv","ProductColorId":"","ProductConfigurationId":"","ProductSizeId":"","ProductStyleId":""}</t>
  </si>
  <si>
    <t>{"ItemNumber":"54088","ProductName":"SAL Organic coleslaw 350g BE","InventoryWarehouseId":"EP","OnHandQuantity":15472,"TotalAvailableQuantity":15472,"AvailableOnHandQuantity":15472,"InventorySiteId":"VEN","dataAreaId":"hgv","ProductColorId":"","ProductConfigurationId":"","ProductSizeId":"","ProductStyleId":""}</t>
  </si>
  <si>
    <t>{"ItemNumber":"54089","ProductName":"SAL SS Caesar 285g BE","InventoryWarehouseId":"EP","OnHandQuantity":6768,"TotalAvailableQuantity":6768,"AvailableOnHandQuantity":6768,"InventorySiteId":"VEN","dataAreaId":"hgv","ProductColorId":"","ProductConfigurationId":"","ProductSizeId":"","ProductStyleId":""}</t>
  </si>
  <si>
    <t>{"ItemNumber":"54090","ProductName":"SAL SS Santa Fe 300g BE","InventoryWarehouseId":"EP","OnHandQuantity":15630,"TotalAvailableQuantity":15630,"AvailableOnHandQuantity":15630,"InventorySiteId":"VEN","dataAreaId":"hgv","ProductColorId":"","ProductConfigurationId":"","ProductSizeId":"","ProductStyleId":""}</t>
  </si>
  <si>
    <t>{"ItemNumber":"54091","ProductName":"JU Noodetiket Ø75 Transp","InventoryWarehouseId":"EP","OnHandQuantity":20000,"TotalAvailableQuantity":20000,"AvailableOnHandQuantity":20000,"InventorySiteId":"VEN","dataAreaId":"hgv","ProductColorId":"","ProductConfigurationId":"","ProductSizeId":"","ProductStyleId":""}</t>
  </si>
  <si>
    <t>{"ItemNumber":"54093","ProductName":"NEMT SS Santa Fe 300g BE","InventoryWarehouseId":"EP","OnHandQuantity":800,"TotalAvailableQuantity":599,"AvailableOnHandQuantity":800,"InventorySiteId":"VEN","dataAreaId":"hgv","ProductColorId":"","ProductConfigurationId":"","ProductSizeId":"","ProductStyleId":""}</t>
  </si>
  <si>
    <t>{"ItemNumber":"54094","ProductName":"NEMT SS Santa Fe 300g OE","InventoryWarehouseId":"EP","OnHandQuantity":27500,"TotalAvailableQuantity":27500,"AvailableOnHandQuantity":27500,"InventorySiteId":"VEN","dataAreaId":"hgv","ProductColorId":"","ProductConfigurationId":"","ProductSizeId":"","ProductStyleId":""}</t>
  </si>
  <si>
    <t>{"ItemNumber":"54115","ProductName":"Houten vork FSC (Verpakt)","InventoryWarehouseId":"EP","OnHandQuantity":75000,"TotalAvailableQuantity":165000,"AvailableOnHandQuantity":75000,"InventorySiteId":"VEN","dataAreaId":"hgv","ProductColorId":"","ProductConfigurationId":"","ProductSizeId":"","ProductStyleId":""}</t>
  </si>
  <si>
    <t>{"ItemNumber":"54116","ProductName":"CAR MTS Mozzarella 400g BE V3","InventoryWarehouseId":"EP","OnHandQuantity":26601,"TotalAvailableQuantity":26601,"AvailableOnHandQuantity":26601,"InventorySiteId":"VEN","dataAreaId":"hgv","ProductColorId":"","ProductConfigurationId":"","ProductSizeId":"","ProductStyleId":""}</t>
  </si>
  <si>
    <t>{"ItemNumber":"54118","ProductName":"CAR MTS Falafel 400g BE V3","InventoryWarehouseId":"EP","OnHandQuantity":18000,"TotalAvailableQuantity":18000,"AvailableOnHandQuantity":18000,"InventorySiteId":"VEN","dataAreaId":"hgv","ProductColorId":"","ProductConfigurationId":"","ProductSizeId":"","ProductStyleId":""}</t>
  </si>
  <si>
    <t>{"ItemNumber":"54119","ProductName":"CAR MTS Kip kerrie 400g BE V3","InventoryWarehouseId":"EP","OnHandQuantity":20741,"TotalAvailableQuantity":20741,"AvailableOnHandQuantity":20741,"InventorySiteId":"VEN","dataAreaId":"hgv","ProductColorId":"","ProductConfigurationId":"","ProductSizeId":"","ProductStyleId":""}</t>
  </si>
  <si>
    <t>{"ItemNumber":"54120","ProductName":"CAR MTS Ger.kipbacon400g BE V3","InventoryWarehouseId":"EP","OnHandQuantity":7100,"TotalAvailableQuantity":19100,"AvailableOnHandQuantity":7100,"InventorySiteId":"VEN","dataAreaId":"hgv","ProductColorId":"","ProductConfigurationId":"","ProductSizeId":"","ProductStyleId":""}</t>
  </si>
  <si>
    <t>{"ItemNumber":"54121","ProductName":"CAR MTS Scampi 400g BE V2","InventoryWarehouseId":"EP","OnHandQuantity":8345,"TotalAvailableQuantity":32345,"AvailableOnHandQuantity":8345,"InventorySiteId":"VEN","dataAreaId":"hgv","ProductColorId":"","ProductConfigurationId":"","ProductSizeId":"","ProductStyleId":""}</t>
  </si>
  <si>
    <t>{"ItemNumber":"54122","ProductName":"CAR MTS Zalm 450g BE V2","InventoryWarehouseId":"EP","OnHandQuantity":17776,"TotalAvailableQuantity":17776,"AvailableOnHandQuantity":17776,"InventorySiteId":"VEN","dataAreaId":"hgv","ProductColorId":"","ProductConfigurationId":"","ProductSizeId":"","ProductStyleId":""}</t>
  </si>
  <si>
    <t>{"ItemNumber":"54143","ProductName":"F220 SU SS Boer BLK1V1Z3 295g","InventoryWarehouseId":"EP","OnHandQuantity":2941.94,"TotalAvailableQuantity":2941.94,"AvailableOnHandQuantity":2941.94,"InventorySiteId":"VEN","dataAreaId":"hgv","ProductColorId":"","ProductConfigurationId":"","ProductSizeId":"","ProductStyleId":""}</t>
  </si>
  <si>
    <t>{"ItemNumber":"54144","ProductName":"SU SS Boer BLK1V1Z3 295g OE","InventoryWarehouseId":"EP","OnHandQuantity":14977,"TotalAvailableQuantity":14977,"AvailableOnHandQuantity":14977,"InventorySiteId":"VEN","dataAreaId":"hgv","ProductColorId":"","ProductConfigurationId":"","ProductSizeId":"","ProductStyleId":""}</t>
  </si>
  <si>
    <t>{"ItemNumber":"54147","ProductName":"F390 PL OG Courgette 600g P160","InventoryWarehouseId":"EP","OnHandQuantity":13850,"TotalAvailableQuantity":13850,"AvailableOnHandQuantity":13850,"InventorySiteId":"VEN","dataAreaId":"hgv","ProductColorId":"","ProductConfigurationId":"","ProductSizeId":"","ProductStyleId":""}</t>
  </si>
  <si>
    <t>{"ItemNumber":"54169","ProductName":"Beker Wok Maatstr 135x135x110","InventoryWarehouseId":"EP","OnHandQuantity":22420,"TotalAvailableQuantity":31804,"AvailableOnHandQuantity":22420,"InventorySiteId":"VEN","dataAreaId":"hgv","ProductColorId":"","ProductConfigurationId":"","ProductSizeId":"","ProductStyleId":""}</t>
  </si>
  <si>
    <t>{"ItemNumber":"54177","ProductName":"Insert tray MTS schaal 77H","InventoryWarehouseId":"EP","OnHandQuantity":557163,"TotalAvailableQuantity":782547,"AvailableOnHandQuantity":557163,"InventorySiteId":"VEN","dataAreaId":"hgv","ProductColorId":"","ProductConfigurationId":"","ProductSizeId":"","ProductStyleId":""}</t>
  </si>
  <si>
    <t>{"ItemNumber":"54186","ProductName":"FQ Rucola 85g BE","InventoryWarehouseId":"EP","OnHandQuantity":0,"TotalAvailableQuantity":0,"AvailableOnHandQuantity":0,"InventorySiteId":"VEN","dataAreaId":"hgv","ProductColorId":"","ProductConfigurationId":"","ProductSizeId":"","ProductStyleId":""}</t>
  </si>
  <si>
    <t>{"ItemNumber":"54215","ProductName":"FQ Pompoenblokjes 400g BE","InventoryWarehouseId":"EP","OnHandQuantity":1400,"TotalAvailableQuantity":1400,"AvailableOnHandQuantity":1400,"InventorySiteId":"VEN","dataAreaId":"hgv","ProductColorId":"","ProductConfigurationId":"","ProductSizeId":"","ProductStyleId":""}</t>
  </si>
  <si>
    <t>{"ItemNumber":"54271","ProductName":"PL Spinazie 200g BIO BEv2","InventoryWarehouseId":"EP","OnHandQuantity":41450,"TotalAvailableQuantity":41450,"AvailableOnHandQuantity":41450,"InventorySiteId":"VEN","dataAreaId":"hgv","ProductColorId":"","ProductConfigurationId":"","ProductSizeId":"","ProductStyleId":""}</t>
  </si>
  <si>
    <t>{"ItemNumber":"54303","ProductName":"F530 PL Andijvie Gr 400gP1","InventoryWarehouseId":"EP","OnHandQuantity":50296.66,"TotalAvailableQuantity":50296.66,"AvailableOnHandQuantity":50296.66,"InventorySiteId":"VEN","dataAreaId":"hgv","ProductColorId":"","ProductConfigurationId":"","ProductSizeId":"","ProductStyleId":""}</t>
  </si>
  <si>
    <t>{"ItemNumber":"54304","ProductName":"F530 PL Andijvie fijn500gP1","InventoryWarehouseId":"EP","OnHandQuantity":22155.67,"TotalAvailableQuantity":82155.67,"AvailableOnHandQuantity":22155.67,"InventorySiteId":"VEN","dataAreaId":"hgv","ProductColorId":"","ProductConfigurationId":"","ProductSizeId":"","ProductStyleId":""}</t>
  </si>
  <si>
    <t>{"ItemNumber":"54305","ProductName":"F470 PL AndijvieFijn250gP1","InventoryWarehouseId":"EP","OnHandQuantity":33760.49,"TotalAvailableQuantity":73760.49,"AvailableOnHandQuantity":33760.49,"InventorySiteId":"VEN","dataAreaId":"hgv","ProductColorId":"","ProductConfigurationId":"","ProductSizeId":"","ProductStyleId":""}</t>
  </si>
  <si>
    <t>{"ItemNumber":"54306","ProductName":"F470 PL Bloemkool 400gP160","InventoryWarehouseId":"EP","OnHandQuantity":6051.63,"TotalAvailableQuantity":26051.63,"AvailableOnHandQuantity":6051.63,"InventorySiteId":"VEN","dataAreaId":"hgv","ProductColorId":"","ProductConfigurationId":"","ProductSizeId":"","ProductStyleId":""}</t>
  </si>
  <si>
    <t>{"ItemNumber":"54307","ProductName":"F470 PLUS Broccoli 400gP160","InventoryWarehouseId":"EP","OnHandQuantity":0,"TotalAvailableQuantity":30000,"AvailableOnHandQuantity":0,"InventorySiteId":"VEN","dataAreaId":"hgv","ProductColorId":"","ProductConfigurationId":"","ProductSizeId":"","ProductStyleId":""}</t>
  </si>
  <si>
    <t>{"ItemNumber":"54308","ProductName":"F390 PLUS Ge Wortel300g P90","InventoryWarehouseId":"EP","OnHandQuantity":14023,"TotalAvailableQuantity":34023,"AvailableOnHandQuantity":14023,"InventorySiteId":"VEN","dataAreaId":"hgv","ProductColorId":"","ProductConfigurationId":"","ProductSizeId":"","ProductStyleId":""}</t>
  </si>
  <si>
    <t>{"ItemNumber":"54309","ProductName":"F390 PLUS Ge Wortel500g P90","InventoryWarehouseId":"EP","OnHandQuantity":32250,"TotalAvailableQuantity":32250,"AvailableOnHandQuantity":32250,"InventorySiteId":"VEN","dataAreaId":"hgv","ProductColorId":"","ProductConfigurationId":"","ProductSizeId":"","ProductStyleId":""}</t>
  </si>
  <si>
    <t>{"ItemNumber":"54310","ProductName":"F470 PL BloemkWortel400gP90","InventoryWarehouseId":"EP","OnHandQuantity":10316.43,"TotalAvailableQuantity":10316.43,"AvailableOnHandQuantity":10316.43,"InventorySiteId":"VEN","dataAreaId":"hgv","ProductColorId":"","ProductConfigurationId":"","ProductSizeId":"","ProductStyleId":""}</t>
  </si>
  <si>
    <t>{"ItemNumber":"54311","ProductName":"F305 PL Snackwrtl150gP120V2","InventoryWarehouseId":"EP","OnHandQuantity":9923.66,"TotalAvailableQuantity":29923.66,"AvailableOnHandQuantity":9923.66,"InventorySiteId":"VEN","dataAreaId":"hgv","ProductColorId":"","ProductConfigurationId":"","ProductSizeId":"","ProductStyleId":""}</t>
  </si>
  <si>
    <t>{"ItemNumber":"54312","ProductName":"F305 PL Snackwrtl350gP120","InventoryWarehouseId":"EP","OnHandQuantity":31034.14,"TotalAvailableQuantity":31034.14,"AvailableOnHandQuantity":31034.14,"InventorySiteId":"VEN","dataAreaId":"hgv","ProductColorId":"","ProductConfigurationId":"","ProductSizeId":"","ProductStyleId":""}</t>
  </si>
  <si>
    <t>{"ItemNumber":"54347","ProductName":"F320 PL Bamischaal 450g P140","InventoryWarehouseId":"EP","OnHandQuantity":42670,"TotalAvailableQuantity":42670,"AvailableOnHandQuantity":42670,"InventorySiteId":"VEN","dataAreaId":"hgv","ProductColorId":"","ProductConfigurationId":"","ProductSizeId":"","ProductStyleId":""}</t>
  </si>
  <si>
    <t>{"ItemNumber":"54390","ProductName":"F350 PL Bloemkroos 200gP120","InventoryWarehouseId":"EP","OnHandQuantity":13148.36,"TotalAvailableQuantity":15958.36,"AvailableOnHandQuantity":13148.36,"InventorySiteId":"VEN","dataAreaId":"hgv","ProductColorId":"","ProductConfigurationId":"","ProductSizeId":"","ProductStyleId":""}</t>
  </si>
  <si>
    <t>{"ItemNumber":"54419","ProductName":"REWE Frisches Gemüse Grünkohl","InventoryWarehouseId":"EP","OnHandQuantity":57500,"TotalAvailableQuantity":57500,"AvailableOnHandQuantity":57500,"InventorySiteId":"VEN","dataAreaId":"hgv","ProductColorId":"","ProductConfigurationId":"","ProductSizeId":"","ProductStyleId":""}</t>
  </si>
  <si>
    <t>{"ItemNumber":"54446","ProductName":"F220 PLUS LS Noten 225g V2","InventoryWarehouseId":"EP","OnHandQuantity":2000,"TotalAvailableQuantity":2000,"AvailableOnHandQuantity":2000,"InventorySiteId":"VEN","dataAreaId":"hgv","ProductColorId":"","ProductConfigurationId":"","ProductSizeId":"","ProductStyleId":""}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</si>
  <si>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{"ItemNumber":"54459","ProductName":"SU Bloemkoolroos 200g BE","InventoryWarehouseId":"EP","OnHandQuantity":21000,"TotalAvailableQuantity":21000,"AvailableOnHandQuantity":21000,"InventorySiteId":"VEN","dataAreaId":"hgv","ProductColorId":"","ProductConfigurationId":"","ProductSizeId":"","ProductStyleId":""}</t>
  </si>
  <si>
    <t>{"ItemNumber":"54461","ProductName":"SU Broccoliroos 200g BE","InventoryWarehouseId":"EP","OnHandQuantity":4500,"TotalAvailableQuantity":4500,"AvailableOnHandQuantity":4500,"InventorySiteId":"VEN","dataAreaId":"hgv","ProductColorId":"","ProductConfigurationId":"","ProductSizeId":"","ProductStyleId":""}</t>
  </si>
  <si>
    <t>{"ItemNumber":"54464","ProductName":"FQ Veldsla 85g BE","InventoryWarehouseId":"EP","OnHandQuantity":2500,"TotalAvailableQuantity":2500,"AvailableOnHandQuantity":2500,"InventorySiteId":"VEN","dataAreaId":"hgv","ProductColorId":"","ProductConfigurationId":"","ProductSizeId":"","ProductStyleId":""}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</si>
  <si>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{"ItemNumber":"54474","ProductName":"F350 PL Broccoli 200g P120","InventoryWarehouseId":"EP","OnHandQuantity":14950,"TotalAvailableQuantity":14950,"AvailableOnHandQuantity":14950,"InventorySiteId":"VEN","dataAreaId":"hgv","ProductColorId":"","ProductConfigurationId":"","ProductSizeId":"","ProductStyleId":""}</t>
  </si>
  <si>
    <t>{"ItemNumber":"54518","ProductName":"SAL SS Caesar 285g OE","InventoryWarehouseId":"EP","OnHandQuantity":2651,"TotalAvailableQuantity":32651,"AvailableOnHandQuantity":2651,"InventorySiteId":"VEN","dataAreaId":"hgv","ProductColorId":"","ProductConfigurationId":"","ProductSizeId":"","ProductStyleId":""}</t>
  </si>
  <si>
    <t>{"ItemNumber":"54519","ProductName":"NEMT SS Caesar 285g OE","InventoryWarehouseId":"EP","OnHandQuantity":0,"TotalAvailableQuantity":0,"AvailableOnHandQuantity":0,"InventorySiteId":"VEN","dataAreaId":"hgv","ProductColorId":"","ProductConfigurationId":"","ProductSizeId":"","ProductStyleId":""}</t>
  </si>
  <si>
    <t>{"ItemNumber":"54622","ProductName":"SU Noodetiket Trans. 75x90","InventoryWarehouseId":"EP","OnHandQuantity":185000,"TotalAvailableQuantity":185000,"AvailableOnHandQuantity":185000,"InventorySiteId":"VEN","dataAreaId":"hgv","ProductColorId":"","ProductConfigurationId":"","ProductSizeId":"","ProductStyleId":""}</t>
  </si>
  <si>
    <t>{"ItemNumber":"54673","ProductName":"PL Geschrapte wortel 500g BE","InventoryWarehouseId":"EP","OnHandQuantity":53187,"TotalAvailableQuantity":53187,"AvailableOnHandQuantity":53187,"InventorySiteId":"VEN","dataAreaId":"hgv","ProductColorId":"","ProductConfigurationId":"","ProductSizeId":"","ProductStyleId":""}</t>
  </si>
  <si>
    <t>{"ItemNumber":"54675","ProductName":"SU Spinazie 600g BE","InventoryWarehouseId":"EP","OnHandQuantity":29921,"TotalAvailableQuantity":29921,"AvailableOnHandQuantity":29921,"InventorySiteId":"VEN","dataAreaId":"hgv","ProductColorId":"","ProductConfigurationId":"","ProductSizeId":"","ProductStyleId":""}</t>
  </si>
  <si>
    <t>{"ItemNumber":"54678","ProductName":"F620 PL Spinazie 400g P90","InventoryWarehouseId":"EP","OnHandQuantity":70128.6,"TotalAvailableQuantity":130128.6,"AvailableOnHandQuantity":70128.6,"InventorySiteId":"VEN","dataAreaId":"hgv","ProductColorId":"","ProductConfigurationId":"","ProductSizeId":"","ProductStyleId":""}</t>
  </si>
  <si>
    <t>{"ItemNumber":"54679","ProductName":"F620 SU Spinazie 400g P90","InventoryWarehouseId":"EP","OnHandQuantity":81746.61,"TotalAvailableQuantity":81746.61,"AvailableOnHandQuantity":81746.61,"InventorySiteId":"VEN","dataAreaId":"hgv","ProductColorId":"","ProductConfigurationId":"","ProductSizeId":"","ProductStyleId":""}</t>
  </si>
  <si>
    <t>{"ItemNumber":"54680","ProductName":"F530 SU Spinazie 200g P60","InventoryWarehouseId":"EP","OnHandQuantity":29429.69,"TotalAvailableQuantity":29429.69,"AvailableOnHandQuantity":29429.69,"InventorySiteId":"VEN","dataAreaId":"hgv","ProductColorId":"","ProductConfigurationId":"","ProductSizeId":"","ProductStyleId":""}</t>
  </si>
  <si>
    <t>{"ItemNumber":"54682","ProductName":"F530 SU J bladsla veldsla 100g","InventoryWarehouseId":"EP","OnHandQuantity":15800,"TotalAvailableQuantity":15800,"AvailableOnHandQuantity":15800,"InventorySiteId":"VEN","dataAreaId":"hgv","ProductColorId":"","ProductConfigurationId":"","ProductSizeId":"","ProductStyleId":""}</t>
  </si>
  <si>
    <t>{"ItemNumber":"54683","ProductName":"F390 PL Prei fijn 200gP160","InventoryWarehouseId":"EP","OnHandQuantity":7302.88,"TotalAvailableQuantity":47302.88,"AvailableOnHandQuantity":7302.88,"InventorySiteId":"VEN","dataAreaId":"hgv","ProductColorId":"","ProductConfigurationId":"","ProductSizeId":"","ProductStyleId":""}</t>
  </si>
  <si>
    <t>{"ItemNumber":"54685","ProductName":"F350 PL Uien gesn 150gP160","InventoryWarehouseId":"EP","OnHandQuantity":3750,"TotalAvailableQuantity":3750,"AvailableOnHandQuantity":3750,"InventorySiteId":"VEN","dataAreaId":"hgv","ProductColorId":"","ProductConfigurationId":"","ProductSizeId":"","ProductStyleId":""}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</si>
  <si>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{"ItemNumber":"54686","ProductName":"F305 PL Uienmix 125g P120","InventoryWarehouseId":"EP","OnHandQuantity":33614.42,"TotalAvailableQuantity":33614.42,"AvailableOnHandQuantity":33614.42,"InventorySiteId":"VEN","dataAreaId":"hgv","ProductColorId":"","ProductConfigurationId":"","ProductSizeId":"","ProductStyleId":""}</t>
  </si>
  <si>
    <t>{"ItemNumber":"54687","ProductName":"F470 PL Spitskool 400g","InventoryWarehouseId":"EP","OnHandQuantity":42813.77,"TotalAvailableQuantity":42721.24,"AvailableOnHandQuantity":42813.77,"InventorySiteId":"VEN","dataAreaId":"hgv","ProductColorId":"","ProductConfigurationId":"","ProductSizeId":"","ProductStyleId":""}</t>
  </si>
  <si>
    <t>{"ItemNumber":"54688","ProductName":"F470 PL Prei Grof 400g P160","InventoryWarehouseId":"EP","OnHandQuantity":11350.7,"TotalAvailableQuantity":11350.7,"AvailableOnHandQuantity":11350.7,"InventorySiteId":"VEN","dataAreaId":"hgv","ProductColorId":"","ProductConfigurationId":"","ProductSizeId":"","ProductStyleId":""}</t>
  </si>
  <si>
    <t>{"ItemNumber":"54689","ProductName":"F350 PL Uien gesn 300gP160","InventoryWarehouseId":"EP","OnHandQuantity":1250,"TotalAvailableQuantity":1250,"AvailableOnHandQuantity":1250,"InventorySiteId":"VEN","dataAreaId":"hgv","ProductColorId":"","ProductConfigurationId":"","ProductSizeId":"","ProductStyleId":""}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</si>
  <si>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{"ItemNumber":"54705","ProductName":"F530 SU Boerenkool 500g HN3FN5 V3\t","InventoryWarehouseId":"EP","OnHandQuantity":400,"TotalAvailableQuantity":400,"AvailableOnHandQuantity":400,"InventorySiteId":"VEN","dataAreaId":"hgv","ProductColorId":"","ProductConfigurationId":"","ProductSizeId":"","ProductStyleId":""}</t>
  </si>
  <si>
    <t>{"ItemNumber":"54714","ProductName":"F470 SU Hutspot 1000g P160 V2","InventoryWarehouseId":"EP","OnHandQuantity":13211.58,"TotalAvailableQuantity":13211.58,"AvailableOnHandQuantity":13211.58,"InventorySiteId":"VEN","dataAreaId":"hgv","ProductColorId":"","ProductConfigurationId":"","ProductSizeId":"","ProductStyleId":""}</t>
  </si>
  <si>
    <t>{"ItemNumber":"54715","ProductName":"F390 SU Hutspot 500g P160 V2","InventoryWarehouseId":"EP","OnHandQuantity":9510.04,"TotalAvailableQuantity":9510.04,"AvailableOnHandQuantity":9510.04,"InventorySiteId":"VEN","dataAreaId":"hgv","ProductColorId":"","ProductConfigurationId":"","ProductSizeId":"","ProductStyleId":""}</t>
  </si>
  <si>
    <t>{"ItemNumber":"54724","ProductName":"SAL SS Salatblanding 300g BE V2","InventoryWarehouseId":"EP","OnHandQuantity":7311,"TotalAvailableQuantity":7311,"AvailableOnHandQuantity":7311,"InventorySiteId":"VEN","dataAreaId":"hgv","ProductColorId":"","ProductConfigurationId":"","ProductSizeId":"","ProductStyleId":""}</t>
  </si>
  <si>
    <t>{"ItemNumber":"54725","ProductName":"NEMT SS Salatblanding 300gBEV3","InventoryWarehouseId":"EP","OnHandQuantity":22166,"TotalAvailableQuantity":22166,"AvailableOnHandQuantity":22166,"InventorySiteId":"VEN","dataAreaId":"hgv","ProductColorId":"","ProductConfigurationId":"","ProductSizeId":"","ProductStyleId":""}</t>
  </si>
  <si>
    <t>{"ItemNumber":"54754","ProductName":"SP LS Noten Couscous 225g OE","InventoryWarehouseId":"EP","OnHandQuantity":19731,"TotalAvailableQuantity":19731,"AvailableOnHandQuantity":19731,"InventorySiteId":"VEN","dataAreaId":"hgv","ProductColorId":"","ProductConfigurationId":"","ProductSizeId":"","ProductStyleId":""}</t>
  </si>
  <si>
    <t>{"ItemNumber":"54761","ProductName":"F350 PLUS Kast Champ 150g P120","InventoryWarehouseId":"EP","OnHandQuantity":34977.69,"TotalAvailableQuantity":34977.69,"AvailableOnHandQuantity":34977.69,"InventorySiteId":"VEN","dataAreaId":"hgv","ProductColorId":"","ProductConfigurationId":"","ProductSizeId":"","ProductStyleId":""}</t>
  </si>
  <si>
    <t>{"ItemNumber":"54869","ProductName":"F530 PL Boerenkool 300g PLP HN3FN5","InventoryWarehouseId":"EP","OnHandQuantity":44791.89,"TotalAvailableQuantity":64791.89,"AvailableOnHandQuantity":44791.89,"InventorySiteId":"VEN","dataAreaId":"hgv","ProductColorId":"","ProductConfigurationId":"","ProductSizeId":"","ProductStyleId":""}</t>
  </si>
  <si>
    <t>{"ItemNumber":"54870","ProductName":"F530 PL Boerenkool 500g","InventoryWarehouseId":"EP","OnHandQuantity":20850,"TotalAvailableQuantity":20850,"AvailableOnHandQuantity":20850,"InventorySiteId":"VEN","dataAreaId":"hgv","ProductColorId":"","ProductConfigurationId":"","ProductSizeId":"","ProductStyleId":""}</t>
  </si>
  <si>
    <t>{"ItemNumber":"54883","ProductName":"Etiket transp.55x55mm","InventoryWarehouseId":"EP","OnHandQuantity":406000,"TotalAvailableQuantity":406000,"AvailableOnHandQuantity":406000,"InventorySiteId":"VEN","dataAreaId":"hgv","ProductColorId":"","ProductConfigurationId":"","ProductSizeId":"","ProductStyleId":""}</t>
  </si>
  <si>
    <t>{"ItemNumber":"54891","ProductName":"F350 PL Champ gesnwit 125g P120","InventoryWarehouseId":"EP","OnHandQuantity":4431.66,"TotalAvailableQuantity":14431.66,"AvailableOnHandQuantity":4431.66,"InventorySiteId":"VEN","dataAreaId":"hgv","ProductColorId":"","ProductConfigurationId":"","ProductSizeId":"","ProductStyleId":""}</t>
  </si>
  <si>
    <t>{"ItemNumber":"54893","ProductName":"F350 PL Champ gesn wit 250g P120","InventoryWarehouseId":"EP","OnHandQuantity":21495,"TotalAvailableQuantity":21495,"AvailableOnHandQuantity":21495,"InventorySiteId":"VEN","dataAreaId":"hgv","ProductColorId":"","ProductConfigurationId":"","ProductSizeId":"","ProductStyleId":""}</t>
  </si>
  <si>
    <t>{"ItemNumber":"54894","ProductName":"F470 PLUS Luxe BabySpin.100g P60","InventoryWarehouseId":"EP","OnHandQuantity":17047.03,"TotalAvailableQuantity":27047.03,"AvailableOnHandQuantity":17047.03,"InventorySiteId":"VEN","dataAreaId":"hgv","ProductColorId":"","ProductConfigurationId":"","ProductSizeId":"","ProductStyleId":""}</t>
  </si>
  <si>
    <t>{"ItemNumber":"54924","ProductName":"FQ OS Spruit met spekjes 400g BE","InventoryWarehouseId":"EP","OnHandQuantity":9600,"TotalAvailableQuantity":9600,"AvailableOnHandQuantity":9600,"InventorySiteId":"VEN","dataAreaId":"hgv","ProductColorId":"","ProductConfigurationId":"","ProductSizeId":"","ProductStyleId":""}</t>
  </si>
  <si>
    <t>{"ItemNumber":"54926","ProductName":"Schaal ALU rect-1020ml -45H","InventoryWarehouseId":"EP","OnHandQuantity":5600,"TotalAvailableQuantity":5600,"AvailableOnHandQuantity":5600,"InventorySiteId":"VEN","dataAreaId":"hgv","ProductColorId":"","ProductConfigurationId":"","ProductSizeId":"","ProductStyleId":""}</t>
  </si>
  <si>
    <t>{"ItemNumber":"54927","ProductName":"Schaal ALU rect-1380ml -60H","InventoryWarehouseId":"EP","OnHandQuantity":0,"TotalAvailableQuantity":0,"AvailableOnHandQuantity":0,"InventorySiteId":"VEN","dataAreaId":"hgv","ProductColorId":"","ProductConfigurationId":"","ProductSizeId":"","ProductStyleId":""}</t>
  </si>
  <si>
    <t>{"ItemNumber":"54989","ProductName":"F620 PL Spinazie 600g P90 V2","InventoryWarehouseId":"EP","OnHandQuantity":1556.78,"TotalAvailableQuantity":1556.78,"AvailableOnHandQuantity":1556.78,"InventorySiteId":"VEN","dataAreaId":"hgv","ProductColorId":"","ProductConfigurationId":"","ProductSizeId":"","ProductStyleId":""}</t>
  </si>
  <si>
    <t>{"ItemNumber":"54999","ProductName":"SP LS Noten Couscous 225g BE","InventoryWarehouseId":"EP","OnHandQuantity":20684,"TotalAvailableQuantity":20684,"AvailableOnHandQuantity":20684,"InventorySiteId":"VEN","dataAreaId":"hgv","ProductColorId":"","ProductConfigurationId":"","ProductSizeId":"","ProductStyleId":""}</t>
  </si>
  <si>
    <t>{"ItemNumber":"55004","ProductName":"F390 PLUS Mac Spag 250gP160","InventoryWarehouseId":"EP","OnHandQuantity":17816,"TotalAvailableQuantity":17816,"AvailableOnHandQuantity":17816,"InventorySiteId":"VEN","dataAreaId":"hgv","ProductColorId":"","ProductConfigurationId":"","ProductSizeId":"","ProductStyleId":""}</t>
  </si>
  <si>
    <t>{"ItemNumber":"55007","ProductName":"F390 PLUS BamiNasi 250gP160","InventoryWarehouseId":"EP","OnHandQuantity":16250,"TotalAvailableQuantity":16250,"AvailableOnHandQuantity":16250,"InventorySiteId":"VEN","dataAreaId":"hgv","ProductColorId":"","ProductConfigurationId":"","ProductSizeId":"","ProductStyleId":""}</t>
  </si>
  <si>
    <t>{"ItemNumber":"55027","ProductName":"MTS schaal 77H","InventoryWarehouseId":"EP","OnHandQuantity":438357,"TotalAvailableQuantity":662952,"AvailableOnHandQuantity":438357,"InventorySiteId":"VEN","dataAreaId":"hgv","ProductColorId":"","ProductConfigurationId":"","ProductSizeId":"","ProductStyleId":""}</t>
  </si>
  <si>
    <t>{"ItemNumber":"55035","ProductName":"JU MTS Falafel Vegan 450g JU OE","InventoryWarehouseId":"EP","OnHandQuantity":15461,"TotalAvailableQuantity":15461,"AvailableOnHandQuantity":15461,"InventorySiteId":"VEN","dataAreaId":"hgv","ProductColorId":"","ProductConfigurationId":"","ProductSizeId":"","ProductStyleId":""}</t>
  </si>
  <si>
    <t>{"ItemNumber":"55079","ProductName":"F350 SAL Brussels Sprouts 200g P60","InventoryWarehouseId":"EP","OnHandQuantity":7500,"TotalAvailableQuantity":7500,"AvailableOnHandQuantity":7500,"InventorySiteId":"VEN","dataAreaId":"hgv","ProductColorId":"","ProductConfigurationId":"","ProductSizeId":"","ProductStyleId":""}</t>
  </si>
  <si>
    <t>{"ItemNumber":"55084","ProductName":"SAL SS Coleslaw 400g BE TCK (9317)","InventoryWarehouseId":"EP","OnHandQuantity":24994,"TotalAvailableQuantity":24994,"AvailableOnHandQuantity":24994,"InventorySiteId":"VEN","dataAreaId":"hgv","ProductColorId":"","ProductConfigurationId":"","ProductSizeId":"","ProductStyleId":""}</t>
  </si>
  <si>
    <t>{"ItemNumber":"55086","ProductName":"SAL SS Coleslaw 400g OE TCK (9317)","InventoryWarehouseId":"EP","OnHandQuantity":32853,"TotalAvailableQuantity":32853,"AvailableOnHandQuantity":32853,"InventorySiteId":"VEN","dataAreaId":"hgv","ProductColorId":"","ProductConfigurationId":"","ProductSizeId":"","ProductStyleId":""}</t>
  </si>
  <si>
    <t>{"ItemNumber":"55088","ProductName":"SAL SS Nordic Colesl350gBE TCK (9315)","InventoryWarehouseId":"EP","OnHandQuantity":25100,"TotalAvailableQuantity":25100,"AvailableOnHandQuantity":25100,"InventorySiteId":"VEN","dataAreaId":"hgv","ProductColorId":"","ProductConfigurationId":"","ProductSizeId":"","ProductStyleId":""}</t>
  </si>
  <si>
    <t>{"ItemNumber":"55089","ProductName":"SAL SS Nordic Colesl350gOE TCK (9315)","InventoryWarehouseId":"EP","OnHandQuantity":18753,"TotalAvailableQuantity":18753,"AvailableOnHandQuantity":18753,"InventorySiteId":"VEN","dataAreaId":"hgv","ProductColorId":"","ProductConfigurationId":"","ProductSizeId":"","ProductStyleId":""}</t>
  </si>
  <si>
    <t>{"ItemNumber":"55093","ProductName":"SAL SS Spicy Colesl350g BE TCK","InventoryWarehouseId":"EP","OnHandQuantity":11000,"TotalAvailableQuantity":11000,"AvailableOnHandQuantity":11000,"InventorySiteId":"VEN","dataAreaId":"hgv","ProductColorId":"","ProductConfigurationId":"","ProductSizeId":"","ProductStyleId":""}</t>
  </si>
  <si>
    <t>{"ItemNumber":"55095","ProductName":"SAL SS Spicy Colesl350g OE TCK","InventoryWarehouseId":"EP","OnHandQuantity":12500,"TotalAvailableQuantity":12500,"AvailableOnHandQuantity":12500,"InventorySiteId":"VEN","dataAreaId":"hgv","ProductColorId":"","ProductConfigurationId":"","ProductSizeId":"","ProductStyleId":""}</t>
  </si>
  <si>
    <t>{"ItemNumber":"55096","ProductName":"NEMT SS Coleslaw 400g BE TCK (9127)","InventoryWarehouseId":"EP","OnHandQuantity":0,"TotalAvailableQuantity":0,"AvailableOnHandQuantity":0,"InventorySiteId":"VEN","dataAreaId":"hgv","ProductColorId":"","ProductConfigurationId":"","ProductSizeId":"","ProductStyleId":""}</t>
  </si>
  <si>
    <t>{"ItemNumber":"55097","ProductName":"NEMT SS Coleslaw 400g OE TCK (9127)","InventoryWarehouseId":"EP","OnHandQuantity":13200,"TotalAvailableQuantity":13200,"AvailableOnHandQuantity":13200,"InventorySiteId":"VEN","dataAreaId":"hgv","ProductColorId":"","ProductConfigurationId":"","ProductSizeId":"","ProductStyleId":""}</t>
  </si>
  <si>
    <t>{"ItemNumber":"55098","ProductName":"NEMT SS NordicColesl350gBE TCK (9129)","InventoryWarehouseId":"EP","OnHandQuantity":0,"TotalAvailableQuantity":0,"AvailableOnHandQuantity":0,"InventorySiteId":"VEN","dataAreaId":"hgv","ProductColorId":"","ProductConfigurationId":"","ProductSizeId":"","ProductStyleId":""}</t>
  </si>
  <si>
    <t>{"ItemNumber":"55099","ProductName":"NEMT SS NordicColesl350gOE TCK (9129)","InventoryWarehouseId":"EP","OnHandQuantity":0,"TotalAvailableQuantity":0,"AvailableOnHandQuantity":0,"InventorySiteId":"VEN","dataAreaId":"hgv","ProductColorId":"","ProductConfigurationId":"","ProductSizeId":"","ProductStyleId":""}</t>
  </si>
  <si>
    <t>{"ItemNumber":"55135","ProductName":"F470 PL Hutspot 1000g P160","InventoryWarehouseId":"EP","OnHandQuantity":27834.69,"TotalAvailableQuantity":27834.69,"AvailableOnHandQuantity":27834.69,"InventorySiteId":"VEN","dataAreaId":"hgv","ProductColorId":"","ProductConfigurationId":"","ProductSizeId":"","ProductStyleId":""}</t>
  </si>
  <si>
    <t>{"ItemNumber":"55136","ProductName":"F390 PL Hutspot 500g P160","InventoryWarehouseId":"EP","OnHandQuantity":68529.18,"TotalAvailableQuantity":68529.18,"AvailableOnHandQuantity":68529.18,"InventorySiteId":"VEN","dataAreaId":"hgv","ProductColorId":"","ProductConfigurationId":"","ProductSizeId":"","ProductStyleId":""}</t>
  </si>
  <si>
    <t>{"ItemNumber":"55142","ProductName":"SAL SS WCheese Apple300gBE TCK (9350)","InventoryWarehouseId":"EP","OnHandQuantity":10412,"TotalAvailableQuantity":10412,"AvailableOnHandQuantity":10412,"InventorySiteId":"VEN","dataAreaId":"hgv","ProductColorId":"","ProductConfigurationId":"","ProductSizeId":"","ProductStyleId":""}</t>
  </si>
  <si>
    <t>{"ItemNumber":"55144","ProductName":"SAL SS WCheese Apple300gOE TCK (9350)","InventoryWarehouseId":"EP","OnHandQuantity":8740,"TotalAvailableQuantity":8740,"AvailableOnHandQuantity":8740,"InventorySiteId":"VEN","dataAreaId":"hgv","ProductColorId":"","ProductConfigurationId":"","ProductSizeId":"","ProductStyleId":""}</t>
  </si>
  <si>
    <t>{"ItemNumber":"55156","ProductName":"SAL SS Point.Cabb 320g BE TCK (9319)","InventoryWarehouseId":"EP","OnHandQuantity":5836,"TotalAvailableQuantity":17836,"AvailableOnHandQuantity":5836,"InventorySiteId":"VEN","dataAreaId":"hgv","ProductColorId":"","ProductConfigurationId":"","ProductSizeId":"","ProductStyleId":""}</t>
  </si>
  <si>
    <t>{"ItemNumber":"55157","ProductName":"SAL SS Point.Cabb 320g OE TCK (9319)","InventoryWarehouseId":"EP","OnHandQuantity":27560,"TotalAvailableQuantity":27560,"AvailableOnHandQuantity":27560,"InventorySiteId":"VEN","dataAreaId":"hgv","ProductColorId":"","ProductConfigurationId":"","ProductSizeId":"","ProductStyleId":""}</t>
  </si>
  <si>
    <t>{"ItemNumber":"55158","ProductName":"MTS Zalm ASC 450g OE V3 Lidl","InventoryWarehouseId":"EP","OnHandQuantity":0,"TotalAvailableQuantity":0,"AvailableOnHandQuantity":0,"InventorySiteId":"VEN","dataAreaId":"hgv","ProductColorId":"","ProductConfigurationId":"","ProductSizeId":"","ProductStyleId":""}</t>
  </si>
  <si>
    <t>{"ItemNumber":"55198","ProductName":"F350 Bloemkoolrijst 300g SAL P120","InventoryWarehouseId":"EP","OnHandQuantity":22161.94,"TotalAvailableQuantity":22161.94,"AvailableOnHandQuantity":22161.94,"InventorySiteId":"VEN","dataAreaId":"hgv","ProductColorId":"","ProductConfigurationId":"","ProductSizeId":"","ProductStyleId":""}</t>
  </si>
  <si>
    <t>{"ItemNumber":"55237","ProductName":"Bijplak PL Feest 2 voor €3 55x55 wik 6","InventoryWarehouseId":"EP","OnHandQuantity":22000,"TotalAvailableQuantity":22000,"AvailableOnHandQuantity":22000,"InventorySiteId":"VEN","dataAreaId":"hgv","ProductColorId":"","ProductConfigurationId":"","ProductSizeId":"","ProductStyleId":""}</t>
  </si>
  <si>
    <t>{"ItemNumber":"55239","ProductName":"MTS Falafel 400g OE V3 CAR","InventoryWarehouseId":"EP","OnHandQuantity":5067,"TotalAvailableQuantity":5067,"AvailableOnHandQuantity":5067,"InventorySiteId":"VEN","dataAreaId":"hgv","ProductColorId":"","ProductConfigurationId":"","ProductSizeId":"","ProductStyleId":""}</t>
  </si>
  <si>
    <t>{"ItemNumber":"55240","ProductName":"MTS Kip Kerrie 400g OE V3 CAR","InventoryWarehouseId":"EP","OnHandQuantity":6673,"TotalAvailableQuantity":24673,"AvailableOnHandQuantity":6673,"InventorySiteId":"VEN","dataAreaId":"hgv","ProductColorId":"","ProductConfigurationId":"","ProductSizeId":"","ProductStyleId":""}</t>
  </si>
  <si>
    <t>{"ItemNumber":"55241","ProductName":"MTS Tomaat Mozzarella 400g OE V3 CAR","InventoryWarehouseId":"EP","OnHandQuantity":16016,"TotalAvailableQuantity":16016,"AvailableOnHandQuantity":16016,"InventorySiteId":"VEN","dataAreaId":"hgv","ProductColorId":"","ProductConfigurationId":"","ProductSizeId":"","ProductStyleId":""}</t>
  </si>
  <si>
    <t>{"ItemNumber":"55242","ProductName":"MTS Scampi 400g OE V2 CAR","InventoryWarehouseId":"EP","OnHandQuantity":30733,"TotalAvailableQuantity":30733,"AvailableOnHandQuantity":30733,"InventorySiteId":"VEN","dataAreaId":"hgv","ProductColorId":"","ProductConfigurationId":"","ProductSizeId":"","ProductStyleId":""}</t>
  </si>
  <si>
    <t>{"ItemNumber":"55243","ProductName":"MTS Zalm 450g OE V2 CAR","InventoryWarehouseId":"EP","OnHandQuantity":16314,"TotalAvailableQuantity":16314,"AvailableOnHandQuantity":16314,"InventorySiteId":"VEN","dataAreaId":"hgv","ProductColorId":"","ProductConfigurationId":"","ProductSizeId":"","ProductStyleId":""}</t>
  </si>
  <si>
    <t>{"ItemNumber":"55244","ProductName":"MTS Ger. Kip Bacon 400g OE V3 CAR","InventoryWarehouseId":"EP","OnHandQuantity":15592,"TotalAvailableQuantity":15592,"AvailableOnHandQuantity":15592,"InventorySiteId":"VEN","dataAreaId":"hgv","ProductColorId":"","ProductConfigurationId":"","ProductSizeId":"","ProductStyleId":""}</t>
  </si>
  <si>
    <t>{"ItemNumber":"55246","ProductName":"F350 PLUS Bloemkrijst 400gP120","InventoryWarehouseId":"EP","OnHandQuantity":15000,"TotalAvailableQuantity":15000,"AvailableOnHandQuantity":15000,"InventorySiteId":"VEN","dataAreaId":"hgv","ProductColorId":"","ProductConfigurationId":"","ProductSizeId":"","ProductStyleId":""}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</si>
  <si>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{"ItemNumber":"55249","ProductName":"F305 PLUS Rwk komkom 150g P120 PLP","InventoryWarehouseId":"EP","OnHandQuantity":21250,"TotalAvailableQuantity":21250,"AvailableOnHandQuantity":21250,"InventorySiteId":"VEN","dataAreaId":"hgv","ProductColorId":"","ProductConfigurationId":"","ProductSizeId":"","ProductStyleId":""}</t>
  </si>
  <si>
    <t>{"ItemNumber":"55250","ProductName":"F305 PL Rwk Radijs 150g P120","InventoryWarehouseId":"EP","OnHandQuantity":15933.18,"TotalAvailableQuantity":15933.18,"AvailableOnHandQuantity":15933.18,"InventorySiteId":"VEN","dataAreaId":"hgv","ProductColorId":"","ProductConfigurationId":"","ProductSizeId":"","ProductStyleId":""}</t>
  </si>
  <si>
    <t>{"ItemNumber":"55251","ProductName":"F350 PL RWK Julienne 300gP120","InventoryWarehouseId":"EP","OnHandQuantity":8750,"TotalAvailableQuantity":8750,"AvailableOnHandQuantity":8750,"InventorySiteId":"VEN","dataAreaId":"hgv","ProductColorId":"","ProductConfigurationId":"","ProductSizeId":"","ProductStyleId":""}</t>
  </si>
  <si>
    <t>{"ItemNumber":"55252","ProductName":"F350 PLUS Rwk WortJul 150gP160","InventoryWarehouseId":"EP","OnHandQuantity":15751.09,"TotalAvailableQuantity":15751.09,"AvailableOnHandQuantity":15751.09,"InventorySiteId":"VEN","dataAreaId":"hgv","ProductColorId":"","ProductConfigurationId":"","ProductSizeId":"","ProductStyleId":""}</t>
  </si>
  <si>
    <t>{"ItemNumber":"55260","ProductName":"F470 PLUS Luxe Eik Mel 100g PLP","InventoryWarehouseId":"EP","OnHandQuantity":14187.57,"TotalAvailableQuantity":14187.57,"AvailableOnHandQuantity":14187.57,"InventorySiteId":"VEN","dataAreaId":"hgv","ProductColorId":"","ProductConfigurationId":"","ProductSizeId":"","ProductStyleId":""}</t>
  </si>
  <si>
    <t>{"ItemNumber":"55261","ProductName":"F530 PL J bladsla veldsla 100g","InventoryWarehouseId":"EP","OnHandQuantity":13875.57,"TotalAvailableQuantity":28875.57,"AvailableOnHandQuantity":13875.57,"InventorySiteId":"VEN","dataAreaId":"hgv","ProductColorId":"","ProductConfigurationId":"","ProductSizeId":"","ProductStyleId":""}</t>
  </si>
  <si>
    <t>{"ItemNumber":"55263","ProductName":"F530 PL J bladsla rucola 100g","InventoryWarehouseId":"EP","OnHandQuantity":68070.84,"TotalAvailableQuantity":68070.84,"AvailableOnHandQuantity":68070.84,"InventorySiteId":"VEN","dataAreaId":"hgv","ProductColorId":"","ProductConfigurationId":"","ProductSizeId":"","ProductStyleId":""}</t>
  </si>
  <si>
    <t>{"ItemNumber":"55264","ProductName":"F530 PLUS Luxe Kropsla Mel100g PLP","InventoryWarehouseId":"EP","OnHandQuantity":8335.12,"TotalAvailableQuantity":28335.12,"AvailableOnHandQuantity":8335.12,"InventorySiteId":"VEN","dataAreaId":"hgv","ProductColorId":"","ProductConfigurationId":"","ProductSizeId":"","ProductStyleId":""}</t>
  </si>
  <si>
    <t>{"ItemNumber":"55265","ProductName":"F470 PL Krulslamelange 100g","InventoryWarehouseId":"EP","OnHandQuantity":10875,"TotalAvailableQuantity":30875,"AvailableOnHandQuantity":10875,"InventorySiteId":"VEN","dataAreaId":"hgv","ProductColorId":"","ProductConfigurationId":"","ProductSizeId":"","ProductStyleId":""}</t>
  </si>
  <si>
    <t>{"ItemNumber":"55267","ProductName":"F470 PLUS Luxe Ruc Mel.150g P0","InventoryWarehouseId":"EP","OnHandQuantity":23030,"TotalAvailableQuantity":23030,"AvailableOnHandQuantity":23030,"InventorySiteId":"VEN","dataAreaId":"hgv","ProductColorId":"","ProductConfigurationId":"","ProductSizeId":"","ProductStyleId":""}</t>
  </si>
  <si>
    <t>{"ItemNumber":"55271","ProductName":"F470 PLUS Luxe Ruc Mel. 75g P0","InventoryWarehouseId":"EP","OnHandQuantity":12074.61,"TotalAvailableQuantity":32074.61,"AvailableOnHandQuantity":12074.61,"InventorySiteId":"VEN","dataAreaId":"hgv","ProductColorId":"","ProductConfigurationId":"","ProductSizeId":"","ProductStyleId":""}</t>
  </si>
  <si>
    <t>{"ItemNumber":"55278","ProductName":"MTS Gegr. Kip Yoghurt 450g OE SAL","InventoryWarehouseId":"EP","OnHandQuantity":9000,"TotalAvailableQuantity":9000,"AvailableOnHandQuantity":9000,"InventorySiteId":"VEN","dataAreaId":"hgv","ProductColorId":"","ProductConfigurationId":"","ProductSizeId":"","ProductStyleId":""}</t>
  </si>
  <si>
    <t>{"ItemNumber":"55279","ProductName":"MTS Caesar Kip 450g OE SAL","InventoryWarehouseId":"EP","OnHandQuantity":12806,"TotalAvailableQuantity":12806,"AvailableOnHandQuantity":12806,"InventorySiteId":"VEN","dataAreaId":"hgv","ProductColorId":"","ProductConfigurationId":"","ProductSizeId":"","ProductStyleId":""}</t>
  </si>
  <si>
    <t>{"ItemNumber":"55280","ProductName":"MTS Kip Couscous 400g OE SAL","InventoryWarehouseId":"EP","OnHandQuantity":4310,"TotalAvailableQuantity":4310,"AvailableOnHandQuantity":4310,"InventorySiteId":"VEN","dataAreaId":"hgv","ProductColorId":"","ProductConfigurationId":"","ProductSizeId":"","ProductStyleId":""}</t>
  </si>
  <si>
    <t>{"ItemNumber":"55281","ProductName":"MTS Kip Honing Mosterd 400g OE SAL","InventoryWarehouseId":"EP","OnHandQuantity":4201,"TotalAvailableQuantity":28201,"AvailableOnHandQuantity":4201,"InventorySiteId":"VEN","dataAreaId":"hgv","ProductColorId":"","ProductConfigurationId":"","ProductSizeId":"","ProductStyleId":""}</t>
  </si>
  <si>
    <t>{"ItemNumber":"55282","ProductName":"MTS Spicy Chicken 400g OE SAL","InventoryWarehouseId":"EP","OnHandQuantity":2960,"TotalAvailableQuantity":2960,"AvailableOnHandQuantity":2960,"InventorySiteId":"VEN","dataAreaId":"hgv","ProductColorId":"","ProductConfigurationId":"","ProductSizeId":"","ProductStyleId":""}</t>
  </si>
  <si>
    <t>{"ItemNumber":"55285","ProductName":"MTS Oosterse Garnaal 400g OE SAL","InventoryWarehouseId":"EP","OnHandQuantity":17313,"TotalAvailableQuantity":17313,"AvailableOnHandQuantity":17313,"InventorySiteId":"VEN","dataAreaId":"hgv","ProductColorId":"","ProductConfigurationId":"","ProductSizeId":"","ProductStyleId":""}</t>
  </si>
  <si>
    <t>{"ItemNumber":"55286","ProductName":"MTS Red Beet Salmon 400g OE SAL","InventoryWarehouseId":"EP","OnHandQuantity":15868,"TotalAvailableQuantity":15868,"AvailableOnHandQuantity":15868,"InventorySiteId":"VEN","dataAreaId":"hgv","ProductColorId":"","ProductConfigurationId":"","ProductSizeId":"","ProductStyleId":""}</t>
  </si>
  <si>
    <t>{"ItemNumber":"55288","ProductName":"MTS Oosterse Garnaal 400g OE NEMT","InventoryWarehouseId":"EP","OnHandQuantity":21892,"TotalAvailableQuantity":21892,"AvailableOnHandQuantity":21892,"InventorySiteId":"VEN","dataAreaId":"hgv","ProductColorId":"","ProductConfigurationId":"","ProductSizeId":"","ProductStyleId":""}</t>
  </si>
  <si>
    <t>{"ItemNumber":"55289","ProductName":"MTS Spicy Chicken 400g OE NEMT","InventoryWarehouseId":"EP","OnHandQuantity":35472,"TotalAvailableQuantity":35472,"AvailableOnHandQuantity":35472,"InventorySiteId":"VEN","dataAreaId":"hgv","ProductColorId":"","ProductConfigurationId":"","ProductSizeId":"","ProductStyleId":""}</t>
  </si>
  <si>
    <t>{"ItemNumber":"55290","ProductName":"MTS Kip Honing Mosterd 400g OE NEMT","InventoryWarehouseId":"EP","OnHandQuantity":5183,"TotalAvailableQuantity":5183,"AvailableOnHandQuantity":5183,"InventorySiteId":"VEN","dataAreaId":"hgv","ProductColorId":"","ProductConfigurationId":"","ProductSizeId":"","ProductStyleId":""}</t>
  </si>
  <si>
    <t>{"ItemNumber":"55291","ProductName":"MTS Kip Couscous 400g OE NEMT","InventoryWarehouseId":"EP","OnHandQuantity":7456,"TotalAvailableQuantity":7456,"AvailableOnHandQuantity":7456,"InventorySiteId":"VEN","dataAreaId":"hgv","ProductColorId":"","ProductConfigurationId":"","ProductSizeId":"","ProductStyleId":""}</t>
  </si>
  <si>
    <t>{"ItemNumber":"55292","ProductName":"MTS Caesar Kip 450g OE NEMT","InventoryWarehouseId":"EP","OnHandQuantity":33814,"TotalAvailableQuantity":33814,"AvailableOnHandQuantity":33814,"InventorySiteId":"VEN","dataAreaId":"hgv","ProductColorId":"","ProductConfigurationId":"","ProductSizeId":"","ProductStyleId":""}</t>
  </si>
  <si>
    <t>{"ItemNumber":"55293","ProductName":"MTS Gegr. Kip Yoghurt 450g OE NEMT","InventoryWarehouseId":"EP","OnHandQuantity":17439,"TotalAvailableQuantity":17439,"AvailableOnHandQuantity":17439,"InventorySiteId":"VEN","dataAreaId":"hgv","ProductColorId":"","ProductConfigurationId":"","ProductSizeId":"","ProductStyleId":""}</t>
  </si>
  <si>
    <t>{"ItemNumber":"55295","ProductName":"F270 MTS Caesar m/kylling 450g VBF SAL","InventoryWarehouseId":"EP","OnHandQuantity":0,"TotalAvailableQuantity":0,"AvailableOnHandQuantity":0,"InventorySiteId":"VEN","dataAreaId":"hgv","ProductColorId":"","ProductConfigurationId":"","ProductSizeId":"","ProductStyleId":""}</t>
  </si>
  <si>
    <t>{"ItemNumber":"55296","ProductName":"F270 MTS Caesar m/kylling 450g VBF NEMT","InventoryWarehouseId":"EP","OnHandQuantity":28466.66,"TotalAvailableQuantity":28466.66,"AvailableOnHandQuantity":28466.66,"InventorySiteId":"VEN","dataAreaId":"hgv","ProductColorId":"","ProductConfigurationId":"","ProductSizeId":"","ProductStyleId":""}</t>
  </si>
  <si>
    <t>{"ItemNumber":"55297","ProductName":"F270 MTS Couscous og kylling 400g VBF NEMT","InventoryWarehouseId":"EP","OnHandQuantity":1591.16,"TotalAvailableQuantity":1591.16,"AvailableOnHandQuantity":1591.16,"InventorySiteId":"VEN","dataAreaId":"hgv","ProductColorId":"","ProductConfigurationId":"","ProductSizeId":"","ProductStyleId":""}</t>
  </si>
  <si>
    <t>{"ItemNumber":"55298","ProductName":"F270 MTS Kylling og Honn-sennepsdress 400g VBF NEMT","InventoryWarehouseId":"EP","OnHandQuantity":5333.74,"TotalAvailableQuantity":5333.74,"AvailableOnHandQuantity":5333.74,"InventorySiteId":"VEN","dataAreaId":"hgv","ProductColorId":"","ProductConfigurationId":"","ProductSizeId":"","ProductStyleId":""}</t>
  </si>
  <si>
    <t>{"ItemNumber":"55299","ProductName":"F270 MTS Spicy kyllinge 400g VBF NEMT","InventoryWarehouseId":"EP","OnHandQuantity":3573.64,"TotalAvailableQuantity":3573.64,"AvailableOnHandQuantity":3573.64,"InventorySiteId":"VEN","dataAreaId":"hgv","ProductColorId":"","ProductConfigurationId":"","ProductSizeId":"","ProductStyleId":""}</t>
  </si>
  <si>
    <t>{"ItemNumber":"55300","ProductName":"F270 MTS Oosterse Garnaal 400g VBF NEMT","InventoryWarehouseId":"EP","OnHandQuantity":4442.06,"TotalAvailableQuantity":4442.06,"AvailableOnHandQuantity":4442.06,"InventorySiteId":"VEN","dataAreaId":"hgv","ProductColorId":"","ProductConfigurationId":"","ProductSizeId":"","ProductStyleId":""}</t>
  </si>
  <si>
    <t>{"ItemNumber":"55301","ProductName":"F270 MTS Couscous og kylling 400g VBF SAL","InventoryWarehouseId":"EP","OnHandQuantity":10022.59,"TotalAvailableQuantity":10022.59,"AvailableOnHandQuantity":10022.59,"InventorySiteId":"VEN","dataAreaId":"hgv","ProductColorId":"","ProductConfigurationId":"","ProductSizeId":"","ProductStyleId":""}</t>
  </si>
  <si>
    <t>{"ItemNumber":"55302","ProductName":"F270 MTS Kylling og Honn-sennepsdress 400g VBF SAL","InventoryWarehouseId":"EP","OnHandQuantity":5968.29,"TotalAvailableQuantity":5968.29,"AvailableOnHandQuantity":5968.29,"InventorySiteId":"VEN","dataAreaId":"hgv","ProductColorId":"","ProductConfigurationId":"","ProductSizeId":"","ProductStyleId":""}</t>
  </si>
  <si>
    <t>{"ItemNumber":"55303","ProductName":"F270 MTS Spicy kyllinge 400g VBF SAL","InventoryWarehouseId":"EP","OnHandQuantity":445.54,"TotalAvailableQuantity":8445.54,"AvailableOnHandQuantity":445.54,"InventorySiteId":"VEN","dataAreaId":"hgv","ProductColorId":"","ProductConfigurationId":"","ProductSizeId":"","ProductStyleId":""}</t>
  </si>
  <si>
    <t>{"ItemNumber":"55305","ProductName":"F270 MTS Oosterse Garnaal 400g VBF SAL","InventoryWarehouseId":"EP","OnHandQuantity":7540.89,"TotalAvailableQuantity":7540.89,"AvailableOnHandQuantity":7540.89,"InventorySiteId":"VEN","dataAreaId":"hgv","ProductColorId":"","ProductConfigurationId":"","ProductSizeId":"","ProductStyleId":""}</t>
  </si>
  <si>
    <t>{"ItemNumber":"55306","ProductName":"F270 MTS Red Beet Salmon 400g VBF SAL","InventoryWarehouseId":"EP","OnHandQuantity":1870.72,"TotalAvailableQuantity":1870.72,"AvailableOnHandQuantity":1870.72,"InventorySiteId":"VEN","dataAreaId":"hgv","ProductColorId":"","ProductConfigurationId":"","ProductSizeId":"","ProductStyleId":""}</t>
  </si>
  <si>
    <t>{"ItemNumber":"55308","ProductName":"F270 MTS Grillet kyll. m/yoghurtdress 450g VBF NEMT","InventoryWarehouseId":"EP","OnHandQuantity":12719.76,"TotalAvailableQuantity":12719.76,"AvailableOnHandQuantity":12719.76,"InventorySiteId":"VEN","dataAreaId":"hgv","ProductColorId":"","ProductConfigurationId":"","ProductSizeId":"","ProductStyleId":""}</t>
  </si>
  <si>
    <t>{"ItemNumber":"55309","ProductName":"F270 MTS Falafel 450g VBF SAL","InventoryWarehouseId":"EP","OnHandQuantity":4000,"TotalAvailableQuantity":4000,"AvailableOnHandQuantity":4000,"InventorySiteId":"VEN","dataAreaId":"hgv","ProductColorId":"","ProductConfigurationId":"","ProductSizeId":"","ProductStyleId":""}</t>
  </si>
  <si>
    <t>{"ItemNumber":"55314","ProductName":"PLUS Courgetspaghetti 400g BE","InventoryWarehouseId":"EP","OnHandQuantity":10000,"TotalAvailableQuantity":10000,"AvailableOnHandQuantity":10000,"InventorySiteId":"VEN","dataAreaId":"hgv","ProductColorId":"","ProductConfigurationId":"","ProductSizeId":"","ProductStyleId":""}</t>
  </si>
  <si>
    <t>{"ItemNumber":"55315","ProductName":"F530 Plus Mesclun sla 130g","InventoryWarehouseId":"EP","OnHandQuantity":53840,"TotalAvailableQuantity":53840,"AvailableOnHandQuantity":53840,"InventorySiteId":"VEN","dataAreaId":"hgv","ProductColorId":"","ProductConfigurationId":"","ProductSizeId":"","ProductStyleId":""}</t>
  </si>
  <si>
    <t>{"ItemNumber":"55316","ProductName":"F270 JU MTS Spek Truffel BLK1* V1* 400g","InventoryWarehouseId":"EP","OnHandQuantity":7915.62,"TotalAvailableQuantity":7915.62,"AvailableOnHandQuantity":7915.62,"InventorySiteId":"VEN","dataAreaId":"hgv","ProductColorId":"","ProductConfigurationId":"","ProductSizeId":"","ProductStyleId":""}</t>
  </si>
  <si>
    <t>{"ItemNumber":"55317","ProductName":"JU MTS Spek Truffel BLK1* V1* 400g OE","InventoryWarehouseId":"EP","OnHandQuantity":3291,"TotalAvailableQuantity":12291,"AvailableOnHandQuantity":3291,"InventorySiteId":"VEN","dataAreaId":"hgv","ProductColorId":"","ProductConfigurationId":"","ProductSizeId":"","ProductStyleId":""}</t>
  </si>
  <si>
    <t>{"ItemNumber":"55318","ProductName":"JU MTS Libanees vega 400g OE","InventoryWarehouseId":"EP","OnHandQuantity":14885,"TotalAvailableQuantity":14885,"AvailableOnHandQuantity":14885,"InventorySiteId":"VEN","dataAreaId":"hgv","ProductColorId":"","ProductConfigurationId":"","ProductSizeId":"","ProductStyleId":""}</t>
  </si>
  <si>
    <t>{"ItemNumber":"55319","ProductName":"VBF F270 JU MTS Libanees vega 400g","InventoryWarehouseId":"EP","OnHandQuantity":6493.89,"TotalAvailableQuantity":6493.89,"AvailableOnHandQuantity":6493.89,"InventorySiteId":"VEN","dataAreaId":"hgv","ProductColorId":"","ProductConfigurationId":"","ProductSizeId":"","ProductStyleId":""}</t>
  </si>
  <si>
    <t>{"ItemNumber":"55323","ProductName":"F220 JU LS Caesar 250g","InventoryWarehouseId":"EP","OnHandQuantity":1365.69,"TotalAvailableQuantity":9365.69,"AvailableOnHandQuantity":1365.69,"InventorySiteId":"VEN","dataAreaId":"hgv","ProductColorId":"","ProductConfigurationId":"","ProductSizeId":"","ProductStyleId":""}</t>
  </si>
  <si>
    <t>{"ItemNumber":"55327","ProductName":"JU LS Caesar 250g OE","InventoryWarehouseId":"EP","OnHandQuantity":43327,"TotalAvailableQuantity":43327,"AvailableOnHandQuantity":43327,"InventorySiteId":"VEN","dataAreaId":"hgv","ProductColorId":"","ProductConfigurationId":"","ProductSizeId":"","ProductStyleId":""}</t>
  </si>
  <si>
    <t>{"ItemNumber":"55331","ProductName":"PLUS Courgetspaghetti 400g OE","InventoryWarehouseId":"EP","OnHandQuantity":14000,"TotalAvailableQuantity":14000,"AvailableOnHandQuantity":14000,"InventorySiteId":"VEN","dataAreaId":"hgv","ProductColorId":"","ProductConfigurationId":"","ProductSizeId":"","ProductStyleId":""}</t>
  </si>
  <si>
    <t>{"ItemNumber":"55332","ProductName":"F220 JU LS Quinoa, geitenkaas, noten vega 250g P30","InventoryWarehouseId":"EP","OnHandQuantity":1602.42,"TotalAvailableQuantity":1602.42,"AvailableOnHandQuantity":1602.42,"InventorySiteId":"VEN","dataAreaId":"hgv","ProductColorId":"","ProductConfigurationId":"","ProductSizeId":"","ProductStyleId":""}</t>
  </si>
  <si>
    <t>{"ItemNumber":"55333","ProductName":"JU LS Quinoa, geitenkaas, noten vega 250g OE","InventoryWarehouseId":"EP","OnHandQuantity":7232,"TotalAvailableQuantity":37232,"AvailableOnHandQuantity":7232,"InventorySiteId":"VEN","dataAreaId":"hgv","ProductColorId":"","ProductConfigurationId":"","ProductSizeId":"","ProductStyleId":""}</t>
  </si>
  <si>
    <t>{"ItemNumber":"55336","ProductName":"F390 PLUS Spruiten 350g P60 PLP","InventoryWarehouseId":"EP","OnHandQuantity":38577.78,"TotalAvailableQuantity":38577.78,"AvailableOnHandQuantity":38577.78,"InventorySiteId":"VEN","dataAreaId":"hgv","ProductColorId":"","ProductConfigurationId":"","ProductSizeId":"","ProductStyleId":""}</t>
  </si>
  <si>
    <t>{"ItemNumber":"55339","ProductName":"F270 JU MTS Marokkaanse kip BL1*K1* 450g P30","InventoryWarehouseId":"EP","OnHandQuantity":7668.62,"TotalAvailableQuantity":7668.62,"AvailableOnHandQuantity":7668.62,"InventorySiteId":"VEN","dataAreaId":"hgv","ProductColorId":"","ProductConfigurationId":"","ProductSizeId":"","ProductStyleId":""}</t>
  </si>
  <si>
    <t>{"ItemNumber":"55340","ProductName":"JU MTS Marokkaanse kip BL1*K1* 450g OE","InventoryWarehouseId":"EP","OnHandQuantity":2411,"TotalAvailableQuantity":2411,"AvailableOnHandQuantity":2411,"InventorySiteId":"VEN","dataAreaId":"hgv","ProductColorId":"","ProductConfigurationId":"","ProductSizeId":"","ProductStyleId":""}</t>
  </si>
  <si>
    <t>{"ItemNumber":"55347","ProductName":"F350 SAL Bl Broc 250g P160 30PA V2","InventoryWarehouseId":"EP","OnHandQuantity":37500,"TotalAvailableQuantity":37500,"AvailableOnHandQuantity":37500,"InventorySiteId":"VEN","dataAreaId":"hgv","ProductColorId":"","ProductConfigurationId":"","ProductSizeId":"","ProductStyleId":""}</t>
  </si>
  <si>
    <t>{"ItemNumber":"55348","ProductName":"PL MTS Kip Pesto BLK1 450g OE V2","InventoryWarehouseId":"EP","OnHandQuantity":3000,"TotalAvailableQuantity":3000,"AvailableOnHandQuantity":3000,"InventorySiteId":"VEN","dataAreaId":"hgv","ProductColorId":"","ProductConfigurationId":"","ProductSizeId":"","ProductStyleId":""}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</si>
  <si>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{"ItemNumber":"55377","ProductName":"JU MTS Oosterse Garnaal ASC 450g OE","InventoryWarehouseId":"EP","OnHandQuantity":12622,"TotalAvailableQuantity":12622,"AvailableOnHandQuantity":12622,"InventorySiteId":"VEN","dataAreaId":"hgv","ProductColorId":"","ProductConfigurationId":"","ProductSizeId":"","ProductStyleId":""}</t>
  </si>
  <si>
    <t>{"ItemNumber":"55378","ProductName":"F270 JU MTS Oosterse Garnaal ASC 450g","InventoryWarehouseId":"EP","OnHandQuantity":5757.14,"TotalAvailableQuantity":5757.14,"AvailableOnHandQuantity":5757.14,"InventorySiteId":"VEN","dataAreaId":"hgv","ProductColorId":"","ProductConfigurationId":"","ProductSizeId":"","ProductStyleId":""}</t>
  </si>
  <si>
    <t>{"ItemNumber":"55389","ProductName":"F620 PL Spinazie 600g P90 PLP V3","InventoryWarehouseId":"EP","OnHandQuantity":428750,"TotalAvailableQuantity":428750,"AvailableOnHandQuantity":428750,"InventorySiteId":"VEN","dataAreaId":"hgv","ProductColorId":"","ProductConfigurationId":"","ProductSizeId":"","ProductStyleId":""}</t>
  </si>
  <si>
    <t>{"ItemNumber":"55390","ProductName":"F350 PL Groentemix 200g P160 PLP","InventoryWarehouseId":"EP","OnHandQuantity":5000,"TotalAvailableQuantity":5000,"AvailableOnHandQuantity":5000,"InventorySiteId":"VEN","dataAreaId":"hgv","ProductColorId":"","ProductConfigurationId":"","ProductSizeId":"","ProductStyleId":""}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</si>
  <si>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{"ItemNumber":"55392","ProductName":"F350 PLUS Spruiten 200g P60 PLP V2","InventoryWarehouseId":"EP","OnHandQuantity":16250,"TotalAvailableQuantity":16250,"AvailableOnHandQuantity":16250,"InventorySiteId":"VEN","dataAreaId":"hgv","ProductColorId":"","ProductConfigurationId":"","ProductSizeId":"","ProductStyleId":""}</t>
  </si>
  <si>
    <t>{"ItemNumber":"55395","ProductName":"BE Bijzonder lekker 75x90","InventoryWarehouseId":"EP","OnHandQuantity":145000,"TotalAvailableQuantity":145000,"AvailableOnHandQuantity":145000,"InventorySiteId":"VEN","dataAreaId":"hgv","ProductColorId":"","ProductConfigurationId":"","ProductSizeId":"","ProductStyleId":""}</t>
  </si>
  <si>
    <t>{"ItemNumber":"55401","ProductName":"Schaal lunch 185x159x61 st","InventoryWarehouseId":"EP","OnHandQuantity":69600,"TotalAvailableQuantity":69528,"AvailableOnHandQuantity":69600,"InventorySiteId":"VEN","dataAreaId":"hgv","ProductColorId":"","ProductConfigurationId":"","ProductSizeId":"","ProductStyleId":""}</t>
  </si>
  <si>
    <t>{"ItemNumber":"55403","ProductName":"JU SS Salade verde 285g OE","InventoryWarehouseId":"EP","OnHandQuantity":15876,"TotalAvailableQuantity":15876,"AvailableOnHandQuantity":15876,"InventorySiteId":"VEN","dataAreaId":"hgv","ProductColorId":"","ProductConfigurationId":"","ProductSizeId":"","ProductStyleId":""}</t>
  </si>
  <si>
    <t>{"ItemNumber":"55404","ProductName":"F220 JU LS Groene Groenten 285g P30","InventoryWarehouseId":"EP","OnHandQuantity":3277.58,"TotalAvailableQuantity":3277.58,"AvailableOnHandQuantity":3277.58,"InventorySiteId":"VEN","dataAreaId":"hgv","ProductColorId":"","ProductConfigurationId":"","ProductSizeId":"","ProductStyleId":""}</t>
  </si>
  <si>
    <t>{"ItemNumber":"55407","ProductName":"F270 JU MTS Geitenkaas vegetarisch 450g P30","InventoryWarehouseId":"EP","OnHandQuantity":14368.92,"TotalAvailableQuantity":14368.92,"AvailableOnHandQuantity":14368.92,"InventorySiteId":"VEN","dataAreaId":"hgv","ProductColorId":"","ProductConfigurationId":"","ProductSizeId":"","ProductStyleId":""}</t>
  </si>
  <si>
    <t>{"ItemNumber":"55408","ProductName":"JU MTS Geitenkaas vegetarisch 450g OE","InventoryWarehouseId":"EP","OnHandQuantity":8293,"TotalAvailableQuantity":8293,"AvailableOnHandQuantity":8293,"InventorySiteId":"VEN","dataAreaId":"hgv","ProductColorId":"","ProductConfigurationId":"","ProductSizeId":"","ProductStyleId":""}</t>
  </si>
  <si>
    <t>{"ItemNumber":"55411","ProductName":"SNS PL Sojabonen 175g Ø75 BE","InventoryWarehouseId":"EP","OnHandQuantity":8000,"TotalAvailableQuantity":8000,"AvailableOnHandQuantity":8000,"InventorySiteId":"VEN","dataAreaId":"hgv","ProductColorId":"","ProductConfigurationId":"","ProductSizeId":"","ProductStyleId":""}</t>
  </si>
  <si>
    <t>{"ItemNumber":"55412","ProductName":"SNS PL Sojabonen 175g Ø65 OE","InventoryWarehouseId":"EP","OnHandQuantity":6685,"TotalAvailableQuantity":6685,"AvailableOnHandQuantity":6685,"InventorySiteId":"VEN","dataAreaId":"hgv","ProductColorId":"","ProductConfigurationId":"","ProductSizeId":"","ProductStyleId":""}</t>
  </si>
  <si>
    <t>{"ItemNumber":"55432","ProductName":"F270 PL MTS Mozzarella komkommer 450g Veggie","InventoryWarehouseId":"EP","OnHandQuantity":6000,"TotalAvailableQuantity":6000,"AvailableOnHandQuantity":6000,"InventorySiteId":"VEN","dataAreaId":"hgv","ProductColorId":"","ProductConfigurationId":"","ProductSizeId":"","ProductStyleId":""}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</si>
  <si>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{"ItemNumber":"55438","ProductName":"F390 PL Spitskool fijn 200g PLP","InventoryWarehouseId":"EP","OnHandQuantity":5186.54,"TotalAvailableQuantity":15186.54,"AvailableOnHandQuantity":5186.54,"InventorySiteId":"VEN","dataAreaId":"hgv","ProductColorId":"","ProductConfigurationId":"","ProductSizeId":"","ProductStyleId":""}</t>
  </si>
  <si>
    <t>{"ItemNumber":"55440","ProductName":"F270 JU MTS Falafel Vegan 450g P30","InventoryWarehouseId":"EP","OnHandQuantity":718.13,"TotalAvailableQuantity":718.13,"AvailableOnHandQuantity":718.13,"InventorySiteId":"VEN","dataAreaId":"hgv","ProductColorId":"","ProductConfigurationId":"","ProductSizeId":"","ProductStyleId":""}</t>
  </si>
  <si>
    <t>{"ItemNumber":"55441","ProductName":"SD Broc. Cauli. Herb dres. 280g BE SG Netto (TCK 9294 label)","InventoryWarehouseId":"EP","OnHandQuantity":0,"TotalAvailableQuantity":0,"AvailableOnHandQuantity":0,"InventorySiteId":"VEN","dataAreaId":"hgv","ProductColorId":"","ProductConfigurationId":"","ProductSizeId":"","ProductStyleId":""}</t>
  </si>
  <si>
    <t>{"ItemNumber":"55442","ProductName":"SD Broc. Cauli. Herb dres. 280g OE SG Netto (TCK 9294 label)","InventoryWarehouseId":"EP","OnHandQuantity":0,"TotalAvailableQuantity":0,"AvailableOnHandQuantity":0,"InventorySiteId":"VEN","dataAreaId":"hgv","ProductColorId":"","ProductConfigurationId":"","ProductSizeId":"","ProductStyleId":""}</t>
  </si>
  <si>
    <t>{"ItemNumber":"55443","ProductName":"SD Broc. Cauli. Herb dres. 280gOE SG Bilka (TCK 9365 label)","InventoryWarehouseId":"EP","OnHandQuantity":0,"TotalAvailableQuantity":0,"AvailableOnHandQuantity":0,"InventorySiteId":"VEN","dataAreaId":"hgv","ProductColorId":"","ProductConfigurationId":"","ProductSizeId":"","ProductStyleId":""}</t>
  </si>
  <si>
    <t>{"ItemNumber":"55444","ProductName":"SD Broc. Cauli. Herb dres. 280gBE SG Bilka (TCK 9365 label)","InventoryWarehouseId":"EP","OnHandQuantity":0,"TotalAvailableQuantity":0,"AvailableOnHandQuantity":0,"InventorySiteId":"VEN","dataAreaId":"hgv","ProductColorId":"","ProductConfigurationId":"","ProductSizeId":"","ProductStyleId":""}</t>
  </si>
  <si>
    <t>{"ItemNumber":"55452","ProductName":"F470 PL Zachte slamelange 75g PLP","InventoryWarehouseId":"EP","OnHandQuantity":4143.78,"TotalAvailableQuantity":9143.78,"AvailableOnHandQuantity":4143.78,"InventorySiteId":"VEN","dataAreaId":"hgv","ProductColorId":"","ProductConfigurationId":"","ProductSizeId":"","ProductStyleId":""}</t>
  </si>
  <si>
    <t>{"ItemNumber":"55453","ProductName":"F470 PL Crispy slamelange waterteelt 75g PLP","InventoryWarehouseId":"EP","OnHandQuantity":5000,"TotalAvailableQuantity":5000,"AvailableOnHandQuantity":5000,"InventorySiteId":"VEN","dataAreaId":"hgv","ProductColorId":"","ProductConfigurationId":"","ProductSizeId":"","ProductStyleId":""}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</si>
  <si>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{"ItemNumber":"55463","ProductName":"F270 JU MTS Caesar 450g","InventoryWarehouseId":"EP","OnHandQuantity":17223.9,"TotalAvailableQuantity":17223.9,"AvailableOnHandQuantity":17223.9,"InventorySiteId":"VEN","dataAreaId":"hgv","ProductColorId":"","ProductConfigurationId":"","ProductSizeId":"","ProductStyleId":""}</t>
  </si>
  <si>
    <t>{"ItemNumber":"55464","ProductName":"JU MTS Caesar 450g OE","InventoryWarehouseId":"EP","OnHandQuantity":68921,"TotalAvailableQuantity":68921,"AvailableOnHandQuantity":68921,"InventorySiteId":"VEN","dataAreaId":"hgv","ProductColorId":"","ProductConfigurationId":"","ProductSizeId":"","ProductStyleId":""}</t>
  </si>
  <si>
    <t>{"ItemNumber":"55471","ProductName":"F270 JU MTS Kip Gyros 400g","InventoryWarehouseId":"EP","OnHandQuantity":7050,"TotalAvailableQuantity":7050,"AvailableOnHandQuantity":7050,"InventorySiteId":"VEN","dataAreaId":"hgv","ProductColorId":"","ProductConfigurationId":"","ProductSizeId":"","ProductStyleId":""}</t>
  </si>
  <si>
    <t>{"ItemNumber":"55472","ProductName":"JU MTS Kip Gyros 400g OE V2","InventoryWarehouseId":"EP","OnHandQuantity":34911,"TotalAvailableQuantity":34911,"AvailableOnHandQuantity":34911,"InventorySiteId":"VEN","dataAreaId":"hgv","ProductColorId":"","ProductConfigurationId":"","ProductSizeId":"","ProductStyleId":""}</t>
  </si>
  <si>
    <t>{"ItemNumber":"55480","ProductName":"PENNY Garten Snacksalat 150g OE","InventoryWarehouseId":"EP","OnHandQuantity":600,"TotalAvailableQuantity":600,"AvailableOnHandQuantity":600,"InventorySiteId":"VEN","dataAreaId":"hgv","ProductColorId":"","ProductConfigurationId":"","ProductSizeId":"","ProductStyleId":""}</t>
  </si>
  <si>
    <t>{"ItemNumber":"55482","ProductName":"PENNY Bauern Snacksalat 150g OE","InventoryWarehouseId":"EP","OnHandQuantity":3000,"TotalAvailableQuantity":3000,"AvailableOnHandQuantity":3000,"InventorySiteId":"VEN","dataAreaId":"hgv","ProductColorId":"","ProductConfigurationId":"","ProductSizeId":"","ProductStyleId":""}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</si>
  <si>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{"ItemNumber":"55483","ProductName":"PENNY Bunter Snacksalat 150g BE","InventoryWarehouseId":"EP","OnHandQuantity":60000,"TotalAvailableQuantity":60000,"AvailableOnHandQuantity":60000,"InventorySiteId":"VEN","dataAreaId":"hgv","ProductColorId":"","ProductConfigurationId":"","ProductSizeId":"","ProductStyleId":""}</t>
  </si>
  <si>
    <t>{"ItemNumber":"55485","ProductName":"NEMT SS Spitskool met pestodressing 300g BE (TCK label)(9295","InventoryWarehouseId":"EP","OnHandQuantity":28723,"TotalAvailableQuantity":27792,"AvailableOnHandQuantity":27792,"InventorySiteId":"VEN","dataAreaId":"hgv","ProductColorId":"","ProductConfigurationId":"","ProductSizeId":"","ProductStyleId":""}</t>
  </si>
  <si>
    <t>{"ItemNumber":"55486","ProductName":"NEMT SS Spitskool met pestodressing 300g OE (TCK label)9295)","InventoryWarehouseId":"EP","OnHandQuantity":24032,"TotalAvailableQuantity":24032,"AvailableOnHandQuantity":24032,"InventorySiteId":"VEN","dataAreaId":"hgv","ProductColorId":"","ProductConfigurationId":"","ProductSizeId":"","ProductStyleId":""}</t>
  </si>
  <si>
    <t>{"ItemNumber":"55491","ProductName":"Schaal ronde pot 90mm H","InventoryWarehouseId":"EP","OnHandQuantity":11340,"TotalAvailableQuantity":11340,"AvailableOnHandQuantity":11340,"InventorySiteId":"VEN","dataAreaId":"hgv","ProductColorId":"","ProductConfigurationId":"","ProductSizeId":"","ProductStyleId":""}</t>
  </si>
  <si>
    <t>{"ItemNumber":"55496","ProductName":"SP LS Oosterse kip 260g BLK1-K1 BE","InventoryWarehouseId":"EP","OnHandQuantity":7921,"TotalAvailableQuantity":7921,"AvailableOnHandQuantity":7921,"InventorySiteId":"VEN","dataAreaId":"hgv","ProductColorId":"","ProductConfigurationId":"","ProductSizeId":"","ProductStyleId":""}</t>
  </si>
  <si>
    <t>{"ItemNumber":"55512","ProductName":"Salade bowl 1L classic","InventoryWarehouseId":"EP","OnHandQuantity":58455,"TotalAvailableQuantity":94455,"AvailableOnHandQuantity":58455,"InventorySiteId":"VEN","dataAreaId":"hgv","ProductColorId":"","ProductConfigurationId":"","ProductSizeId":"","ProductStyleId":""}</t>
  </si>
  <si>
    <t>{"ItemNumber":"55513","ProductName":"Deksel Classic Bowl 1L","InventoryWarehouseId":"EP","OnHandQuantity":60731,"TotalAvailableQuantity":112336,"AvailableOnHandQuantity":60731,"InventorySiteId":"VEN","dataAreaId":"hgv","ProductColorId":"","ProductConfigurationId":"","ProductSizeId":"","ProductStyleId":""}</t>
  </si>
  <si>
    <t>{"ItemNumber":"55515","ProductName":"Salade bowl 1,5l Classic Bowl","InventoryWarehouseId":"EP","OnHandQuantity":23503,"TotalAvailableQuantity":40303,"AvailableOnHandQuantity":23503,"InventorySiteId":"VEN","dataAreaId":"hgv","ProductColorId":"","ProductConfigurationId":"","ProductSizeId":"","ProductStyleId":""}</t>
  </si>
  <si>
    <t>{"ItemNumber":"55516","ProductName":"Deksel Classic Bowl 1,5l","InventoryWarehouseId":"EP","OnHandQuantity":28017,"TotalAvailableQuantity":42017,"AvailableOnHandQuantity":28017,"InventorySiteId":"VEN","dataAreaId":"hgv","ProductColorId":"","ProductConfigurationId":"","ProductSizeId":"","ProductStyleId":""}</t>
  </si>
  <si>
    <t>{"ItemNumber":"55519","ProductName":"MB bunter mix 500g BE Globus - 5124","InventoryWarehouseId":"EP","OnHandQuantity":5816,"TotalAvailableQuantity":5816,"AvailableOnHandQuantity":5816,"InventorySiteId":"VEN","dataAreaId":"hgv","ProductColorId":"","ProductConfigurationId":"","ProductSizeId":"","ProductStyleId":""}</t>
  </si>
  <si>
    <t>{"ItemNumber":"55520","ProductName":"MB barbecue mix 500g BE Globus - 5123","InventoryWarehouseId":"EP","OnHandQuantity":16878,"TotalAvailableQuantity":16878,"AvailableOnHandQuantity":16878,"InventorySiteId":"VEN","dataAreaId":"hgv","ProductColorId":"","ProductConfigurationId":"","ProductSizeId":"","ProductStyleId":""}</t>
  </si>
  <si>
    <t>{"ItemNumber":"55538","ProductName":"JU SNS Quinoa noten 205g 30x80 ZE","InventoryWarehouseId":"EP","OnHandQuantity":25868,"TotalAvailableQuantity":25868,"AvailableOnHandQuantity":25868,"InventorySiteId":"VEN","dataAreaId":"hgv","ProductColorId":"","ProductConfigurationId":"","ProductSizeId":"","ProductStyleId":""}</t>
  </si>
  <si>
    <t>{"ItemNumber":"55539","ProductName":"JU SNS Green power 200g 30x80 ZE","InventoryWarehouseId":"EP","OnHandQuantity":8188,"TotalAvailableQuantity":38188,"AvailableOnHandQuantity":8188,"InventorySiteId":"VEN","dataAreaId":"hgv","ProductColorId":"","ProductConfigurationId":"","ProductSizeId":"","ProductStyleId":""}</t>
  </si>
  <si>
    <t>{"ItemNumber":"55542","ProductName":"JU SNS Quinoa Noten 205g vegan Ø70 OE","InventoryWarehouseId":"EP","OnHandQuantity":8474,"TotalAvailableQuantity":28474,"AvailableOnHandQuantity":8474,"InventorySiteId":"VEN","dataAreaId":"hgv","ProductColorId":"","ProductConfigurationId":"","ProductSizeId":"","ProductStyleId":""}</t>
  </si>
  <si>
    <t>{"ItemNumber":"55543","ProductName":"JU SNS Green power 200g Ø70 OE","InventoryWarehouseId":"EP","OnHandQuantity":4729,"TotalAvailableQuantity":24729,"AvailableOnHandQuantity":4729,"InventorySiteId":"VEN","dataAreaId":"hgv","ProductColorId":"","ProductConfigurationId":"","ProductSizeId":"","ProductStyleId":""}</t>
  </si>
  <si>
    <t>{"ItemNumber":"55546","ProductName":"SB Pokebowl Zalm ASC 350g JU Ø100 BE","InventoryWarehouseId":"EP","OnHandQuantity":22929,"TotalAvailableQuantity":22929,"AvailableOnHandQuantity":22929,"InventorySiteId":"VEN","dataAreaId":"hgv","ProductColorId":"","ProductConfigurationId":"","ProductSizeId":"","ProductStyleId":""}</t>
  </si>
  <si>
    <t>{"ItemNumber":"55547","ProductName":"SB Pokebowl Zalm ASC 350g JU Ø100 OE","InventoryWarehouseId":"EP","OnHandQuantity":21409,"TotalAvailableQuantity":21409,"AvailableOnHandQuantity":21409,"InventorySiteId":"VEN","dataAreaId":"hgv","ProductColorId":"","ProductConfigurationId":"","ProductSizeId":"","ProductStyleId":""}</t>
  </si>
  <si>
    <t>{"ItemNumber":"55555","ProductName":"F470 Wortel julienne 200g Rewe - 2318","InventoryWarehouseId":"EP","OnHandQuantity":53022.27,"TotalAvailableQuantity":113022.27,"AvailableOnHandQuantity":53022.27,"InventorySiteId":"VEN","dataAreaId":"hgv","ProductColorId":"","ProductConfigurationId":"","ProductSizeId":"","ProductStyleId":""}</t>
  </si>
  <si>
    <t>{"ItemNumber":"55556","ProductName":"Veldsla mix 100g BE Globus (TCK label) - 5102","InventoryWarehouseId":"EP","OnHandQuantity":13228,"TotalAvailableQuantity":43096,"AvailableOnHandQuantity":13228,"InventorySiteId":"VEN","dataAreaId":"hgv","ProductColorId":"","ProductConfigurationId":"","ProductSizeId":"","ProductStyleId":""}</t>
  </si>
  <si>
    <t>{"ItemNumber":"55557","ProductName":"Bladsla mix 150g BE Globus (TCK label) - 5103","InventoryWarehouseId":"EP","OnHandQuantity":15048,"TotalAvailableQuantity":45048,"AvailableOnHandQuantity":15048,"InventorySiteId":"VEN","dataAreaId":"hgv","ProductColorId":"","ProductConfigurationId":"","ProductSizeId":"","ProductStyleId":""}</t>
  </si>
  <si>
    <t>{"ItemNumber":"55558","ProductName":"Ijsberslamix 150g BE Globus (TCK label) - 5104","InventoryWarehouseId":"EP","OnHandQuantity":9307,"TotalAvailableQuantity":39307,"AvailableOnHandQuantity":9307,"InventorySiteId":"VEN","dataAreaId":"hgv","ProductColorId":"","ProductConfigurationId":"","ProductSizeId":"","ProductStyleId":""}</t>
  </si>
  <si>
    <t>{"ItemNumber":"55559","ProductName":"Ijsbersla 250g BE Globus (TCK label) - 5105","InventoryWarehouseId":"EP","OnHandQuantity":7672,"TotalAvailableQuantity":7672,"AvailableOnHandQuantity":7672,"InventorySiteId":"VEN","dataAreaId":"hgv","ProductColorId":"","ProductConfigurationId":"","ProductSizeId":"","ProductStyleId":""}</t>
  </si>
  <si>
    <t>{"ItemNumber":"55560","ProductName":"Rode kool 300g BE Globus (TCK label) - 5106","InventoryWarehouseId":"EP","OnHandQuantity":5150,"TotalAvailableQuantity":5150,"AvailableOnHandQuantity":5150,"InventorySiteId":"VEN","dataAreaId":"hgv","ProductColorId":"","ProductConfigurationId":"","ProductSizeId":"","ProductStyleId":""}</t>
  </si>
  <si>
    <t>{"ItemNumber":"55561","ProductName":"Witte kool 300g BE Globus (TCK label) - 5107","InventoryWarehouseId":"EP","OnHandQuantity":16510,"TotalAvailableQuantity":16510,"AvailableOnHandQuantity":16510,"InventorySiteId":"VEN","dataAreaId":"hgv","ProductColorId":"","ProductConfigurationId":"","ProductSizeId":"","ProductStyleId":""}</t>
  </si>
  <si>
    <t>{"ItemNumber":"55562","ProductName":"Wortel julienne 200g BE Globus (TCK label) - 5108","InventoryWarehouseId":"EP","OnHandQuantity":13474,"TotalAvailableQuantity":13474,"AvailableOnHandQuantity":13474,"InventorySiteId":"VEN","dataAreaId":"hgv","ProductColorId":"","ProductConfigurationId":"","ProductSizeId":"","ProductStyleId":""}</t>
  </si>
  <si>
    <t>{"ItemNumber":"55566","ProductName":"JU SB Buddha Falafel 335g Ø100 BE","InventoryWarehouseId":"EP","OnHandQuantity":4897,"TotalAvailableQuantity":4897,"AvailableOnHandQuantity":4897,"InventorySiteId":"VEN","dataAreaId":"hgv","ProductColorId":"","ProductConfigurationId":"","ProductSizeId":"","ProductStyleId":""}</t>
  </si>
  <si>
    <t>{"ItemNumber":"55567","ProductName":"JU SB Buddha Falafel 335g Ø100 OE","InventoryWarehouseId":"EP","OnHandQuantity":2505,"TotalAvailableQuantity":20505,"AvailableOnHandQuantity":2505,"InventorySiteId":"VEN","dataAreaId":"hgv","ProductColorId":"","ProductConfigurationId":"","ProductSizeId":"","ProductStyleId":""}</t>
  </si>
  <si>
    <t>{"ItemNumber":"55571","ProductName":"JU SB Sesame Chicken 330g BLK1 67,5x110mm OE","InventoryWarehouseId":"EP","OnHandQuantity":19908,"TotalAvailableQuantity":19908,"AvailableOnHandQuantity":19908,"InventorySiteId":"VEN","dataAreaId":"hgv","ProductColorId":"","ProductConfigurationId":"","ProductSizeId":"","ProductStyleId":""}</t>
  </si>
  <si>
    <t>{"ItemNumber":"55574","ProductName":"JU SB Arabisch 370g vega La Place 67,5x110 BE","InventoryWarehouseId":"EP","OnHandQuantity":8626,"TotalAvailableQuantity":8626,"AvailableOnHandQuantity":8626,"InventorySiteId":"VEN","dataAreaId":"hgv","ProductColorId":"","ProductConfigurationId":"","ProductSizeId":"","ProductStyleId":""}</t>
  </si>
  <si>
    <t>{"ItemNumber":"55575","ProductName":"JU SB Arabisch 370g vega La Place Ø100 OE","InventoryWarehouseId":"EP","OnHandQuantity":1074,"TotalAvailableQuantity":13074,"AvailableOnHandQuantity":1074,"InventorySiteId":"VEN","dataAreaId":"hgv","ProductColorId":"","ProductConfigurationId":"","ProductSizeId":"","ProductStyleId":""}</t>
  </si>
  <si>
    <t>{"ItemNumber":"55585","ProductName":"741933 FQT Universal Salatbowl 72x300mm","InventoryWarehouseId":"EP","OnHandQuantity":46200,"TotalAvailableQuantity":46200,"AvailableOnHandQuantity":46200,"InventorySiteId":"VEN","dataAreaId":"hgv","ProductColorId":"","ProductConfigurationId":"","ProductSizeId":"","ProductStyleId":""}</t>
  </si>
  <si>
    <t>{"ItemNumber":"55589","ProductName":"F220 JU SS Rauwkost 275g V2","InventoryWarehouseId":"EP","OnHandQuantity":3000,"TotalAvailableQuantity":3000,"AvailableOnHandQuantity":3000,"InventorySiteId":"VEN","dataAreaId":"hgv","ProductColorId":"","ProductConfigurationId":"","ProductSizeId":"","ProductStyleId":""}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</si>
  <si>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{"ItemNumber":"55611","ProductName":"SP Pastasalade pesto 350g Veggie ZE","InventoryWarehouseId":"EP","OnHandQuantity":34524,"TotalAvailableQuantity":34524,"AvailableOnHandQuantity":34524,"InventorySiteId":"VEN","dataAreaId":"hgv","ProductColorId":"","ProductConfigurationId":"","ProductSizeId":"","ProductStyleId":""}</t>
  </si>
  <si>
    <t>{"ItemNumber":"55612","ProductName":"SP Pastasalade pesto 350g Veggie OE","InventoryWarehouseId":"EP","OnHandQuantity":20996,"TotalAvailableQuantity":20996,"AvailableOnHandQuantity":20996,"InventorySiteId":"VEN","dataAreaId":"hgv","ProductColorId":"","ProductConfigurationId":"","ProductSizeId":"","ProductStyleId":""}</t>
  </si>
  <si>
    <t>{"ItemNumber":"55613","ProductName":"SP Pastasalade tonijn 350g MSC ZE","InventoryWarehouseId":"EP","OnHandQuantity":48744,"TotalAvailableQuantity":48744,"AvailableOnHandQuantity":48744,"InventorySiteId":"VEN","dataAreaId":"hgv","ProductColorId":"","ProductConfigurationId":"","ProductSizeId":"","ProductStyleId":""}</t>
  </si>
  <si>
    <t>{"ItemNumber":"55614","ProductName":"SP pastasalade tonijn 350g MSC OE","InventoryWarehouseId":"EP","OnHandQuantity":2024,"TotalAvailableQuantity":2024,"AvailableOnHandQuantity":2024,"InventorySiteId":"VEN","dataAreaId":"hgv","ProductColorId":"","ProductConfigurationId":"","ProductSizeId":"","ProductStyleId":""}</t>
  </si>
  <si>
    <t>{"ItemNumber":"55615","ProductName":"Soepgroenten 250g BE Globus (TCK label) - 5111","InventoryWarehouseId":"EP","OnHandQuantity":7500,"TotalAvailableQuantity":7500,"AvailableOnHandQuantity":7500,"InventorySiteId":"VEN","dataAreaId":"hgv","ProductColorId":"","ProductConfigurationId":"","ProductSizeId":"","ProductStyleId":""}</t>
  </si>
  <si>
    <t>{"ItemNumber":"55616","ProductName":"Wokmix Japans 400g Globus BE - 5109","InventoryWarehouseId":"EP","OnHandQuantity":5159,"TotalAvailableQuantity":5159,"AvailableOnHandQuantity":5159,"InventorySiteId":"VEN","dataAreaId":"hgv","ProductColorId":"","ProductConfigurationId":"","ProductSizeId":"","ProductStyleId":""}</t>
  </si>
  <si>
    <t>{"ItemNumber":"55617","ProductName":"JU SB Sesame Chicken 330g BLK1 67,5x110mm BE","InventoryWarehouseId":"EP","OnHandQuantity":14692,"TotalAvailableQuantity":14692,"AvailableOnHandQuantity":14692,"InventorySiteId":"VEN","dataAreaId":"hgv","ProductColorId":"","ProductConfigurationId":"","ProductSizeId":"","ProductStyleId":""}</t>
  </si>
  <si>
    <t>{"ItemNumber":"55642","ProductName":"F470 SAL Kalsalat P160 30PA","InventoryWarehouseId":"EP","OnHandQuantity":6729.36,"TotalAvailableQuantity":6729.36,"AvailableOnHandQuantity":6729.36,"InventorySiteId":"VEN","dataAreaId":"hgv","ProductColorId":"","ProductConfigurationId":"","ProductSizeId":"","ProductStyleId":""}</t>
  </si>
  <si>
    <t>{"ItemNumber":"55645","ProductName":"F470 SAL XL Basic Salad 500g - 9229","InventoryWarehouseId":"EP","OnHandQuantity":14341.42,"TotalAvailableQuantity":14341.42,"AvailableOnHandQuantity":14341.42,"InventorySiteId":"VEN","dataAreaId":"hgv","ProductColorId":"","ProductConfigurationId":"","ProductSizeId":"","ProductStyleId":""}</t>
  </si>
  <si>
    <t>{"ItemNumber":"55646","ProductName":"F390 Roerbak Italiaans 400g SAL","InventoryWarehouseId":"EP","OnHandQuantity":18406.65,"TotalAvailableQuantity":18406.65,"AvailableOnHandQuantity":18406.65,"InventorySiteId":"VEN","dataAreaId":"hgv","ProductColorId":"","ProductConfigurationId":"","ProductSizeId":"","ProductStyleId":""}</t>
  </si>
  <si>
    <t>{"ItemNumber":"55648","ProductName":"F390 Basis Sla 200g NEMT","InventoryWarehouseId":"EP","OnHandQuantity":11520,"TotalAvailableQuantity":71520,"AvailableOnHandQuantity":11520,"InventorySiteId":"VEN","dataAreaId":"hgv","ProductColorId":"","ProductConfigurationId":"","ProductSizeId":"","ProductStyleId":""}</t>
  </si>
  <si>
    <t>{"ItemNumber":"55649","ProductName":"F390 Roerbak Italiaans 400g NEMT","InventoryWarehouseId":"EP","OnHandQuantity":18610.53,"TotalAvailableQuantity":23610.53,"AvailableOnHandQuantity":18610.53,"InventorySiteId":"VEN","dataAreaId":"hgv","ProductColorId":"","ProductConfigurationId":"","ProductSizeId":"","ProductStyleId":""}</t>
  </si>
  <si>
    <t>{"ItemNumber":"55650","ProductName":"F470 Everyday salad 125g NEMT","InventoryWarehouseId":"EP","OnHandQuantity":32904,"TotalAvailableQuantity":32904,"AvailableOnHandQuantity":32904,"InventorySiteId":"VEN","dataAreaId":"hgv","ProductColorId":"","ProductConfigurationId":"","ProductSizeId":"","ProductStyleId":""}</t>
  </si>
  <si>
    <t>{"ItemNumber":"55651","ProductName":"F470 Everyday salad 125g SAL","InventoryWarehouseId":"EP","OnHandQuantity":18069.6,"TotalAvailableQuantity":18069.6,"AvailableOnHandQuantity":18069.6,"InventorySiteId":"VEN","dataAreaId":"hgv","ProductColorId":"","ProductConfigurationId":"","ProductSizeId":"","ProductStyleId":""}</t>
  </si>
  <si>
    <t>{"ItemNumber":"55652","ProductName":"F530 XL Everyday salad 400g SAL","InventoryWarehouseId":"EP","OnHandQuantity":7256.45,"TotalAvailableQuantity":7256.45,"AvailableOnHandQuantity":7256.45,"InventorySiteId":"VEN","dataAreaId":"hgv","ProductColorId":"","ProductConfigurationId":"","ProductSizeId":"","ProductStyleId":""}</t>
  </si>
  <si>
    <t>{"ItemNumber":"55653","ProductName":"F470 Crispy Salad 200g SAL","InventoryWarehouseId":"EP","OnHandQuantity":9205.08,"TotalAvailableQuantity":9205.08,"AvailableOnHandQuantity":9205.08,"InventorySiteId":"VEN","dataAreaId":"hgv","ProductColorId":"","ProductConfigurationId":"","ProductSizeId":"","ProductStyleId":""}</t>
  </si>
  <si>
    <t>{"ItemNumber":"55661","ProductName":"F390 Basissalat 200g SAL","InventoryWarehouseId":"EP","OnHandQuantity":667.6,"TotalAvailableQuantity":40667.6,"AvailableOnHandQuantity":667.6,"InventorySiteId":"VEN","dataAreaId":"hgv","ProductColorId":"","ProductConfigurationId":"","ProductSizeId":"","ProductStyleId":""}</t>
  </si>
  <si>
    <t>{"ItemNumber":"55662","ProductName":"Rode kool 300g BE Rewe (TCK label) - 2326","InventoryWarehouseId":"EP","OnHandQuantity":55323,"TotalAvailableQuantity":55323,"AvailableOnHandQuantity":55323,"InventorySiteId":"VEN","dataAreaId":"hgv","ProductColorId":"","ProductConfigurationId":"","ProductSizeId":"","ProductStyleId":""}</t>
  </si>
  <si>
    <t>{"ItemNumber":"55663","ProductName":"MTS Tonijn MSC 450g CAR BE","InventoryWarehouseId":"EP","OnHandQuantity":5860,"TotalAvailableQuantity":5860,"AvailableOnHandQuantity":5860,"InventorySiteId":"VEN","dataAreaId":"hgv","ProductColorId":"","ProductConfigurationId":"","ProductSizeId":"","ProductStyleId":""}</t>
  </si>
  <si>
    <t>{"ItemNumber":"55664","ProductName":"MTS Tonijn MSC 450g CAR OE","InventoryWarehouseId":"EP","OnHandQuantity":8075,"TotalAvailableQuantity":8075,"AvailableOnHandQuantity":8075,"InventorySiteId":"VEN","dataAreaId":"hgv","ProductColorId":"","ProductConfigurationId":"","ProductSizeId":"","ProductStyleId":""}</t>
  </si>
  <si>
    <t>{"ItemNumber":"55670","ProductName":"FQ MTS Caesar 450g BL1* K1-EI2-Z3 BE","InventoryWarehouseId":"EP","OnHandQuantity":12000,"TotalAvailableQuantity":12000,"AvailableOnHandQuantity":12000,"InventorySiteId":"VEN","dataAreaId":"hgv","ProductColorId":"","ProductConfigurationId":"","ProductSizeId":"","ProductStyleId":""}</t>
  </si>
  <si>
    <t>{"ItemNumber":"55671","ProductName":"FQ MTS Caesar 450g BL1* K1-EI2-Z3 OE","InventoryWarehouseId":"EP","OnHandQuantity":6000,"TotalAvailableQuantity":6000,"AvailableOnHandQuantity":6000,"InventorySiteId":"VEN","dataAreaId":"hgv","ProductColorId":"","ProductConfigurationId":"","ProductSizeId":"","ProductStyleId":""}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</si>
  <si>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{"ItemNumber":"55672","ProductName":"FQ MTS Gegr. Kip BL1* K1 450g BE","InventoryWarehouseId":"EP","OnHandQuantity":8000,"TotalAvailableQuantity":8000,"AvailableOnHandQuantity":8000,"InventorySiteId":"VEN","dataAreaId":"hgv","ProductColorId":"","ProductConfigurationId":"","ProductSizeId":"","ProductStyleId":""}</t>
  </si>
  <si>
    <t>{"ItemNumber":"55673","ProductName":"FQ MTS Gegr. Kip 450g OE BL1* K1","InventoryWarehouseId":"EP","OnHandQuantity":3000,"TotalAvailableQuantity":3000,"AvailableOnHandQuantity":3000,"InventorySiteId":"VEN","dataAreaId":"hgv","ProductColorId":"","ProductConfigurationId":"","ProductSizeId":"","ProductStyleId":""}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</si>
  <si>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{"ItemNumber":"55686","ProductName":"FQ MTS Zalm 450g ASC BE","InventoryWarehouseId":"EP","OnHandQuantity":4000,"TotalAvailableQuantity":4000,"AvailableOnHandQuantity":4000,"InventorySiteId":"VEN","dataAreaId":"hgv","ProductColorId":"","ProductConfigurationId":"","ProductSizeId":"","ProductStyleId":""}</t>
  </si>
  <si>
    <t>{"ItemNumber":"55687","ProductName":"FQ MTS Zalm 450g ASC OE","InventoryWarehouseId":"EP","OnHandQuantity":2000,"TotalAvailableQuantity":2000,"AvailableOnHandQuantity":2000,"InventorySiteId":"VEN","dataAreaId":"hgv","ProductColorId":"","ProductConfigurationId":"","ProductSizeId":"","ProductStyleId":""}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</si>
  <si>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{"ItemNumber":"55688","ProductName":"FQ SS Caesar 250g Veggie BE","InventoryWarehouseId":"EP","OnHandQuantity":10000,"TotalAvailableQuantity":10000,"AvailableOnHandQuantity":10000,"InventorySiteId":"VEN","dataAreaId":"hgv","ProductColorId":"","ProductConfigurationId":"","ProductSizeId":"","ProductStyleId":""}</t>
  </si>
  <si>
    <t>{"ItemNumber":"55689","ProductName":"FQ SS Caesar 250g Veggie OE","InventoryWarehouseId":"EP","OnHandQuantity":18000,"TotalAvailableQuantity":18000,"AvailableOnHandQuantity":18000,"InventorySiteId":"VEN","dataAreaId":"hgv","ProductColorId":"","ProductConfigurationId":"","ProductSizeId":"","ProductStyleId":""}</t>
  </si>
  <si>
    <t>{"ItemNumber":"55693","ProductName":"FQ SS Italiaanse mix 250g Veggie OE","InventoryWarehouseId":"EP","OnHandQuantity":2000,"TotalAvailableQuantity":2000,"AvailableOnHandQuantity":2000,"InventorySiteId":"VEN","dataAreaId":"hgv","ProductColorId":"","ProductConfigurationId":"","ProductSizeId":"","ProductStyleId":""}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</si>
  <si>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{"ItemNumber":"55695","ProductName":"FQ SS Kip Appel 325 BL1* K1 OE","InventoryWarehouseId":"EP","OnHandQuantity":8000,"TotalAvailableQuantity":8000,"AvailableOnHandQuantity":8000,"InventorySiteId":"VEN","dataAreaId":"hgv","ProductColorId":"","ProductConfigurationId":"","ProductSizeId":"","ProductStyleId":""}</t>
  </si>
  <si>
    <t>{"ItemNumber":"55696","ProductName":"FQ SS Komkommer tomaat 330g Veggie BE","InventoryWarehouseId":"EP","OnHandQuantity":24000,"TotalAvailableQuantity":24000,"AvailableOnHandQuantity":24000,"InventorySiteId":"VEN","dataAreaId":"hgv","ProductColorId":"","ProductConfigurationId":"","ProductSizeId":"","ProductStyleId":""}</t>
  </si>
  <si>
    <t>{"ItemNumber":"55698","ProductName":"FQ SS Rauwkost 275g Veggie BE","InventoryWarehouseId":"EP","OnHandQuantity":12000,"TotalAvailableQuantity":12000,"AvailableOnHandQuantity":12000,"InventorySiteId":"VEN","dataAreaId":"hgv","ProductColorId":"","ProductConfigurationId":"","ProductSizeId":"","ProductStyleId":""}</t>
  </si>
  <si>
    <t>{"ItemNumber":"55699","ProductName":"FQ SS Rauwkost 275g Veggie OE","InventoryWarehouseId":"EP","OnHandQuantity":8000,"TotalAvailableQuantity":8000,"AvailableOnHandQuantity":8000,"InventorySiteId":"VEN","dataAreaId":"hgv","ProductColorId":"","ProductConfigurationId":"","ProductSizeId":"","ProductStyleId":""}</t>
  </si>
  <si>
    <t>{"ItemNumber":"55700","ProductName":"F270 JU MTS Tonijn MSC 450g","InventoryWarehouseId":"EP","OnHandQuantity":3000,"TotalAvailableQuantity":3000,"AvailableOnHandQuantity":3000,"InventorySiteId":"VEN","dataAreaId":"hgv","ProductColorId":"","ProductConfigurationId":"","ProductSizeId":"","ProductStyleId":""}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</si>
  <si>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{"ItemNumber":"55701","ProductName":"FQ SS Boeren 295g BL1* V1-Z3 BE","InventoryWarehouseId":"EP","OnHandQuantity":4000,"TotalAvailableQuantity":4000,"AvailableOnHandQuantity":4000,"InventorySiteId":"VEN","dataAreaId":"hgv","ProductColorId":"","ProductConfigurationId":"","ProductSizeId":"","ProductStyleId":""}</t>
  </si>
  <si>
    <t>{"ItemNumber":"55702","ProductName":"FQ SS Boeren 295g BL1* V1-Z3 OE","InventoryWarehouseId":"EP","OnHandQuantity":9000,"TotalAvailableQuantity":9000,"AvailableOnHandQuantity":9000,"InventorySiteId":"VEN","dataAreaId":"hgv","ProductColorId":"","ProductConfigurationId":"","ProductSizeId":"","ProductStyleId":""}</t>
  </si>
  <si>
    <t>{"ItemNumber":"55705","ProductName":"FQ SS Koolsalade appel 440g Veggie BE","InventoryWarehouseId":"EP","OnHandQuantity":2000,"TotalAvailableQuantity":2000,"AvailableOnHandQuantity":2000,"InventorySiteId":"VEN","dataAreaId":"hgv","ProductColorId":"","ProductConfigurationId":"","ProductSizeId":"","ProductStyleId":""}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</si>
  <si>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{"ItemNumber":"55706","ProductName":"FQ SS Koolsalade appel 440g Veggie OE","InventoryWarehouseId":"EP","OnHandQuantity":6000,"TotalAvailableQuantity":6000,"AvailableOnHandQuantity":6000,"InventorySiteId":"VEN","dataAreaId":"hgv","ProductColorId":"","ProductConfigurationId":"","ProductSizeId":"","ProductStyleId":""}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</si>
  <si>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{"ItemNumber":"55709","ProductName":"F350 SU Tauge 125g PLP P120","InventoryWarehouseId":"EP","OnHandQuantity":31250,"TotalAvailableQuantity":31250,"AvailableOnHandQuantity":31250,"InventorySiteId":"VEN","dataAreaId":"hgv","ProductColorId":"","ProductConfigurationId":"","ProductSizeId":"","ProductStyleId":""}</t>
  </si>
  <si>
    <t>{"ItemNumber":"55710","ProductName":"F390 SU Tauge 200g PLP P120","InventoryWarehouseId":"EP","OnHandQuantity":27027.04,"TotalAvailableQuantity":27025.49,"AvailableOnHandQuantity":27027.04,"InventorySiteId":"VEN","dataAreaId":"hgv","ProductColorId":"","ProductConfigurationId":"","ProductSizeId":"","ProductStyleId":""}</t>
  </si>
  <si>
    <t>{"ItemNumber":"55711","ProductName":"F390 PL Tauge 200g PLP P120","InventoryWarehouseId":"EP","OnHandQuantity":40448.92,"TotalAvailableQuantity":40448.92,"AvailableOnHandQuantity":40448.92,"InventorySiteId":"VEN","dataAreaId":"hgv","ProductColorId":"","ProductConfigurationId":"","ProductSizeId":"","ProductStyleId":""}</t>
  </si>
  <si>
    <t>{"ItemNumber":"55739","ProductName":"F270 PL MTS Oost.Garnaal ASC 450g V2","InventoryWarehouseId":"EP","OnHandQuantity":0,"TotalAvailableQuantity":0,"AvailableOnHandQuantity":0,"InventorySiteId":"VEN","dataAreaId":"hgv","ProductColorId":"","ProductConfigurationId":"","ProductSizeId":"","ProductStyleId":""}</t>
  </si>
  <si>
    <t>{"ItemNumber":"55753","ProductName":"MTS Kip Chili 400g CAR BE","InventoryWarehouseId":"EP","OnHandQuantity":13221,"TotalAvailableQuantity":13221,"AvailableOnHandQuantity":13221,"InventorySiteId":"VEN","dataAreaId":"hgv","ProductColorId":"","ProductConfigurationId":"","ProductSizeId":"","ProductStyleId":""}</t>
  </si>
  <si>
    <t>{"ItemNumber":"55754","ProductName":"MTS Kip Chili 400g CAR OE","InventoryWarehouseId":"EP","OnHandQuantity":11217,"TotalAvailableQuantity":11217,"AvailableOnHandQuantity":11217,"InventorySiteId":"VEN","dataAreaId":"hgv","ProductColorId":"","ProductConfigurationId":"","ProductSizeId":"","ProductStyleId":""}</t>
  </si>
  <si>
    <t>{"ItemNumber":"55758","ProductName":"MTS spicy chicken 400g COL OE","InventoryWarehouseId":"EP","OnHandQuantity":12000,"TotalAvailableQuantity":12000,"AvailableOnHandQuantity":12000,"InventorySiteId":"VEN","dataAreaId":"hgv","ProductColorId":"","ProductConfigurationId":"","ProductSizeId":"","ProductStyleId":""}</t>
  </si>
  <si>
    <t>{"ItemNumber":"55759","ProductName":"Rewe Sojabohnenkerne 200g BE V2","InventoryWarehouseId":"EP","OnHandQuantity":48862,"TotalAvailableQuantity":48862,"AvailableOnHandQuantity":48862,"InventorySiteId":"VEN","dataAreaId":"hgv","ProductColorId":"","ProductConfigurationId":"","ProductSizeId":"","ProductStyleId":""}</t>
  </si>
  <si>
    <t>{"ItemNumber":"55760","ProductName":"Rewe Sojabohnenkerne 200g OE","InventoryWarehouseId":"EP","OnHandQuantity":34918,"TotalAvailableQuantity":34918,"AvailableOnHandQuantity":34918,"InventorySiteId":"VEN","dataAreaId":"hgv","ProductColorId":"","ProductConfigurationId":"","ProductSizeId":"","ProductStyleId":""}</t>
  </si>
  <si>
    <t>{"ItemNumber":"55780","ProductName":"BC_golf Pallet Plaat 80x120","InventoryWarehouseId":"EP","OnHandQuantity":30463,"TotalAvailableQuantity":31663,"AvailableOnHandQuantity":29863,"InventorySiteId":"VEN","dataAreaId":"hgv","ProductColorId":"","ProductConfigurationId":"","ProductSizeId":"","ProductStyleId":""}</t>
  </si>
  <si>
    <t>{"ItemNumber":"55825","ProductName":"F480 Feldsalat Mix 100g V2 Penny","InventoryWarehouseId":"EP","OnHandQuantity":0,"TotalAvailableQuantity":0,"AvailableOnHandQuantity":0,"InventorySiteId":"VEN","dataAreaId":"hgv","ProductColorId":"","ProductConfigurationId":"","ProductSizeId":"","ProductStyleId":""}</t>
  </si>
  <si>
    <t>{"ItemNumber":"55828","ProductName":"F480 Feldsalat Mix 100g Rewe V2","InventoryWarehouseId":"EP","OnHandQuantity":82500,"TotalAvailableQuantity":82500,"AvailableOnHandQuantity":82500,"InventorySiteId":"VEN","dataAreaId":"hgv","ProductColorId":"","ProductConfigurationId":"","ProductSizeId":"","ProductStyleId":""}</t>
  </si>
  <si>
    <t>{"ItemNumber":"55829","ProductName":"F480 Blattsalat Mix 150g Rewe V2","InventoryWarehouseId":"EP","OnHandQuantity":233000,"TotalAvailableQuantity":233000,"AvailableOnHandQuantity":233000,"InventorySiteId":"VEN","dataAreaId":"hgv","ProductColorId":"","ProductConfigurationId":"","ProductSizeId":"","ProductStyleId":""}</t>
  </si>
  <si>
    <t>{"ItemNumber":"55830","ProductName":"FQ Hessing Imprint BE 75x90","InventoryWarehouseId":"EP","OnHandQuantity":77500,"TotalAvailableQuantity":77500,"AvailableOnHandQuantity":77500,"InventorySiteId":"VEN","dataAreaId":"hgv","ProductColorId":"","ProductConfigurationId":"","ProductSizeId":"","ProductStyleId":""}</t>
  </si>
  <si>
    <t>{"ItemNumber":"55831","ProductName":"Dubbele inlegtray MTS 77H","InventoryWarehouseId":"EP","OnHandQuantity":186218,"TotalAvailableQuantity":186218,"AvailableOnHandQuantity":186218,"InventorySiteId":"VEN","dataAreaId":"hgv","ProductColorId":"","ProductConfigurationId":"","ProductSizeId":"","ProductStyleId":""}</t>
  </si>
  <si>
    <t>{"ItemNumber":"55842","ProductName":"HelloFresh Imprint Label 90x75 NL/FR","InventoryWarehouseId":"EP","OnHandQuantity":0,"TotalAvailableQuantity":0,"AvailableOnHandQuantity":0,"InventorySiteId":"VEN","dataAreaId":"hgv","ProductColorId":"","ProductConfigurationId":"","ProductSizeId":"","ProductStyleId":""}</t>
  </si>
  <si>
    <t>{"ItemNumber":"55844","ProductName":"Deksel MTS 77H","InventoryWarehouseId":"EP","OnHandQuantity":160737,"TotalAvailableQuantity":207537,"AvailableOnHandQuantity":160737,"InventorySiteId":"VEN","dataAreaId":"hgv","ProductColorId":"","ProductConfigurationId":"","ProductSizeId":"","ProductStyleId":""}</t>
  </si>
  <si>
    <t>{"ItemNumber":"55848","ProductName":"SP LS Oosterse kip 260g BLK1-K1 OE","InventoryWarehouseId":"EP","OnHandQuantity":0,"TotalAvailableQuantity":12000,"AvailableOnHandQuantity":0,"InventorySiteId":"VEN","dataAreaId":"hgv","ProductColorId":"","ProductConfigurationId":"","ProductSizeId":"","ProductStyleId":""}</t>
  </si>
  <si>
    <t>{"ItemNumber":"55866","ProductName":"F530 Frisee Radicchio 125g SAL","InventoryWarehouseId":"EP","OnHandQuantity":5633.39,"TotalAvailableQuantity":5633.39,"AvailableOnHandQuantity":5633.39,"InventorySiteId":"VEN","dataAreaId":"hgv","ProductColorId":"","ProductConfigurationId":"","ProductSizeId":"","ProductStyleId":""}</t>
  </si>
  <si>
    <t>{"ItemNumber":"55890","ProductName":"PL MTS Kip couscous BL1 K1 450g OE V3","InventoryWarehouseId":"EP","OnHandQuantity":300,"TotalAvailableQuantity":300,"AvailableOnHandQuantity":300,"InventorySiteId":"VEN","dataAreaId":"hgv","ProductColorId":"","ProductConfigurationId":"","ProductSizeId":"","ProductStyleId":""}</t>
  </si>
  <si>
    <t>{"ItemNumber":"55899","ProductName":"SB Pasta 250g FQ C-Label","InventoryWarehouseId":"EP","OnHandQuantity":9691,"TotalAvailableQuantity":9691,"AvailableOnHandQuantity":9691,"InventorySiteId":"VEN","dataAreaId":"hgv","ProductColorId":"","ProductConfigurationId":"","ProductSizeId":"","ProductStyleId":""}</t>
  </si>
  <si>
    <t>{"ItemNumber":"55900","ProductName":"SB Classic 250g FQ C-Label","InventoryWarehouseId":"EP","OnHandQuantity":38674,"TotalAvailableQuantity":38674,"AvailableOnHandQuantity":38674,"InventorySiteId":"VEN","dataAreaId":"hgv","ProductColorId":"","ProductConfigurationId":"","ProductSizeId":"","ProductStyleId":""}</t>
  </si>
  <si>
    <t>{"ItemNumber":"55901","ProductName":"SB Protein 250g FQ C-Label","InventoryWarehouseId":"EP","OnHandQuantity":20175,"TotalAvailableQuantity":20175,"AvailableOnHandQuantity":20175,"InventorySiteId":"VEN","dataAreaId":"hgv","ProductColorId":"","ProductConfigurationId":"","ProductSizeId":"","ProductStyleId":""}</t>
  </si>
  <si>
    <t>{"ItemNumber":"55902","ProductName":"SB White Cheese 250g FQ C-Label","InventoryWarehouseId":"EP","OnHandQuantity":24950,"TotalAvailableQuantity":24950,"AvailableOnHandQuantity":24950,"InventorySiteId":"VEN","dataAreaId":"hgv","ProductColorId":"","ProductConfigurationId":"","ProductSizeId":"","ProductStyleId":""}</t>
  </si>
  <si>
    <t>{"ItemNumber":"55904","ProductName":"MB Mexican Style 400g FQ C-Label","InventoryWarehouseId":"EP","OnHandQuantity":1000,"TotalAvailableQuantity":1000,"AvailableOnHandQuantity":1000,"InventorySiteId":"VEN","dataAreaId":"hgv","ProductColorId":"","ProductConfigurationId":"","ProductSizeId":"","ProductStyleId":""}</t>
  </si>
  <si>
    <t>{"ItemNumber":"55906","ProductName":"MB Mozzarella &amp; Tomato 400g FQ C-Label","InventoryWarehouseId":"EP","OnHandQuantity":1700,"TotalAvailableQuantity":1700,"AvailableOnHandQuantity":1700,"InventorySiteId":"VEN","dataAreaId":"hgv","ProductColorId":"","ProductConfigurationId":"","ProductSizeId":"","ProductStyleId":""}</t>
  </si>
  <si>
    <t>{"ItemNumber":"55908","ProductName":"F270 JU MTS Ger.Kip BL1-K1 450g","InventoryWarehouseId":"EP","OnHandQuantity":11311.53,"TotalAvailableQuantity":11311.53,"AvailableOnHandQuantity":11311.53,"InventorySiteId":"VEN","dataAreaId":"hgv","ProductColorId":"","ProductConfigurationId":"","ProductSizeId":"","ProductStyleId":""}</t>
  </si>
  <si>
    <t>{"ItemNumber":"55909","ProductName":"JU MTS Ger.Kip BL1-K1 450g OE","InventoryWarehouseId":"EP","OnHandQuantity":48371,"TotalAvailableQuantity":48371,"AvailableOnHandQuantity":48371,"InventorySiteId":"VEN","dataAreaId":"hgv","ProductColorId":"","ProductConfigurationId":"","ProductSizeId":"","ProductStyleId":""}</t>
  </si>
  <si>
    <t>{"ItemNumber":"55910","ProductName":"SU OG Zoete aardappel rode paprika 600g BE","InventoryWarehouseId":"EP","OnHandQuantity":6000,"TotalAvailableQuantity":6000,"AvailableOnHandQuantity":6000,"InventorySiteId":"VEN","dataAreaId":"hgv","ProductColorId":"","ProductConfigurationId":"","ProductSizeId":"","ProductStyleId":""}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</si>
  <si>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{"ItemNumber":"55911","ProductName":"SU OG Prei Peen kast champingons 600g BE","InventoryWarehouseId":"EP","OnHandQuantity":7500,"TotalAvailableQuantity":7500,"AvailableOnHandQuantity":7500,"InventorySiteId":"VEN","dataAreaId":"hgv","ProductColorId":"","ProductConfigurationId":"","ProductSizeId":"","ProductStyleId":""}</t>
  </si>
  <si>
    <t>{"ItemNumber":"55920","ProductName":"PL KS Parelcouscous Pesto 200g ZE Veggie","InventoryWarehouseId":"EP","OnHandQuantity":45000,"TotalAvailableQuantity":45000,"AvailableOnHandQuantity":45000,"InventorySiteId":"VEN","dataAreaId":"hgv","ProductColorId":"","ProductConfigurationId":"","ProductSizeId":"","ProductStyleId":""}</t>
  </si>
  <si>
    <t>{"ItemNumber":"55921","ProductName":"PL KS Parelcouscous Pesto 200g Veggie OE","InventoryWarehouseId":"EP","OnHandQuantity":30000,"TotalAvailableQuantity":30000,"AvailableOnHandQuantity":30000,"InventorySiteId":"VEN","dataAreaId":"hgv","ProductColorId":"","ProductConfigurationId":"","ProductSizeId":"","ProductStyleId":""}</t>
  </si>
  <si>
    <t>{"ItemNumber":"55922","ProductName":"F390 PL OG Zoete aardappel, Broccoli, Paprika 600g P160","InventoryWarehouseId":"EP","OnHandQuantity":7050.04,"TotalAvailableQuantity":12050.04,"AvailableOnHandQuantity":7050.04,"InventorySiteId":"VEN","dataAreaId":"hgv","ProductColorId":"","ProductConfigurationId":"","ProductSizeId":"","ProductStyleId":""}</t>
  </si>
  <si>
    <t>{"ItemNumber":"55923","ProductName":"F470 PL OG Prei, peen, kast champignon 600g P160","InventoryWarehouseId":"EP","OnHandQuantity":3750,"TotalAvailableQuantity":8750,"AvailableOnHandQuantity":3750,"InventorySiteId":"VEN","dataAreaId":"hgv","ProductColorId":"","ProductConfigurationId":"","ProductSizeId":"","ProductStyleId":""}</t>
  </si>
  <si>
    <t>{"ItemNumber":"55929","ProductName":"INK BE 161899 tbv Blattsalat Mix 150g 322007","InventoryWarehouseId":"EP","OnHandQuantity":3750,"TotalAvailableQuantity":3750,"AvailableOnHandQuantity":3750,"InventorySiteId":"VEN","dataAreaId":"hgv","ProductColorId":"","ProductConfigurationId":"","ProductSizeId":"","ProductStyleId":""}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</si>
  <si>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{"ItemNumber":"55930","ProductName":"INK BE 161900 tbv Rohkost Mix 200g 322008","InventoryWarehouseId":"EP","OnHandQuantity":15000,"TotalAvailableQuantity":15000,"AvailableOnHandQuantity":15000,"InventorySiteId":"VEN","dataAreaId":"hgv","ProductColorId":"","ProductConfigurationId":"","ProductSizeId":"","ProductStyleId":""}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</si>
  <si>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{"ItemNumber":"55932","ProductName":"INK BE 161898 tbv Feldsalat Mix 100g 322006","InventoryWarehouseId":"EP","OnHandQuantity":5000,"TotalAvailableQuantity":5000,"AvailableOnHandQuantity":5000,"InventorySiteId":"VEN","dataAreaId":"hgv","ProductColorId":"","ProductConfigurationId":"","ProductSizeId":"","ProductStyleId":""}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</si>
  <si>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{"ItemNumber":"55933","ProductName":"INK BE 161897 tbv Eissalat Mix 150g 322005","InventoryWarehouseId":"EP","OnHandQuantity":8750,"TotalAvailableQuantity":8750,"AvailableOnHandQuantity":8750,"InventorySiteId":"VEN","dataAreaId":"hgv","ProductColorId":"","ProductConfigurationId":"","ProductSizeId":"","ProductStyleId":""}</t>
  </si>
  <si>
    <t>{"ItemNumber":"55942","ProductName":"F270 JU MTS Kip Guaca BL1-K1 400g","InventoryWarehouseId":"EP","OnHandQuantity":21920,"TotalAvailableQuantity":21920,"AvailableOnHandQuantity":21920,"InventorySiteId":"VEN","dataAreaId":"hgv","ProductColorId":"","ProductConfigurationId":"","ProductSizeId":"","ProductStyleId":""}</t>
  </si>
  <si>
    <t>{"ItemNumber":"55945","ProductName":"JU SNS Gegrilde groenten 200g Ø70 OE","InventoryWarehouseId":"EP","OnHandQuantity":12500,"TotalAvailableQuantity":12500,"AvailableOnHandQuantity":12500,"InventorySiteId":"VEN","dataAreaId":"hgv","ProductColorId":"","ProductConfigurationId":"","ProductSizeId":"","ProductStyleId":""}</t>
  </si>
  <si>
    <t>{"ItemNumber":"55953","ProductName":"INK KE 160012 tbv Ijsbergsla 250g GLOBUS 321007","InventoryWarehouseId":"EP","OnHandQuantity":1000,"TotalAvailableQuantity":1000,"AvailableOnHandQuantity":1000,"InventorySiteId":"VEN","dataAreaId":"hgv","ProductColorId":"","ProductConfigurationId":"","ProductSizeId":"","ProductStyleId":""}</t>
  </si>
  <si>
    <t>{"ItemNumber":"55961","ProductName":"F530 Frisee Radicchio 125g Nemt","InventoryWarehouseId":"EP","OnHandQuantity":16560.26,"TotalAvailableQuantity":16560.26,"AvailableOnHandQuantity":16560.26,"InventorySiteId":"VEN","dataAreaId":"hgv","ProductColorId":"","ProductConfigurationId":"","ProductSizeId":"","ProductStyleId":""}</t>
  </si>
  <si>
    <t>{"ItemNumber":"55963","ProductName":"F350 Bloemkoolrijst 300g Nemt P120","InventoryWarehouseId":"EP","OnHandQuantity":5577.82,"TotalAvailableQuantity":5577.82,"AvailableOnHandQuantity":5577.82,"InventorySiteId":"VEN","dataAreaId":"hgv","ProductColorId":"","ProductConfigurationId":"","ProductSizeId":"","ProductStyleId":""}</t>
  </si>
  <si>
    <t>{"ItemNumber":"55978","ProductName":"F220 PET/CPP 12/40","InventoryWarehouseId":"EP","OnHandQuantity":9600,"TotalAvailableQuantity":9600,"AvailableOnHandQuantity":9600,"InventorySiteId":"VEN","dataAreaId":"hgv","ProductColorId":"","ProductConfigurationId":"","ProductSizeId":"","ProductStyleId":""}</t>
  </si>
  <si>
    <t>{"ItemNumber":"55985","ProductName":"F390 Eissalat Mix 150g Netto MD","InventoryWarehouseId":"EP","OnHandQuantity":93695.43,"TotalAvailableQuantity":93695.43,"AvailableOnHandQuantity":93695.43,"InventorySiteId":"VEN","dataAreaId":"hgv","ProductColorId":"","ProductConfigurationId":"","ProductSizeId":"","ProductStyleId":""}</t>
  </si>
  <si>
    <t>{"ItemNumber":"55986","ProductName":"F470 Feldsalat Mix 100g P160 Netto MD","InventoryWarehouseId":"EP","OnHandQuantity":256096.37,"TotalAvailableQuantity":256096.37,"AvailableOnHandQuantity":256096.37,"InventorySiteId":"VEN","dataAreaId":"hgv","ProductColorId":"","ProductConfigurationId":"","ProductSizeId":"","ProductStyleId":""}</t>
  </si>
  <si>
    <t>{"ItemNumber":"55987","ProductName":"F470 Blattsalat Mix 150g Netto MD","InventoryWarehouseId":"EP","OnHandQuantity":62907.67,"TotalAvailableQuantity":62907.67,"AvailableOnHandQuantity":62907.67,"InventorySiteId":"VEN","dataAreaId":"hgv","ProductColorId":"","ProductConfigurationId":"","ProductSizeId":"","ProductStyleId":""}</t>
  </si>
  <si>
    <t>{"ItemNumber":"55988","ProductName":"F470 Rohkost Mix 200g P30 Netto MD","InventoryWarehouseId":"EP","OnHandQuantity":68902.81,"TotalAvailableQuantity":68902.81,"AvailableOnHandQuantity":68902.81,"InventorySiteId":"VEN","dataAreaId":"hgv","ProductColorId":"","ProductConfigurationId":"","ProductSizeId":"","ProductStyleId":""}</t>
  </si>
  <si>
    <t>{"ItemNumber":"55993","ProductName":"INK KE 160012 tbv SS Hänchen Senf Dress 300g 322013","InventoryWarehouseId":"EP","OnHandQuantity":1089,"TotalAvailableQuantity":1089,"AvailableOnHandQuantity":1089,"InventorySiteId":"VEN","dataAreaId":"hgv","ProductColorId":"","ProductConfigurationId":"","ProductSizeId":"","ProductStyleId":""}</t>
  </si>
  <si>
    <t>{"ItemNumber":"56011","ProductName":"SP KS Couscous hummus 200g OE","InventoryWarehouseId":"EP","OnHandQuantity":0,"TotalAvailableQuantity":0,"AvailableOnHandQuantity":0,"InventorySiteId":"VEN","dataAreaId":"hgv","ProductColorId":"","ProductConfigurationId":"","ProductSizeId":"","ProductStyleId":""}</t>
  </si>
  <si>
    <t>{"ItemNumber":"56013","ProductName":"F270 SU MTS Walnoot Geitenkaas 450g","InventoryWarehouseId":"EP","OnHandQuantity":0,"TotalAvailableQuantity":0,"AvailableOnHandQuantity":0,"InventorySiteId":"VEN","dataAreaId":"hgv","ProductColorId":"","ProductConfigurationId":"","ProductSizeId":"","ProductStyleId":""}</t>
  </si>
  <si>
    <t>{"ItemNumber":"56016","ProductName":"SU MTS Tomaat Mozzarella amandelstift OE","InventoryWarehouseId":"EP","OnHandQuantity":3000,"TotalAvailableQuantity":3000,"AvailableOnHandQuantity":3000,"InventorySiteId":"VEN","dataAreaId":"hgv","ProductColorId":"","ProductConfigurationId":"","ProductSizeId":"","ProductStyleId":""}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</si>
  <si>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{"ItemNumber":"56018","ProductName":"PL MTS Geitenkaas Walnoot 450 Veggie OE","InventoryWarehouseId":"EP","OnHandQuantity":1500,"TotalAvailableQuantity":1500,"AvailableOnHandQuantity":1500,"InventorySiteId":"VEN","dataAreaId":"hgv","ProductColorId":"","ProductConfigurationId":"","ProductSizeId":"","ProductStyleId":""}</t>
  </si>
  <si>
    <t>{"ItemNumber":"56026","ProductName":"PL KS Quinoa notenmix 200g Vegan OE V2","InventoryWarehouseId":"EP","OnHandQuantity":8865,"TotalAvailableQuantity":8865,"AvailableOnHandQuantity":8865,"InventorySiteId":"VEN","dataAreaId":"hgv","ProductColorId":"","ProductConfigurationId":"","ProductSizeId":"","ProductStyleId":""}</t>
  </si>
  <si>
    <t>{"ItemNumber":"56034","ProductName":"INK BE 161879 tbv Witte Kool 300g 280026","InventoryWarehouseId":"EP","OnHandQuantity":36250,"TotalAvailableQuantity":36250,"AvailableOnHandQuantity":36250,"InventorySiteId":"VEN","dataAreaId":"hgv","ProductColorId":"","ProductConfigurationId":"","ProductSizeId":"","ProductStyleId":""}</t>
  </si>
  <si>
    <t>{"ItemNumber":"56039","ProductName":"INK KE 160012 tbv Witte Kool 300g 321009","InventoryWarehouseId":"EP","OnHandQuantity":50606,"TotalAvailableQuantity":50606,"AvailableOnHandQuantity":50606,"InventorySiteId":"VEN","dataAreaId":"hgv","ProductColorId":"","ProductConfigurationId":"","ProductSizeId":"","ProductStyleId":""}</t>
  </si>
  <si>
    <t>{"ItemNumber":"56040","ProductName":"INK KE 160012 tbv Wortel julienne 200g 321010","InventoryWarehouseId":"EP","OnHandQuantity":15421,"TotalAvailableQuantity":15421,"AvailableOnHandQuantity":15421,"InventorySiteId":"VEN","dataAreaId":"hgv","ProductColorId":"","ProductConfigurationId":"","ProductSizeId":"","ProductStyleId":""}</t>
  </si>
  <si>
    <t>{"ItemNumber":"56042","ProductName":"INK KE 160012 tbv Soepgroenten 250g 321012","InventoryWarehouseId":"EP","OnHandQuantity":7000,"TotalAvailableQuantity":7000,"AvailableOnHandQuantity":7000,"InventorySiteId":"VEN","dataAreaId":"hgv","ProductColorId":"","ProductConfigurationId":"","ProductSizeId":"","ProductStyleId":""}</t>
  </si>
  <si>
    <t>{"ItemNumber":"56051","ProductName":"PL SB Biet pompoen cranberry 375g Veggie BE","InventoryWarehouseId":"EP","OnHandQuantity":10790,"TotalAvailableQuantity":10790,"AvailableOnHandQuantity":10790,"InventorySiteId":"VEN","dataAreaId":"hgv","ProductColorId":"","ProductConfigurationId":"","ProductSizeId":"","ProductStyleId":""}</t>
  </si>
  <si>
    <t>{"ItemNumber":"56052","ProductName":"PL SB Biet pompoen cranberry 375g Veggie OE","InventoryWarehouseId":"EP","OnHandQuantity":12110,"TotalAvailableQuantity":12110,"AvailableOnHandQuantity":12110,"InventorySiteId":"VEN","dataAreaId":"hgv","ProductColorId":"","ProductConfigurationId":"","ProductSizeId":"","ProductStyleId":""}</t>
  </si>
  <si>
    <t>{"ItemNumber":"56060","ProductName":"F270 JU MTS Tonijn MSC 450g","InventoryWarehouseId":"EP","OnHandQuantity":8252.05,"TotalAvailableQuantity":8252.05,"AvailableOnHandQuantity":8252.05,"InventorySiteId":"VEN","dataAreaId":"hgv","ProductColorId":"","ProductConfigurationId":"","ProductSizeId":"","ProductStyleId":""}</t>
  </si>
  <si>
    <t>{"ItemNumber":"56061","ProductName":"JU MTS Tonijn 450g OE","InventoryWarehouseId":"EP","OnHandQuantity":57072,"TotalAvailableQuantity":57072,"AvailableOnHandQuantity":57072,"InventorySiteId":"VEN","dataAreaId":"hgv","ProductColorId":"","ProductConfigurationId":"","ProductSizeId":"","ProductStyleId":""}</t>
  </si>
  <si>
    <t>{"ItemNumber":"56090","ProductName":"F270 PL MTS KipNacho BLK1K1 450g V3","InventoryWarehouseId":"EP","OnHandQuantity":5320,"TotalAvailableQuantity":5320,"AvailableOnHandQuantity":5320,"InventorySiteId":"VEN","dataAreaId":"hgv","ProductColorId":"","ProductConfigurationId":"","ProductSizeId":"","ProductStyleId":""}</t>
  </si>
  <si>
    <t>{"ItemNumber":"56091","ProductName":"F270 PL MTS Kip Pesto 450g BL1*K1 V3","InventoryWarehouseId":"EP","OnHandQuantity":5000,"TotalAvailableQuantity":5000,"AvailableOnHandQuantity":5000,"InventorySiteId":"VEN","dataAreaId":"hgv","ProductColorId":"","ProductConfigurationId":"","ProductSizeId":"","ProductStyleId":""}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</si>
  <si>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{"ItemNumber":"56109","ProductName":"INK KE 160012 tbv Salatschale Schinken &amp; Käse 300g 321018","InventoryWarehouseId":"EP","OnHandQuantity":140000,"TotalAvailableQuantity":140000,"AvailableOnHandQuantity":140000,"InventorySiteId":"VEN","dataAreaId":"hgv","ProductColorId":"","ProductConfigurationId":"","ProductSizeId":"","ProductStyleId":""}</t>
  </si>
  <si>
    <t>{"ItemNumber":"56111","ProductName":"INK KE 160012 tbv SS Hänchensalat mit Senf-Dr 300g 321020","InventoryWarehouseId":"EP","OnHandQuantity":36000,"TotalAvailableQuantity":36000,"AvailableOnHandQuantity":36000,"InventorySiteId":"VEN","dataAreaId":"hgv","ProductColorId":"","ProductConfigurationId":"","ProductSizeId":"","ProductStyleId":""}</t>
  </si>
  <si>
    <t>{"ItemNumber":"56114","ProductName":"F305 FQ RWK Pittig 150g P160","InventoryWarehouseId":"EP","OnHandQuantity":21250,"TotalAvailableQuantity":21250,"AvailableOnHandQuantity":21250,"InventorySiteId":"VEN","dataAreaId":"hgv","ProductColorId":"","ProductConfigurationId":"","ProductSizeId":"","ProductStyleId":""}</t>
  </si>
  <si>
    <t>{"ItemNumber":"56115","ProductName":"F305 FQ Komkommer 150g P120","InventoryWarehouseId":"EP","OnHandQuantity":15250,"TotalAvailableQuantity":15250,"AvailableOnHandQuantity":15250,"InventorySiteId":"VEN","dataAreaId":"hgv","ProductColorId":"","ProductConfigurationId":"","ProductSizeId":"","ProductStyleId":""}</t>
  </si>
  <si>
    <t>{"ItemNumber":"56120","ProductName":"INK BE 160029 tbv Salatschale Schinken &amp; Käse 300g 321018","InventoryWarehouseId":"EP","OnHandQuantity":15000,"TotalAvailableQuantity":15000,"AvailableOnHandQuantity":15000,"InventorySiteId":"VEN","dataAreaId":"hgv","ProductColorId":"","ProductConfigurationId":"","ProductSizeId":"","ProductStyleId":""}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</si>
  <si>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{"ItemNumber":"56121","ProductName":"INK OE 160049 tbv Salatschale Schinken &amp; Käse 300g 321018","InventoryWarehouseId":"EP","OnHandQuantity":1250,"TotalAvailableQuantity":1250,"AvailableOnHandQuantity":1250,"InventorySiteId":"VEN","dataAreaId":"hgv","ProductColorId":"","ProductConfigurationId":"","ProductSizeId":"","ProductStyleId":""}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</si>
  <si>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{"ItemNumber":"56122","ProductName":"INK BE 160029 tbv Salatschale Caesar 300g 321019","InventoryWarehouseId":"EP","OnHandQuantity":8750,"TotalAvailableQuantity":8750,"AvailableOnHandQuantity":8750,"InventorySiteId":"VEN","dataAreaId":"hgv","ProductColorId":"","ProductConfigurationId":"","ProductSizeId":"","ProductStyleId":""}</t>
  </si>
  <si>
    <t>{"ItemNumber":"56123","ProductName":"INK OE 160049 tbv Salatschale Caesar 300g 321019","InventoryWarehouseId":"EP","OnHandQuantity":6250,"TotalAvailableQuantity":6250,"AvailableOnHandQuantity":6250,"InventorySiteId":"VEN","dataAreaId":"hgv","ProductColorId":"","ProductConfigurationId":"","ProductSizeId":"","ProductStyleId":""}</t>
  </si>
  <si>
    <t>{"ItemNumber":"56124","ProductName":"INK BE 160029 tbv Salat Hänchen SenfSenf-Dress 4*300g 321020","InventoryWarehouseId":"EP","OnHandQuantity":11250,"TotalAvailableQuantity":11250,"AvailableOnHandQuantity":11250,"InventorySiteId":"VEN","dataAreaId":"hgv","ProductColorId":"","ProductConfigurationId":"","ProductSizeId":"","ProductStyleId":""}</t>
  </si>
  <si>
    <t>{"ItemNumber":"56128","ProductName":"F270 MTS Caesar 400g Colr","InventoryWarehouseId":"EP","OnHandQuantity":3074.8,"TotalAvailableQuantity":3074.8,"AvailableOnHandQuantity":3074.8,"InventorySiteId":"VEN","dataAreaId":"hgv","ProductColorId":"","ProductConfigurationId":"","ProductSizeId":"","ProductStyleId":""}</t>
  </si>
  <si>
    <t>{"ItemNumber":"56129","ProductName":"MTS Caesar 400g Colr. OE","InventoryWarehouseId":"EP","OnHandQuantity":45000,"TotalAvailableQuantity":45000,"AvailableOnHandQuantity":45000,"InventorySiteId":"VEN","dataAreaId":"hgv","ProductColorId":"","ProductConfigurationId":"","ProductSizeId":"","ProductStyleId":""}</t>
  </si>
  <si>
    <t>{"ItemNumber":"56130","ProductName":"F270 MTS Kip CL 400g Colr","InventoryWarehouseId":"EP","OnHandQuantity":5800,"TotalAvailableQuantity":5800,"AvailableOnHandQuantity":5800,"InventorySiteId":"VEN","dataAreaId":"hgv","ProductColorId":"","ProductConfigurationId":"","ProductSizeId":"","ProductStyleId":""}</t>
  </si>
  <si>
    <t>{"ItemNumber":"56131","ProductName":"MTS Kip CL 400g Colr OE","InventoryWarehouseId":"EP","OnHandQuantity":42000,"TotalAvailableQuantity":42000,"AvailableOnHandQuantity":42000,"InventorySiteId":"VEN","dataAreaId":"hgv","ProductColorId":"","ProductConfigurationId":"","ProductSizeId":"","ProductStyleId":""}</t>
  </si>
  <si>
    <t>{"ItemNumber":"56132","ProductName":"F270 MTS Tonijn 400g Colr","InventoryWarehouseId":"EP","OnHandQuantity":6000,"TotalAvailableQuantity":6000,"AvailableOnHandQuantity":6000,"InventorySiteId":"VEN","dataAreaId":"hgv","ProductColorId":"","ProductConfigurationId":"","ProductSizeId":"","ProductStyleId":""}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</si>
  <si>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{"ItemNumber":"56133","ProductName":"MTS Tonijn 400g Colr OE","InventoryWarehouseId":"EP","OnHandQuantity":15000,"TotalAvailableQuantity":15000,"AvailableOnHandQuantity":15000,"InventorySiteId":"VEN","dataAreaId":"hgv","ProductColorId":"","ProductConfigurationId":"","ProductSizeId":"","ProductStyleId":""}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</si>
  <si>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{"ItemNumber":"56135","ProductName":"MTS Geitenkaas 400g Colr OE","InventoryWarehouseId":"EP","OnHandQuantity":30000,"TotalAvailableQuantity":30000,"AvailableOnHandQuantity":30000,"InventorySiteId":"VEN","dataAreaId":"hgv","ProductColorId":"","ProductConfigurationId":"","ProductSizeId":"","ProductStyleId":""}</t>
  </si>
  <si>
    <t>{"ItemNumber":"56143","ProductName":"F350 JU Sperzieb Gesn 200g P120","InventoryWarehouseId":"EP","OnHandQuantity":30815.69,"TotalAvailableQuantity":30815.69,"AvailableOnHandQuantity":30815.69,"InventorySiteId":"VEN","dataAreaId":"hgv","ProductColorId":"","ProductConfigurationId":"","ProductSizeId":"","ProductStyleId":""}</t>
  </si>
  <si>
    <t>{"ItemNumber":"56144","ProductName":"F350 JU Snijboon 200g P120","InventoryWarehouseId":"EP","OnHandQuantity":21281.79,"TotalAvailableQuantity":21281.79,"AvailableOnHandQuantity":21281.79,"InventorySiteId":"VEN","dataAreaId":"hgv","ProductColorId":"","ProductConfigurationId":"","ProductSizeId":"","ProductStyleId":""}</t>
  </si>
  <si>
    <t>{"ItemNumber":"56145","ProductName":"F350 JU Snijboon 400g P160","InventoryWarehouseId":"EP","OnHandQuantity":33794.56,"TotalAvailableQuantity":33794.56,"AvailableOnHandQuantity":33794.56,"InventorySiteId":"VEN","dataAreaId":"hgv","ProductColorId":"","ProductConfigurationId":"","ProductSizeId":"","ProductStyleId":""}</t>
  </si>
  <si>
    <t>{"ItemNumber":"56146","ProductName":"F390 JU Sperziebonen 400g P160","InventoryWarehouseId":"EP","OnHandQuantity":37245.78,"TotalAvailableQuantity":37245.78,"AvailableOnHandQuantity":37245.78,"InventorySiteId":"VEN","dataAreaId":"hgv","ProductColorId":"","ProductConfigurationId":"","ProductSizeId":"","ProductStyleId":""}</t>
  </si>
  <si>
    <t>{"ItemNumber":"56147","ProductName":"F390 JU Sperziebonen 600g P120","InventoryWarehouseId":"EP","OnHandQuantity":22230.1,"TotalAvailableQuantity":22230.1,"AvailableOnHandQuantity":22230.1,"InventorySiteId":"VEN","dataAreaId":"hgv","ProductColorId":"","ProductConfigurationId":"","ProductSizeId":"","ProductStyleId":""}</t>
  </si>
  <si>
    <t>{"ItemNumber":"56149","ProductName":"F530 JU Spinazie 200gP60","InventoryWarehouseId":"EP","OnHandQuantity":53713.04,"TotalAvailableQuantity":53713.04,"AvailableOnHandQuantity":53713.04,"InventorySiteId":"VEN","dataAreaId":"hgv","ProductColorId":"","ProductConfigurationId":"","ProductSizeId":"","ProductStyleId":""}</t>
  </si>
  <si>
    <t>{"ItemNumber":"56150","ProductName":"F620 JU Spinazie 400gP60","InventoryWarehouseId":"EP","OnHandQuantity":93057.89,"TotalAvailableQuantity":93057.89,"AvailableOnHandQuantity":93057.89,"InventorySiteId":"VEN","dataAreaId":"hgv","ProductColorId":"","ProductConfigurationId":"","ProductSizeId":"","ProductStyleId":""}</t>
  </si>
  <si>
    <t>{"ItemNumber":"56151","ProductName":"F670 JU Spinazie 600gP60","InventoryWarehouseId":"EP","OnHandQuantity":23724.8,"TotalAvailableQuantity":23724.8,"AvailableOnHandQuantity":23724.8,"InventorySiteId":"VEN","dataAreaId":"hgv","ProductColorId":"","ProductConfigurationId":"","ProductSizeId":"","ProductStyleId":""}</t>
  </si>
  <si>
    <t>{"ItemNumber":"56152","ProductName":"F470 JU Prei 400gP160","InventoryWarehouseId":"EP","OnHandQuantity":16865.43,"TotalAvailableQuantity":16865.43,"AvailableOnHandQuantity":16865.43,"InventorySiteId":"VEN","dataAreaId":"hgv","ProductColorId":"","ProductConfigurationId":"","ProductSizeId":"","ProductStyleId":""}</t>
  </si>
  <si>
    <t>{"ItemNumber":"56155","ProductName":"F470 JU Bloemkool roosjes 400g P160","InventoryWarehouseId":"EP","OnHandQuantity":18536.64,"TotalAvailableQuantity":18536.64,"AvailableOnHandQuantity":18536.64,"InventorySiteId":"VEN","dataAreaId":"hgv","ProductColorId":"","ProductConfigurationId":"","ProductSizeId":"","ProductStyleId":""}</t>
  </si>
  <si>
    <t>{"ItemNumber":"56156","ProductName":"F350 JU Bloemkoolroos 200g P120","InventoryWarehouseId":"EP","OnHandQuantity":13858.22,"TotalAvailableQuantity":13858.22,"AvailableOnHandQuantity":13858.22,"InventorySiteId":"VEN","dataAreaId":"hgv","ProductColorId":"","ProductConfigurationId":"","ProductSizeId":"","ProductStyleId":""}</t>
  </si>
  <si>
    <t>{"ItemNumber":"56157","ProductName":"F470 JU Broccoli roos 400g P160","InventoryWarehouseId":"EP","OnHandQuantity":27172,"TotalAvailableQuantity":27172,"AvailableOnHandQuantity":27172,"InventorySiteId":"VEN","dataAreaId":"hgv","ProductColorId":"","ProductConfigurationId":"","ProductSizeId":"","ProductStyleId":""}</t>
  </si>
  <si>
    <t>{"ItemNumber":"56158","ProductName":"F350 JU Broccoli roos 200g P120","InventoryWarehouseId":"EP","OnHandQuantity":1211.74,"TotalAvailableQuantity":11211.74,"AvailableOnHandQuantity":1211.74,"InventorySiteId":"VEN","dataAreaId":"hgv","ProductColorId":"","ProductConfigurationId":"","ProductSizeId":"","ProductStyleId":""}</t>
  </si>
  <si>
    <t>{"ItemNumber":"56160","ProductName":"F470 JU Spitskool 400g P0","InventoryWarehouseId":"EP","OnHandQuantity":29773.04,"TotalAvailableQuantity":29773.04,"AvailableOnHandQuantity":29773.04,"InventorySiteId":"VEN","dataAreaId":"hgv","ProductColorId":"","ProductConfigurationId":"","ProductSizeId":"","ProductStyleId":""}</t>
  </si>
  <si>
    <t>{"ItemNumber":"56163","ProductName":"JU Noodetiket BE 75x90 2023","InventoryWarehouseId":"EP","OnHandQuantity":107250,"TotalAvailableQuantity":107250,"AvailableOnHandQuantity":107250,"InventorySiteId":"VEN","dataAreaId":"hgv","ProductColorId":"","ProductConfigurationId":"","ProductSizeId":"","ProductStyleId":""}</t>
  </si>
  <si>
    <t>{"ItemNumber":"56164","ProductName":"SS Santa Fe 300g OE SAL","InventoryWarehouseId":"EP","OnHandQuantity":14790,"TotalAvailableQuantity":14790,"AvailableOnHandQuantity":14790,"InventorySiteId":"VEN","dataAreaId":"hgv","ProductColorId":"","ProductConfigurationId":"","ProductSizeId":"","ProductStyleId":""}</t>
  </si>
  <si>
    <t>{"ItemNumber":"56165","ProductName":"SS Santa Fe 300g OE NEMT","InventoryWarehouseId":"EP","OnHandQuantity":800,"TotalAvailableQuantity":800,"AvailableOnHandQuantity":800,"InventorySiteId":"VEN","dataAreaId":"hgv","ProductColorId":"","ProductConfigurationId":"","ProductSizeId":"","ProductStyleId":""}</t>
  </si>
  <si>
    <t>{"ItemNumber":"56167","ProductName":"JU MTS Kip Guaca BL1-K1 400g OE V2","InventoryWarehouseId":"EP","OnHandQuantity":44835,"TotalAvailableQuantity":44835,"AvailableOnHandQuantity":44835,"InventorySiteId":"VEN","dataAreaId":"hgv","ProductColorId":"","ProductConfigurationId":"","ProductSizeId":"","ProductStyleId":""}</t>
  </si>
  <si>
    <t>{"ItemNumber":"56168","ProductName":"F390 JU Zoet Aard Friet 400g P160","InventoryWarehouseId":"EP","OnHandQuantity":10009.02,"TotalAvailableQuantity":9759.04,"AvailableOnHandQuantity":10009.02,"InventorySiteId":"VEN","dataAreaId":"hgv","ProductColorId":"","ProductConfigurationId":"","ProductSizeId":"","ProductStyleId":""}</t>
  </si>
  <si>
    <t>{"ItemNumber":"56169","ProductName":"F470 JU Groentemix 400gP160","InventoryWarehouseId":"EP","OnHandQuantity":16839.58,"TotalAvailableQuantity":16839.58,"AvailableOnHandQuantity":16839.58,"InventorySiteId":"VEN","dataAreaId":"hgv","ProductColorId":"","ProductConfigurationId":"","ProductSizeId":"","ProductStyleId":""}</t>
  </si>
  <si>
    <t>{"ItemNumber":"56170","ProductName":"F240 JU Bieten gesch.350g P120","InventoryWarehouseId":"EP","OnHandQuantity":2500,"TotalAvailableQuantity":2500,"AvailableOnHandQuantity":2500,"InventorySiteId":"VEN","dataAreaId":"hgv","ProductColorId":"","ProductConfigurationId":"","ProductSizeId":"","ProductStyleId":""}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</si>
  <si>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{"ItemNumber":"56171","ProductName":"F470 JU Bloem/Brocc 400g P160","InventoryWarehouseId":"EP","OnHandQuantity":27578.54,"TotalAvailableQuantity":27578.54,"AvailableOnHandQuantity":27578.54,"InventorySiteId":"VEN","dataAreaId":"hgv","ProductColorId":"","ProductConfigurationId":"","ProductSizeId":"","ProductStyleId":""}</t>
  </si>
  <si>
    <t>{"ItemNumber":"56172","ProductName":"F390 JU Pompoenblokjes 400g P160","InventoryWarehouseId":"EP","OnHandQuantity":9780,"TotalAvailableQuantity":9780,"AvailableOnHandQuantity":9780,"InventorySiteId":"VEN","dataAreaId":"hgv","ProductColorId":"","ProductConfigurationId":"","ProductSizeId":"","ProductStyleId":""}</t>
  </si>
  <si>
    <t>{"ItemNumber":"56173","ProductName":"F390 JU Spruiten 350gP60","InventoryWarehouseId":"EP","OnHandQuantity":59244.97,"TotalAvailableQuantity":59244.97,"AvailableOnHandQuantity":59244.97,"InventorySiteId":"VEN","dataAreaId":"hgv","ProductColorId":"","ProductConfigurationId":"","ProductSizeId":"","ProductStyleId":""}</t>
  </si>
  <si>
    <t>{"ItemNumber":"56174","ProductName":"F390 JU Zoete Aardappel 400g P90","InventoryWarehouseId":"EP","OnHandQuantity":1781.3,"TotalAvailableQuantity":1781.3,"AvailableOnHandQuantity":1781.3,"InventorySiteId":"VEN","dataAreaId":"hgv","ProductColorId":"","ProductConfigurationId":"","ProductSizeId":"","ProductStyleId":""}</t>
  </si>
  <si>
    <t>{"ItemNumber":"56175","ProductName":"F390 JU OG PaprChamp 600g P120","InventoryWarehouseId":"EP","OnHandQuantity":29725.42,"TotalAvailableQuantity":29725.42,"AvailableOnHandQuantity":29725.42,"InventorySiteId":"VEN","dataAreaId":"hgv","ProductColorId":"","ProductConfigurationId":"","ProductSizeId":"","ProductStyleId":""}</t>
  </si>
  <si>
    <t>{"ItemNumber":"56176","ProductName":"F390 JU Mosselgroenten 400g P160","InventoryWarehouseId":"EP","OnHandQuantity":13245.8,"TotalAvailableQuantity":13245.8,"AvailableOnHandQuantity":13245.8,"InventorySiteId":"VEN","dataAreaId":"hgv","ProductColorId":"","ProductConfigurationId":"","ProductSizeId":"","ProductStyleId":""}</t>
  </si>
  <si>
    <t>{"ItemNumber":"56178","ProductName":"F470 SAL Prei Fijn 250g P140","InventoryWarehouseId":"EP","OnHandQuantity":5391.3,"TotalAvailableQuantity":5360.4,"AvailableOnHandQuantity":5391.3,"InventorySiteId":"VEN","dataAreaId":"hgv","ProductColorId":"","ProductConfigurationId":"","ProductSizeId":"","ProductStyleId":""}</t>
  </si>
  <si>
    <t>{"ItemNumber":"56180","ProductName":"F350 JU Spruiten200g P60","InventoryWarehouseId":"EP","OnHandQuantity":10971.68,"TotalAvailableQuantity":10971.68,"AvailableOnHandQuantity":10971.68,"InventorySiteId":"VEN","dataAreaId":"hgv","ProductColorId":"","ProductConfigurationId":"","ProductSizeId":"","ProductStyleId":""}</t>
  </si>
  <si>
    <t>{"ItemNumber":"56181","ProductName":"F390 SAL Bami Nasi 250g p160","InventoryWarehouseId":"EP","OnHandQuantity":537.98,"TotalAvailableQuantity":10000,"AvailableOnHandQuantity":0,"InventorySiteId":"VEN","dataAreaId":"hgv","ProductColorId":"","ProductConfigurationId":"","ProductSizeId":"","ProductStyleId":""}</t>
  </si>
  <si>
    <t>{"ItemNumber":"56183","ProductName":"F390 JU IJsbergsla 200g 1eu","InventoryWarehouseId":"EP","OnHandQuantity":45000,"TotalAvailableQuantity":105000,"AvailableOnHandQuantity":45000,"InventorySiteId":"VEN","dataAreaId":"hgv","ProductColorId":"","ProductConfigurationId":"","ProductSizeId":"","ProductStyleId":""}</t>
  </si>
  <si>
    <t>{"ItemNumber":"56184","ProductName":"F470 JU Basis IJsberg 400g P0","InventoryWarehouseId":"EP","OnHandQuantity":3750,"TotalAvailableQuantity":3750,"AvailableOnHandQuantity":3750,"InventorySiteId":"VEN","dataAreaId":"hgv","ProductColorId":"","ProductConfigurationId":"","ProductSizeId":"","ProductStyleId":""}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</si>
  <si>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{"ItemNumber":"56185","ProductName":"F390 JU IJsberg Gemengd 200g P0","InventoryWarehouseId":"EP","OnHandQuantity":21650,"TotalAvailableQuantity":51950,"AvailableOnHandQuantity":21650,"InventorySiteId":"VEN","dataAreaId":"hgv","ProductColorId":"","ProductConfigurationId":"","ProductSizeId":"","ProductStyleId":""}</t>
  </si>
  <si>
    <t>{"ItemNumber":"56186","ProductName":"F390 JU IJsberg gem 400g VRDL P0","InventoryWarehouseId":"EP","OnHandQuantity":11250,"TotalAvailableQuantity":11250,"AvailableOnHandQuantity":11250,"InventorySiteId":"VEN","dataAreaId":"hgv","ProductColorId":"","ProductConfigurationId":"","ProductSizeId":"","ProductStyleId":""}</t>
  </si>
  <si>
    <t>{"ItemNumber":"56187","ProductName":"F390 JU Salademix 300g P100","InventoryWarehouseId":"EP","OnHandQuantity":22613.06,"TotalAvailableQuantity":22613.06,"AvailableOnHandQuantity":22613.06,"InventorySiteId":"VEN","dataAreaId":"hgv","ProductColorId":"","ProductConfigurationId":"","ProductSizeId":"","ProductStyleId":""}</t>
  </si>
  <si>
    <t>{"ItemNumber":"56188","ProductName":"F390 JU Gemengde salade 150g P0","InventoryWarehouseId":"EP","OnHandQuantity":3504.06,"TotalAvailableQuantity":3504.06,"AvailableOnHandQuantity":3504.06,"InventorySiteId":"VEN","dataAreaId":"hgv","ProductColorId":"","ProductConfigurationId":"","ProductSizeId":"","ProductStyleId":""}</t>
  </si>
  <si>
    <t>{"ItemNumber":"56189","ProductName":"F350 JU IJsbergsla Fijn 100g P0","InventoryWarehouseId":"EP","OnHandQuantity":40000,"TotalAvailableQuantity":40000,"AvailableOnHandQuantity":40000,"InventorySiteId":"VEN","dataAreaId":"hgv","ProductColorId":"","ProductConfigurationId":"","ProductSizeId":"","ProductStyleId":""}</t>
  </si>
  <si>
    <t>{"ItemNumber":"56190","ProductName":"F350 JU Fijne ijsbergsla 200g P0","InventoryWarehouseId":"EP","OnHandQuantity":59479.81,"TotalAvailableQuantity":59479.81,"AvailableOnHandQuantity":59479.81,"InventorySiteId":"VEN","dataAreaId":"hgv","ProductColorId":"","ProductConfigurationId":"","ProductSizeId":"","ProductStyleId":""}</t>
  </si>
  <si>
    <t>{"ItemNumber":"56191","ProductName":"F530 JU Botersla 100g P0","InventoryWarehouseId":"EP","OnHandQuantity":39260.62,"TotalAvailableQuantity":39260.62,"AvailableOnHandQuantity":39260.62,"InventorySiteId":"VEN","dataAreaId":"hgv","ProductColorId":"","ProductConfigurationId":"","ProductSizeId":"","ProductStyleId":""}</t>
  </si>
  <si>
    <t>{"ItemNumber":"56192","ProductName":"F470 JU Eikenbl. Rucola100g P0","InventoryWarehouseId":"EP","OnHandQuantity":16693.7,"TotalAvailableQuantity":16693.7,"AvailableOnHandQuantity":16693.7,"InventorySiteId":"VEN","dataAreaId":"hgv","ProductColorId":"","ProductConfigurationId":"","ProductSizeId":"","ProductStyleId":""}</t>
  </si>
  <si>
    <t>{"ItemNumber":"56193","ProductName":"F470 JU Eikenblad Rucol 200g P0","InventoryWarehouseId":"EP","OnHandQuantity":12950.67,"TotalAvailableQuantity":12950.67,"AvailableOnHandQuantity":12950.67,"InventorySiteId":"VEN","dataAreaId":"hgv","ProductColorId":"","ProductConfigurationId":"","ProductSizeId":"","ProductStyleId":""}</t>
  </si>
  <si>
    <t>{"ItemNumber":"56194","ProductName":"F470 JU Veldsla mel. 200g P0","InventoryWarehouseId":"EP","OnHandQuantity":6557.26,"TotalAvailableQuantity":6557.26,"AvailableOnHandQuantity":6557.26,"InventorySiteId":"VEN","dataAreaId":"hgv","ProductColorId":"","ProductConfigurationId":"","ProductSizeId":"","ProductStyleId":""}</t>
  </si>
  <si>
    <t>{"ItemNumber":"56195","ProductName":"F470 JU Fijnproeverssla 150g P0","InventoryWarehouseId":"EP","OnHandQuantity":22679.14,"TotalAvailableQuantity":22679.14,"AvailableOnHandQuantity":22679.14,"InventorySiteId":"VEN","dataAreaId":"hgv","ProductColorId":"","ProductConfigurationId":"","ProductSizeId":"","ProductStyleId":""}</t>
  </si>
  <si>
    <t>{"ItemNumber":"56196","ProductName":"F470 JU Romaine sla 200g P0","InventoryWarehouseId":"EP","OnHandQuantity":10866.41,"TotalAvailableQuantity":10866.41,"AvailableOnHandQuantity":10866.41,"InventorySiteId":"VEN","dataAreaId":"hgv","ProductColorId":"","ProductConfigurationId":"","ProductSizeId":"","ProductStyleId":""}</t>
  </si>
  <si>
    <t>{"ItemNumber":"56204","ProductName":"F305 JU Snackwortel 150g P120","InventoryWarehouseId":"EP","OnHandQuantity":44315.11,"TotalAvailableQuantity":44315.11,"AvailableOnHandQuantity":44315.11,"InventorySiteId":"VEN","dataAreaId":"hgv","ProductColorId":"","ProductConfigurationId":"","ProductSizeId":"","ProductStyleId":""}</t>
  </si>
  <si>
    <t>{"ItemNumber":"56205","ProductName":"F350 JU Snackwortel 300g LM40 LP1C26","InventoryWarehouseId":"EP","OnHandQuantity":30219.99,"TotalAvailableQuantity":30207.22,"AvailableOnHandQuantity":30219.99,"InventorySiteId":"VEN","dataAreaId":"hgv","ProductColorId":"","ProductConfigurationId":"","ProductSizeId":"","ProductStyleId":""}</t>
  </si>
  <si>
    <t>{"ItemNumber":"56206","ProductName":"F390 JU Geschrapte Wortelen 500g LM40 LP1D26","InventoryWarehouseId":"EP","OnHandQuantity":40457.5,"TotalAvailableQuantity":40457.5,"AvailableOnHandQuantity":40457.5,"InventorySiteId":"VEN","dataAreaId":"hgv","ProductColorId":"","ProductConfigurationId":"","ProductSizeId":"","ProductStyleId":""}</t>
  </si>
  <si>
    <t>{"ItemNumber":"56207","ProductName":"F390 JU Wortelen 500g LM40 LP1D26","InventoryWarehouseId":"EP","OnHandQuantity":28061.39,"TotalAvailableQuantity":28061.39,"AvailableOnHandQuantity":28061.39,"InventorySiteId":"VEN","dataAreaId":"hgv","ProductColorId":"","ProductConfigurationId":"","ProductSizeId":"","ProductStyleId":""}</t>
  </si>
  <si>
    <t>{"ItemNumber":"56214","ProductName":"F350 JU Wortelsalade 150g P160","InventoryWarehouseId":"EP","OnHandQuantity":23322.89,"TotalAvailableQuantity":23322.89,"AvailableOnHandQuantity":23322.89,"InventorySiteId":"VEN","dataAreaId":"hgv","ProductColorId":"","ProductConfigurationId":"","ProductSizeId":"","ProductStyleId":""}</t>
  </si>
  <si>
    <t>{"ItemNumber":"56216","ProductName":"F350 JU Taugé 125g D26-90","InventoryWarehouseId":"EP","OnHandQuantity":33565.07,"TotalAvailableQuantity":33565.07,"AvailableOnHandQuantity":33565.07,"InventorySiteId":"VEN","dataAreaId":"hgv","ProductColorId":"","ProductConfigurationId":"","ProductSizeId":"","ProductStyleId":""}</t>
  </si>
  <si>
    <t>{"ItemNumber":"56217","ProductName":"F390 JU Taugé 250g D26-90","InventoryWarehouseId":"EP","OnHandQuantity":23022.17,"TotalAvailableQuantity":23022.17,"AvailableOnHandQuantity":23022.17,"InventorySiteId":"VEN","dataAreaId":"hgv","ProductColorId":"","ProductConfigurationId":"","ProductSizeId":"","ProductStyleId":""}</t>
  </si>
  <si>
    <t>{"ItemNumber":"56225","ProductName":"F390 JU RBG Mexicaans 400g D14-90","InventoryWarehouseId":"EP","OnHandQuantity":19143.97,"TotalAvailableQuantity":19143.97,"AvailableOnHandQuantity":19143.97,"InventorySiteId":"VEN","dataAreaId":"hgv","ProductColorId":"","ProductConfigurationId":"","ProductSizeId":"","ProductStyleId":""}</t>
  </si>
  <si>
    <t>{"ItemNumber":"56227","ProductName":"F390 JU RGB Italiaans zUi 400g D12-90","InventoryWarehouseId":"EP","OnHandQuantity":13314,"TotalAvailableQuantity":13314,"AvailableOnHandQuantity":13314,"InventorySiteId":"VEN","dataAreaId":"hgv","ProductColorId":"","ProductConfigurationId":"","ProductSizeId":"","ProductStyleId":""}</t>
  </si>
  <si>
    <t>{"ItemNumber":"56228","ProductName":"F390 JU RBG Hollands 400g D26-90","InventoryWarehouseId":"EP","OnHandQuantity":13658.69,"TotalAvailableQuantity":13658.69,"AvailableOnHandQuantity":13658.69,"InventorySiteId":"VEN","dataAreaId":"hgv","ProductColorId":"","ProductConfigurationId":"","ProductSizeId":"","ProductStyleId":""}</t>
  </si>
  <si>
    <t>{"ItemNumber":"56229","ProductName":"F390 JU RBG Provencaals 400g D26-90","InventoryWarehouseId":"EP","OnHandQuantity":15337.76,"TotalAvailableQuantity":15337.76,"AvailableOnHandQuantity":15337.76,"InventorySiteId":"VEN","dataAreaId":"hgv","ProductColorId":"","ProductConfigurationId":"","ProductSizeId":"","ProductStyleId":""}</t>
  </si>
  <si>
    <t>{"ItemNumber":"56230","ProductName":"F390 JU RBG Champ. 250g D26-90","InventoryWarehouseId":"EP","OnHandQuantity":17288.37,"TotalAvailableQuantity":17288.37,"AvailableOnHandQuantity":17288.37,"InventorySiteId":"VEN","dataAreaId":"hgv","ProductColorId":"","ProductConfigurationId":"","ProductSizeId":"","ProductStyleId":""}</t>
  </si>
  <si>
    <t>{"ItemNumber":"56231","ProductName":"F390 JU RBG Champ. 400g D26-90","InventoryWarehouseId":"EP","OnHandQuantity":42331.11,"TotalAvailableQuantity":42331.11,"AvailableOnHandQuantity":42331.11,"InventorySiteId":"VEN","dataAreaId":"hgv","ProductColorId":"","ProductConfigurationId":"","ProductSizeId":"","ProductStyleId":""}</t>
  </si>
  <si>
    <t>{"ItemNumber":"56237","ProductName":"F390 JU RBG Chinees 250g D90-14","InventoryWarehouseId":"EP","OnHandQuantity":31932.9,"TotalAvailableQuantity":31932.9,"AvailableOnHandQuantity":31932.9,"InventorySiteId":"VEN","dataAreaId":"hgv","ProductColorId":"","ProductConfigurationId":"","ProductSizeId":"","ProductStyleId":""}</t>
  </si>
  <si>
    <t>{"ItemNumber":"56238","ProductName":"F390 JU RBG Chinees 400g P160","InventoryWarehouseId":"EP","OnHandQuantity":45010.65,"TotalAvailableQuantity":45003.66,"AvailableOnHandQuantity":45010.65,"InventorySiteId":"VEN","dataAreaId":"hgv","ProductColorId":"","ProductConfigurationId":"","ProductSizeId":"","ProductStyleId":""}</t>
  </si>
  <si>
    <t>{"ItemNumber":"56239","ProductName":"F470 JU RBG Chinees 600g P160","InventoryWarehouseId":"EP","OnHandQuantity":21486.97,"TotalAvailableQuantity":21486.97,"AvailableOnHandQuantity":21486.97,"InventorySiteId":"VEN","dataAreaId":"hgv","ProductColorId":"","ProductConfigurationId":"","ProductSizeId":"","ProductStyleId":""}</t>
  </si>
  <si>
    <t>{"ItemNumber":"56240","ProductName":"F390 JU RBG Italiaans 250g P160","InventoryWarehouseId":"EP","OnHandQuantity":25713.47,"TotalAvailableQuantity":25713.47,"AvailableOnHandQuantity":25713.47,"InventorySiteId":"VEN","dataAreaId":"hgv","ProductColorId":"","ProductConfigurationId":"","ProductSizeId":"","ProductStyleId":""}</t>
  </si>
  <si>
    <t>{"ItemNumber":"56241","ProductName":"F390 JU RBG Italiaans 400g P160","InventoryWarehouseId":"EP","OnHandQuantity":60900,"TotalAvailableQuantity":60900,"AvailableOnHandQuantity":60900,"InventorySiteId":"VEN","dataAreaId":"hgv","ProductColorId":"","ProductConfigurationId":"","ProductSizeId":"","ProductStyleId":""}</t>
  </si>
  <si>
    <t>{"ItemNumber":"56242","ProductName":"F470 JU RBG Italiaans 600g P160","InventoryWarehouseId":"EP","OnHandQuantity":41897.83,"TotalAvailableQuantity":41897.83,"AvailableOnHandQuantity":41897.83,"InventorySiteId":"VEN","dataAreaId":"hgv","ProductColorId":"","ProductConfigurationId":"","ProductSizeId":"","ProductStyleId":""}</t>
  </si>
  <si>
    <t>{"ItemNumber":"56250","ProductName":"Penny Mischsalat 200g KE 65x80","InventoryWarehouseId":"EP","OnHandQuantity":0,"TotalAvailableQuantity":0,"AvailableOnHandQuantity":0,"InventorySiteId":"VEN","dataAreaId":"hgv","ProductColorId":"","ProductConfigurationId":"","ProductSizeId":"","ProductStyleId":""}</t>
  </si>
  <si>
    <t>{"ItemNumber":"56251","ProductName":"Penny Blattsalat Mix 150g KE 65x80","InventoryWarehouseId":"EP","OnHandQuantity":6250,"TotalAvailableQuantity":6250,"AvailableOnHandQuantity":6250,"InventorySiteId":"VEN","dataAreaId":"hgv","ProductColorId":"","ProductConfigurationId":"","ProductSizeId":"","ProductStyleId":""}</t>
  </si>
  <si>
    <t>{"ItemNumber":"56252","ProductName":"Rewe Mischsalat 200g KE 65x80","InventoryWarehouseId":"EP","OnHandQuantity":157500,"TotalAvailableQuantity":157500,"AvailableOnHandQuantity":157500,"InventorySiteId":"VEN","dataAreaId":"hgv","ProductColorId":"","ProductConfigurationId":"","ProductSizeId":"","ProductStyleId":""}</t>
  </si>
  <si>
    <t>{"ItemNumber":"56253","ProductName":"Rewe Witte Kool 300g KE 65x80","InventoryWarehouseId":"EP","OnHandQuantity":31250,"TotalAvailableQuantity":31250,"AvailableOnHandQuantity":31250,"InventorySiteId":"VEN","dataAreaId":"hgv","ProductColorId":"","ProductConfigurationId":"","ProductSizeId":"","ProductStyleId":""}</t>
  </si>
  <si>
    <t>{"ItemNumber":"56254","ProductName":"Rewe Wortel julienne 200g KE 65x80","InventoryWarehouseId":"EP","OnHandQuantity":27003,"TotalAvailableQuantity":87003,"AvailableOnHandQuantity":27003,"InventorySiteId":"VEN","dataAreaId":"hgv","ProductColorId":"","ProductConfigurationId":"","ProductSizeId":"","ProductStyleId":""}</t>
  </si>
  <si>
    <t>{"ItemNumber":"56255","ProductName":"Rewe Broccoliroosjes 350g KE 65x80","InventoryWarehouseId":"EP","OnHandQuantity":11019,"TotalAvailableQuantity":11019,"AvailableOnHandQuantity":11019,"InventorySiteId":"VEN","dataAreaId":"hgv","ProductColorId":"","ProductConfigurationId":"","ProductSizeId":"","ProductStyleId":""}</t>
  </si>
  <si>
    <t>{"ItemNumber":"56256","ProductName":"Rewe Blattsalat Mix 150g KE 65x80","InventoryWarehouseId":"EP","OnHandQuantity":261250,"TotalAvailableQuantity":261250,"AvailableOnHandQuantity":261250,"InventorySiteId":"VEN","dataAreaId":"hgv","ProductColorId":"","ProductConfigurationId":"","ProductSizeId":"","ProductStyleId":""}</t>
  </si>
  <si>
    <t>{"ItemNumber":"56257","ProductName":"Rewe Feldsalat Mix 100g KE 65x80","InventoryWarehouseId":"EP","OnHandQuantity":178750,"TotalAvailableQuantity":178750,"AvailableOnHandQuantity":178750,"InventorySiteId":"VEN","dataAreaId":"hgv","ProductColorId":"","ProductConfigurationId":"","ProductSizeId":"","ProductStyleId":""}</t>
  </si>
  <si>
    <t>{"ItemNumber":"56258","ProductName":"Rewe Rode Kool 300g KE 65x80","InventoryWarehouseId":"EP","OnHandQuantity":4985,"TotalAvailableQuantity":34985,"AvailableOnHandQuantity":4985,"InventorySiteId":"VEN","dataAreaId":"hgv","ProductColorId":"","ProductConfigurationId":"","ProductSizeId":"","ProductStyleId":""}</t>
  </si>
  <si>
    <t>{"ItemNumber":"56259","ProductName":"Rewe Sojabonen 200g KE 65x80","InventoryWarehouseId":"EP","OnHandQuantity":9979,"TotalAvailableQuantity":9979,"AvailableOnHandQuantity":9979,"InventorySiteId":"VEN","dataAreaId":"hgv","ProductColorId":"","ProductConfigurationId":"","ProductSizeId":"","ProductStyleId":""}</t>
  </si>
  <si>
    <t>{"ItemNumber":"56261","ProductName":"F305 JU Rwk Hollands zak 150g P120","InventoryWarehouseId":"EP","OnHandQuantity":2903.76,"TotalAvailableQuantity":2903.76,"AvailableOnHandQuantity":2903.76,"InventorySiteId":"VEN","dataAreaId":"hgv","ProductColorId":"","ProductConfigurationId":"","ProductSizeId":"","ProductStyleId":""}</t>
  </si>
  <si>
    <t>{"ItemNumber":"56262","ProductName":"F305 JU Rwk Komkommer zak 150g P120","InventoryWarehouseId":"EP","OnHandQuantity":6945.06,"TotalAvailableQuantity":6945.06,"AvailableOnHandQuantity":6945.06,"InventorySiteId":"VEN","dataAreaId":"hgv","ProductColorId":"","ProductConfigurationId":"","ProductSizeId":"","ProductStyleId":""}</t>
  </si>
  <si>
    <t>{"ItemNumber":"56263","ProductName":"F305 JU Rwk Pittig zak 150g P120","InventoryWarehouseId":"EP","OnHandQuantity":3498.95,"TotalAvailableQuantity":3498.95,"AvailableOnHandQuantity":3498.95,"InventorySiteId":"VEN","dataAreaId":"hgv","ProductColorId":"","ProductConfigurationId":"","ProductSizeId":"","ProductStyleId":""}</t>
  </si>
  <si>
    <t>{"ItemNumber":"56265","ProductName":"F390 JU Wok Thais 400g P120","InventoryWarehouseId":"EP","OnHandQuantity":35974.27,"TotalAvailableQuantity":35974.27,"AvailableOnHandQuantity":35974.27,"InventorySiteId":"VEN","dataAreaId":"hgv","ProductColorId":"","ProductConfigurationId":"","ProductSizeId":"","ProductStyleId":""}</t>
  </si>
  <si>
    <t>{"ItemNumber":"56268","ProductName":"F390 JU Wok Oosters 250g D26-90","InventoryWarehouseId":"EP","OnHandQuantity":2147.2,"TotalAvailableQuantity":2147.2,"AvailableOnHandQuantity":2147.2,"InventorySiteId":"VEN","dataAreaId":"hgv","ProductColorId":"","ProductConfigurationId":"","ProductSizeId":"","ProductStyleId":""}</t>
  </si>
  <si>
    <t>{"ItemNumber":"56269","ProductName":"F390 JU Wok Oosters 400g P160","InventoryWarehouseId":"EP","OnHandQuantity":31196.24,"TotalAvailableQuantity":31196.24,"AvailableOnHandQuantity":31196.24,"InventorySiteId":"VEN","dataAreaId":"hgv","ProductColorId":"","ProductConfigurationId":"","ProductSizeId":"","ProductStyleId":""}</t>
  </si>
  <si>
    <t>{"ItemNumber":"56270","ProductName":"F470 JU Wok Oosters 600gP160","InventoryWarehouseId":"EP","OnHandQuantity":24433.81,"TotalAvailableQuantity":24433.81,"AvailableOnHandQuantity":24433.81,"InventorySiteId":"VEN","dataAreaId":"hgv","ProductColorId":"","ProductConfigurationId":"","ProductSizeId":"","ProductStyleId":""}</t>
  </si>
  <si>
    <t>{"ItemNumber":"56271","ProductName":"F350 JU Bloemkoolrijst 400g P120","InventoryWarehouseId":"EP","OnHandQuantity":3572.91,"TotalAvailableQuantity":3572.91,"AvailableOnHandQuantity":3572.91,"InventorySiteId":"VEN","dataAreaId":"hgv","ProductColorId":"","ProductConfigurationId":"","ProductSizeId":"","ProductStyleId":""}</t>
  </si>
  <si>
    <t>{"ItemNumber":"56272","ProductName":"JU Courgette Spagh. 400g BE 75x90","InventoryWarehouseId":"EP","OnHandQuantity":13500,"TotalAvailableQuantity":13500,"AvailableOnHandQuantity":13500,"InventorySiteId":"VEN","dataAreaId":"hgv","ProductColorId":"","ProductConfigurationId":"","ProductSizeId":"","ProductStyleId":""}</t>
  </si>
  <si>
    <t>{"ItemNumber":"56273","ProductName":"JU Courgette Spagh. 400g OE 55x100","InventoryWarehouseId":"EP","OnHandQuantity":21000,"TotalAvailableQuantity":21000,"AvailableOnHandQuantity":21000,"InventorySiteId":"VEN","dataAreaId":"hgv","ProductColorId":"","ProductConfigurationId":"","ProductSizeId":"","ProductStyleId":""}</t>
  </si>
  <si>
    <t>{"ItemNumber":"56274","ProductName":"F350 JU Broccolirijst 400g P120","InventoryWarehouseId":"EP","OnHandQuantity":9450,"TotalAvailableQuantity":9450,"AvailableOnHandQuantity":9450,"InventorySiteId":"VEN","dataAreaId":"hgv","ProductColorId":"","ProductConfigurationId":"","ProductSizeId":"","ProductStyleId":""}</t>
  </si>
  <si>
    <t>{"ItemNumber":"56275","ProductName":"F390 JU Basis Soepgr. 400g D26-90","InventoryWarehouseId":"EP","OnHandQuantity":55194.38,"TotalAvailableQuantity":55194.38,"AvailableOnHandQuantity":55194.38,"InventorySiteId":"VEN","dataAreaId":"hgv","ProductColorId":"","ProductConfigurationId":"","ProductSizeId":"","ProductStyleId":""}</t>
  </si>
  <si>
    <t>{"ItemNumber":"56276","ProductName":"F350 JU Soepgr. Fijn 250g P160","InventoryWarehouseId":"EP","OnHandQuantity":61521.69,"TotalAvailableQuantity":61521.69,"AvailableOnHandQuantity":61521.69,"InventorySiteId":"VEN","dataAreaId":"hgv","ProductColorId":"","ProductConfigurationId":"","ProductSizeId":"","ProductStyleId":""}</t>
  </si>
  <si>
    <t>{"ItemNumber":"56278","ProductName":"F390 JU Soepgr. Fijn 400g D26-90","InventoryWarehouseId":"EP","OnHandQuantity":32288.07,"TotalAvailableQuantity":32288.07,"AvailableOnHandQuantity":32288.07,"InventorySiteId":"VEN","dataAreaId":"hgv","ProductColorId":"","ProductConfigurationId":"","ProductSizeId":"","ProductStyleId":""}</t>
  </si>
  <si>
    <t>{"ItemNumber":"56279","ProductName":"F390 JU Boerensoepgr. 400g D26-90","InventoryWarehouseId":"EP","OnHandQuantity":25205.57,"TotalAvailableQuantity":25108.22,"AvailableOnHandQuantity":25205.57,"InventorySiteId":"VEN","dataAreaId":"hgv","ProductColorId":"","ProductConfigurationId":"","ProductSizeId":"","ProductStyleId":""}</t>
  </si>
  <si>
    <t>{"ItemNumber":"56280","ProductName":"JU PS Tom. Bleeks. 600g 80x70 ZE","InventoryWarehouseId":"EP","OnHandQuantity":11800,"TotalAvailableQuantity":11800,"AvailableOnHandQuantity":11800,"InventorySiteId":"VEN","dataAreaId":"hgv","ProductColorId":"","ProductConfigurationId":"","ProductSizeId":"","ProductStyleId":""}</t>
  </si>
  <si>
    <t>{"ItemNumber":"56281","ProductName":"JU PS Tom. Bleeks. 600g 80x70 AE","InventoryWarehouseId":"EP","OnHandQuantity":18000,"TotalAvailableQuantity":18000,"AvailableOnHandQuantity":18000,"InventorySiteId":"VEN","dataAreaId":"hgv","ProductColorId":"","ProductConfigurationId":"","ProductSizeId":"","ProductStyleId":""}</t>
  </si>
  <si>
    <t>{"ItemNumber":"56284","ProductName":"JU PS Gele Papr. Tom. 460g 80x70 ZE","InventoryWarehouseId":"EP","OnHandQuantity":10000,"TotalAvailableQuantity":10000,"AvailableOnHandQuantity":10000,"InventorySiteId":"VEN","dataAreaId":"hgv","ProductColorId":"","ProductConfigurationId":"","ProductSizeId":"","ProductStyleId":""}</t>
  </si>
  <si>
    <t>{"ItemNumber":"56285","ProductName":"JU PS Gele Papr. Tom. 460g 80x70 AE","InventoryWarehouseId":"EP","OnHandQuantity":12000,"TotalAvailableQuantity":12000,"AvailableOnHandQuantity":12000,"InventorySiteId":"VEN","dataAreaId":"hgv","ProductColorId":"","ProductConfigurationId":"","ProductSizeId":"","ProductStyleId":""}</t>
  </si>
  <si>
    <t>{"ItemNumber":"56286","ProductName":"F470 JU Erwtensoepgr. 500g P160","InventoryWarehouseId":"EP","OnHandQuantity":27914.91,"TotalAvailableQuantity":27914.91,"AvailableOnHandQuantity":27914.91,"InventorySiteId":"VEN","dataAreaId":"hgv","ProductColorId":"","ProductConfigurationId":"","ProductSizeId":"","ProductStyleId":""}</t>
  </si>
  <si>
    <t>{"ItemNumber":"56293","ProductName":"F470 JU Andijvie fijn 250g E50-90","InventoryWarehouseId":"EP","OnHandQuantity":31763.07,"TotalAvailableQuantity":31763.07,"AvailableOnHandQuantity":31763.07,"InventorySiteId":"VEN","dataAreaId":"hgv","ProductColorId":"","ProductConfigurationId":"","ProductSizeId":"","ProductStyleId":""}</t>
  </si>
  <si>
    <t>{"ItemNumber":"56294","ProductName":"F530 JU Andijvie 400g F50-90","InventoryWarehouseId":"EP","OnHandQuantity":55844.9,"TotalAvailableQuantity":55844.9,"AvailableOnHandQuantity":55844.9,"InventorySiteId":"VEN","dataAreaId":"hgv","ProductColorId":"","ProductConfigurationId":"","ProductSizeId":"","ProductStyleId":""}</t>
  </si>
  <si>
    <t>{"ItemNumber":"56296","ProductName":"F530 JU Andijvie fijn 500g F50-90","InventoryWarehouseId":"EP","OnHandQuantity":47201.79,"TotalAvailableQuantity":47201.79,"AvailableOnHandQuantity":47201.79,"InventorySiteId":"VEN","dataAreaId":"hgv","ProductColorId":"","ProductConfigurationId":"","ProductSizeId":"","ProductStyleId":""}</t>
  </si>
  <si>
    <t>{"ItemNumber":"56297","ProductName":"F390 JU Hutspot 500g P160","InventoryWarehouseId":"EP","OnHandQuantity":169792,"TotalAvailableQuantity":169792,"AvailableOnHandQuantity":169792,"InventorySiteId":"VEN","dataAreaId":"hgv","ProductColorId":"","ProductConfigurationId":"","ProductSizeId":"","ProductStyleId":""}</t>
  </si>
  <si>
    <t>{"ItemNumber":"56300","ProductName":"LIDL Stamp Boerenkool, spitskool, z. aard 400g BE","InventoryWarehouseId":"EP","OnHandQuantity":34000,"TotalAvailableQuantity":34000,"AvailableOnHandQuantity":34000,"InventorySiteId":"VEN","dataAreaId":"hgv","ProductColorId":"","ProductConfigurationId":"","ProductSizeId":"","ProductStyleId":""}</t>
  </si>
  <si>
    <t>{"ItemNumber":"56301","ProductName":"LIDL Stamp Andijvie Koolr 400g BE","InventoryWarehouseId":"EP","OnHandQuantity":38000,"TotalAvailableQuantity":38000,"AvailableOnHandQuantity":38000,"InventorySiteId":"VEN","dataAreaId":"hgv","ProductColorId":"","ProductConfigurationId":"","ProductSizeId":"","ProductStyleId":""}</t>
  </si>
  <si>
    <t>{"ItemNumber":"56302","ProductName":"Waldorf Salad w coleslaw dressing 390g BE (9169)","InventoryWarehouseId":"EP","OnHandQuantity":11900,"TotalAvailableQuantity":11900,"AvailableOnHandQuantity":11900,"InventorySiteId":"VEN","dataAreaId":"hgv","ProductColorId":"","ProductConfigurationId":"","ProductSizeId":"","ProductStyleId":""}</t>
  </si>
  <si>
    <t>{"ItemNumber":"56304","ProductName":"Red cabbage w. citrus dressing 320g BE","InventoryWarehouseId":"EP","OnHandQuantity":12548,"TotalAvailableQuantity":12548,"AvailableOnHandQuantity":12548,"InventorySiteId":"VEN","dataAreaId":"hgv","ProductColorId":"","ProductConfigurationId":"","ProductSizeId":"","ProductStyleId":""}</t>
  </si>
  <si>
    <t>{"ItemNumber":"56306","ProductName":"F530 JU Boerenkool 150g HN3FN5","InventoryWarehouseId":"EP","OnHandQuantity":5254.22,"TotalAvailableQuantity":5254.22,"AvailableOnHandQuantity":5254.22,"InventorySiteId":"VEN","dataAreaId":"hgv","ProductColorId":"","ProductConfigurationId":"","ProductSizeId":"","ProductStyleId":""}</t>
  </si>
  <si>
    <t>{"ItemNumber":"56307","ProductName":"F530 JU Boerenkool 300g HN3FN5","InventoryWarehouseId":"EP","OnHandQuantity":95774.18,"TotalAvailableQuantity":95774.18,"AvailableOnHandQuantity":95774.18,"InventorySiteId":"VEN","dataAreaId":"hgv","ProductColorId":"","ProductConfigurationId":"","ProductSizeId":"","ProductStyleId":""}</t>
  </si>
  <si>
    <t>{"ItemNumber":"56309","ProductName":"F470 JU Hutspot 1000gP160","InventoryWarehouseId":"EP","OnHandQuantity":31819.32,"TotalAvailableQuantity":31819.32,"AvailableOnHandQuantity":31819.32,"InventorySiteId":"VEN","dataAreaId":"hgv","ProductColorId":"","ProductConfigurationId":"","ProductSizeId":"","ProductStyleId":""}</t>
  </si>
  <si>
    <t>{"ItemNumber":"56310","ProductName":"F390 JU Koolraap 400g P0","InventoryWarehouseId":"EP","OnHandQuantity":13850.98,"TotalAvailableQuantity":13850.98,"AvailableOnHandQuantity":13850.98,"InventorySiteId":"VEN","dataAreaId":"hgv","ProductColorId":"","ProductConfigurationId":"","ProductSizeId":"","ProductStyleId":""}</t>
  </si>
  <si>
    <t>{"ItemNumber":"56312","ProductName":"MTS Gegr. Kip BLK1 Volkorenpasta 450g Lidl OE","InventoryWarehouseId":"EP","OnHandQuantity":72222,"TotalAvailableQuantity":72222,"AvailableOnHandQuantity":72222,"InventorySiteId":"VEN","dataAreaId":"hgv","ProductColorId":"","ProductConfigurationId":"","ProductSizeId":"","ProductStyleId":""}</t>
  </si>
  <si>
    <t>{"ItemNumber":"56313","ProductName":"F270 MTS Gegr. Kip BLK1 Volkorenpasta 450g Lidl","InventoryWarehouseId":"EP","OnHandQuantity":24757.97,"TotalAvailableQuantity":24757.97,"AvailableOnHandQuantity":24757.97,"InventorySiteId":"VEN","dataAreaId":"hgv","ProductColorId":"","ProductConfigurationId":"","ProductSizeId":"","ProductStyleId":""}</t>
  </si>
  <si>
    <t>{"ItemNumber":"56314","ProductName":"F270 MTS Zalm volkoren ASC 450g Lidl","InventoryWarehouseId":"EP","OnHandQuantity":16328.55,"TotalAvailableQuantity":16328.55,"AvailableOnHandQuantity":16328.55,"InventorySiteId":"VEN","dataAreaId":"hgv","ProductColorId":"","ProductConfigurationId":"","ProductSizeId":"","ProductStyleId":""}</t>
  </si>
  <si>
    <t>{"ItemNumber":"56315","ProductName":"MTS Zalm volkoren ASC 450g Lidl OE","InventoryWarehouseId":"EP","OnHandQuantity":30018,"TotalAvailableQuantity":30018,"AvailableOnHandQuantity":30018,"InventorySiteId":"VEN","dataAreaId":"hgv","ProductColorId":"","ProductConfigurationId":"","ProductSizeId":"","ProductStyleId":""}</t>
  </si>
  <si>
    <t>{"ItemNumber":"56319","ProductName":"INK BE 161951 tbv Andijvie fijn 300g NL/FR 282383","InventoryWarehouseId":"EP","OnHandQuantity":6250,"TotalAvailableQuantity":6250,"AvailableOnHandQuantity":6250,"InventorySiteId":"VEN","dataAreaId":"hgv","ProductColorId":"","ProductConfigurationId":"","ProductSizeId":"","ProductStyleId":""}</t>
  </si>
  <si>
    <t>{"ItemNumber":"56320","ProductName":"INK BE 161952 tbv Andijvie fijn 600g NL/FR 282384","InventoryWarehouseId":"EP","OnHandQuantity":5000,"TotalAvailableQuantity":5000,"AvailableOnHandQuantity":5000,"InventorySiteId":"VEN","dataAreaId":"hgv","ProductColorId":"","ProductConfigurationId":"","ProductSizeId":"","ProductStyleId":""}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</si>
  <si>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{"ItemNumber":"56325","ProductName":"F220 JU SS Rauwkost 275g P0","InventoryWarehouseId":"EP","OnHandQuantity":8588.23,"TotalAvailableQuantity":8588.23,"AvailableOnHandQuantity":8588.23,"InventorySiteId":"VEN","dataAreaId":"hgv","ProductColorId":"","ProductConfigurationId":"","ProductSizeId":"","ProductStyleId":""}</t>
  </si>
  <si>
    <t>{"ItemNumber":"56329","ProductName":"F220 JU SS Grieks Veggie 300g","InventoryWarehouseId":"EP","OnHandQuantity":7875.91,"TotalAvailableQuantity":7875.91,"AvailableOnHandQuantity":7875.91,"InventorySiteId":"VEN","dataAreaId":"hgv","ProductColorId":"","ProductConfigurationId":"","ProductSizeId":"","ProductStyleId":""}</t>
  </si>
  <si>
    <t>{"ItemNumber":"56330","ProductName":"F220 JU SS Hollands 275g","InventoryWarehouseId":"EP","OnHandQuantity":9473.08,"TotalAvailableQuantity":9473.08,"AvailableOnHandQuantity":9473.08,"InventorySiteId":"VEN","dataAreaId":"hgv","ProductColorId":"","ProductConfigurationId":"","ProductSizeId":"","ProductStyleId":""}</t>
  </si>
  <si>
    <t>{"ItemNumber":"56331","ProductName":"F220 JU SS BoerUi BL1-V1-Z3","InventoryWarehouseId":"EP","OnHandQuantity":16105.92,"TotalAvailableQuantity":16105.92,"AvailableOnHandQuantity":16105.92,"InventorySiteId":"VEN","dataAreaId":"hgv","ProductColorId":"","ProductConfigurationId":"","ProductSizeId":"","ProductStyleId":""}</t>
  </si>
  <si>
    <t>{"ItemNumber":"56333","ProductName":"F220 JU SS Oosters Veggie PvJaar","InventoryWarehouseId":"EP","OnHandQuantity":4731.69,"TotalAvailableQuantity":4731.69,"AvailableOnHandQuantity":4731.69,"InventorySiteId":"VEN","dataAreaId":"hgv","ProductColorId":"","ProductConfigurationId":"","ProductSizeId":"","ProductStyleId":""}</t>
  </si>
  <si>
    <t>{"ItemNumber":"56336","ProductName":"JU SS Rauwkost 275g OE 75x90","InventoryWarehouseId":"EP","OnHandQuantity":67773,"TotalAvailableQuantity":66771,"AvailableOnHandQuantity":67662,"InventorySiteId":"VEN","dataAreaId":"hgv","ProductColorId":"","ProductConfigurationId":"","ProductSizeId":"","ProductStyleId":""}</t>
  </si>
  <si>
    <t>{"ItemNumber":"56340","ProductName":"JU SS Grieks Veggie 300g OE Ø90","InventoryWarehouseId":"EP","OnHandQuantity":9785,"TotalAvailableQuantity":9785,"AvailableOnHandQuantity":9785,"InventorySiteId":"VEN","dataAreaId":"hgv","ProductColorId":"","ProductConfigurationId":"","ProductSizeId":"","ProductStyleId":""}</t>
  </si>
  <si>
    <t>{"ItemNumber":"56341","ProductName":"JU SS Hollands 275g OEØ90","InventoryWarehouseId":"EP","OnHandQuantity":9720,"TotalAvailableQuantity":24708,"AvailableOnHandQuantity":9720,"InventorySiteId":"VEN","dataAreaId":"hgv","ProductColorId":"","ProductConfigurationId":"","ProductSizeId":"","ProductStyleId":""}</t>
  </si>
  <si>
    <t>{"ItemNumber":"56344","ProductName":"JU SS Ooster 250g Veggie OE Ø90","InventoryWarehouseId":"EP","OnHandQuantity":12247,"TotalAvailableQuantity":12247,"AvailableOnHandQuantity":12247,"InventorySiteId":"VEN","dataAreaId":"hgv","ProductColorId":"","ProductConfigurationId":"","ProductSizeId":"","ProductStyleId":""}</t>
  </si>
  <si>
    <t>{"ItemNumber":"56365","ProductName":"MB Apples &amp; Almonds 400g C-Label SAL","InventoryWarehouseId":"EP","OnHandQuantity":33914,"TotalAvailableQuantity":33914,"AvailableOnHandQuantity":33914,"InventorySiteId":"VEN","dataAreaId":"hgv","ProductColorId":"","ProductConfigurationId":"","ProductSizeId":"","ProductStyleId":""}</t>
  </si>
  <si>
    <t>{"ItemNumber":"56366","ProductName":"SB Almonds and apples 240g C-Label FQ","InventoryWarehouseId":"EP","OnHandQuantity":16963,"TotalAvailableQuantity":16710,"AvailableOnHandQuantity":16963,"InventorySiteId":"VEN","dataAreaId":"hgv","ProductColorId":"","ProductConfigurationId":"","ProductSizeId":"","ProductStyleId":""}</t>
  </si>
  <si>
    <t>{"ItemNumber":"56367","ProductName":"F390 SAL Wok Oosterse stijl 250g P160","InventoryWarehouseId":"EP","OnHandQuantity":2351.48,"TotalAvailableQuantity":2351.48,"AvailableOnHandQuantity":2351.48,"InventorySiteId":"VEN","dataAreaId":"hgv","ProductColorId":"","ProductConfigurationId":"","ProductSizeId":"","ProductStyleId":""}</t>
  </si>
  <si>
    <t>{"ItemNumber":"56375","ProductName":"F350 PLUS Broccrijst 400g P120 V2","InventoryWarehouseId":"EP","OnHandQuantity":8750,"TotalAvailableQuantity":8750,"AvailableOnHandQuantity":8750,"InventorySiteId":"VEN","dataAreaId":"hgv","ProductColorId":"","ProductConfigurationId":"","ProductSizeId":"","ProductStyleId":""}</t>
  </si>
  <si>
    <t>{"ItemNumber":"56376","ProductName":"F390 Bami Nasi 250g Nemt P160","InventoryWarehouseId":"EP","OnHandQuantity":8988.55,"TotalAvailableQuantity":8988.55,"AvailableOnHandQuantity":8988.55,"InventorySiteId":"VEN","dataAreaId":"hgv","ProductColorId":"","ProductConfigurationId":"","ProductSizeId":"","ProductStyleId":""}</t>
  </si>
  <si>
    <t>{"ItemNumber":"56379","ProductName":"KE McD Sla in Zak 60g","InventoryWarehouseId":"EP","OnHandQuantity":16500,"TotalAvailableQuantity":16500,"AvailableOnHandQuantity":16500,"InventorySiteId":"VEN","dataAreaId":"hgv","ProductColorId":"","ProductConfigurationId":"","ProductSizeId":"","ProductStyleId":""}</t>
  </si>
  <si>
    <t>{"ItemNumber":"56380","ProductName":"BE McD Sla in Zak 60g","InventoryWarehouseId":"EP","OnHandQuantity":22700,"TotalAvailableQuantity":22700,"AvailableOnHandQuantity":22700,"InventorySiteId":"VEN","dataAreaId":"hgv","ProductColorId":"","ProductConfigurationId":"","ProductSizeId":"","ProductStyleId":""}</t>
  </si>
  <si>
    <t>{"ItemNumber":"56381","ProductName":"KE McD Sla in Zak 100g","InventoryWarehouseId":"EP","OnHandQuantity":25000,"TotalAvailableQuantity":25000,"AvailableOnHandQuantity":25000,"InventorySiteId":"VEN","dataAreaId":"hgv","ProductColorId":"","ProductConfigurationId":"","ProductSizeId":"","ProductStyleId":""}</t>
  </si>
  <si>
    <t>{"ItemNumber":"56392","ProductName":"F470 Aldi DE P160 Mediterranmix 400g","InventoryWarehouseId":"EP","OnHandQuantity":19150,"TotalAvailableQuantity":19150,"AvailableOnHandQuantity":19150,"InventorySiteId":"VEN","dataAreaId":"hgv","ProductColorId":"","ProductConfigurationId":"","ProductSizeId":"","ProductStyleId":""}</t>
  </si>
  <si>
    <t>{"ItemNumber":"56394","ProductName":"F470 Aldi DE P160 Fitnessmix 400g","InventoryWarehouseId":"EP","OnHandQuantity":7500,"TotalAvailableQuantity":7500,"AvailableOnHandQuantity":7500,"InventorySiteId":"VEN","dataAreaId":"hgv","ProductColorId":"","ProductConfigurationId":"","ProductSizeId":"","ProductStyleId":""}</t>
  </si>
  <si>
    <t>{"ItemNumber":"56465","ProductName":"F270 MTS Kip Ketjap 450g Lidl","InventoryWarehouseId":"EP","OnHandQuantity":11695.26,"TotalAvailableQuantity":11695.26,"AvailableOnHandQuantity":11695.26,"InventorySiteId":"VEN","dataAreaId":"hgv","ProductColorId":"","ProductConfigurationId":"","ProductSizeId":"","ProductStyleId":""}</t>
  </si>
  <si>
    <t>{"ItemNumber":"56466","ProductName":"MTS Kip Ketjap 450g OE Lidl","InventoryWarehouseId":"EP","OnHandQuantity":55004,"TotalAvailableQuantity":55004,"AvailableOnHandQuantity":55004,"InventorySiteId":"VEN","dataAreaId":"hgv","ProductColorId":"","ProductConfigurationId":"","ProductSizeId":"","ProductStyleId":""}</t>
  </si>
  <si>
    <t>{"ItemNumber":"56467","ProductName":"MTS Garnaal volkoren ASC 450g Lidl OE","InventoryWarehouseId":"EP","OnHandQuantity":38566,"TotalAvailableQuantity":38566,"AvailableOnHandQuantity":38566,"InventorySiteId":"VEN","dataAreaId":"hgv","ProductColorId":"","ProductConfigurationId":"","ProductSizeId":"","ProductStyleId":""}</t>
  </si>
  <si>
    <t>{"ItemNumber":"56468","ProductName":"F270 MTS Garnaal volkoren ASC 450g Lidl","InventoryWarehouseId":"EP","OnHandQuantity":19284.24,"TotalAvailableQuantity":19284.24,"AvailableOnHandQuantity":19284.24,"InventorySiteId":"VEN","dataAreaId":"hgv","ProductColorId":"","ProductConfigurationId":"","ProductSizeId":"","ProductStyleId":""}</t>
  </si>
  <si>
    <t>{"ItemNumber":"56471","ProductName":"Globus Mischkarton Family Bowl 500g KE 50x70","InventoryWarehouseId":"EP","OnHandQuantity":1000,"TotalAvailableQuantity":1000,"AvailableOnHandQuantity":1000,"InventorySiteId":"VEN","dataAreaId":"hgv","ProductColorId":"","ProductConfigurationId":"","ProductSizeId":"","ProductStyleId":""}</t>
  </si>
  <si>
    <t>{"ItemNumber":"56476","ProductName":"Etiket Datum contact papier Wit 26x12mm","InventoryWarehouseId":"EP","OnHandQuantity":4455000,"TotalAvailableQuantity":4455000,"AvailableOnHandQuantity":4455000,"InventorySiteId":"VEN","dataAreaId":"hgv","ProductColorId":"","ProductConfigurationId":"","ProductSizeId":"","ProductStyleId":""}</t>
  </si>
  <si>
    <t>{"ItemNumber":"56477","ProductName":"F240 PLUS GM biet ui 400g P120 PLP V2","InventoryWarehouseId":"EP","OnHandQuantity":3750,"TotalAvailableQuantity":3750,"AvailableOnHandQuantity":3750,"InventorySiteId":"VEN","dataAreaId":"hgv","ProductColorId":"","ProductConfigurationId":"","ProductSizeId":"","ProductStyleId":""}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</si>
  <si>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{"ItemNumber":"56479","ProductName":"Rewe Soepgroenten 250g KE","InventoryWarehouseId":"EP","OnHandQuantity":11862,"TotalAvailableQuantity":11862,"AvailableOnHandQuantity":11862,"InventorySiteId":"VEN","dataAreaId":"hgv","ProductColorId":"","ProductConfigurationId":"","ProductSizeId":"","ProductStyleId":""}</t>
  </si>
  <si>
    <t>{"ItemNumber":"56480","ProductName":"REWE Spruiten 350g KE","InventoryWarehouseId":"EP","OnHandQuantity":16144,"TotalAvailableQuantity":16144,"AvailableOnHandQuantity":16144,"InventorySiteId":"VEN","dataAreaId":"hgv","ProductColorId":"","ProductConfigurationId":"","ProductSizeId":"","ProductStyleId":""}</t>
  </si>
  <si>
    <t>{"ItemNumber":"56482","ProductName":"Rewe Soepgroenten 250g BE","InventoryWarehouseId":"EP","OnHandQuantity":38500,"TotalAvailableQuantity":38500,"AvailableOnHandQuantity":38500,"InventorySiteId":"VEN","dataAreaId":"hgv","ProductColorId":"","ProductConfigurationId":"","ProductSizeId":"","ProductStyleId":""}</t>
  </si>
  <si>
    <t>{"ItemNumber":"56483","ProductName":"RE Spruiten 350g BE","InventoryWarehouseId":"EP","OnHandQuantity":64151,"TotalAvailableQuantity":64151,"AvailableOnHandQuantity":64151,"InventorySiteId":"VEN","dataAreaId":"hgv","ProductColorId":"","ProductConfigurationId":"","ProductSizeId":"","ProductStyleId":""}</t>
  </si>
  <si>
    <t>{"ItemNumber":"56485","ProductName":"Red cabbage with citrus dressing 4*320g SAL OE V2","InventoryWarehouseId":"EP","OnHandQuantity":57500,"TotalAvailableQuantity":57500,"AvailableOnHandQuantity":57500,"InventorySiteId":"VEN","dataAreaId":"hgv","ProductColorId":"","ProductConfigurationId":"","ProductSizeId":"","ProductStyleId":""}</t>
  </si>
  <si>
    <t>{"ItemNumber":"56486","ProductName":"Waldorf salad w. coleslaw dressing 4*390g SAL OE V2","InventoryWarehouseId":"EP","OnHandQuantity":2126,"TotalAvailableQuantity":2126,"AvailableOnHandQuantity":2126,"InventorySiteId":"VEN","dataAreaId":"hgv","ProductColorId":"","ProductConfigurationId":"","ProductSizeId":"","ProductStyleId":""}</t>
  </si>
  <si>
    <t>{"ItemNumber":"56501","ProductName":"MB Tomato &amp; Mozzarella 400g C-Label SAL NU","InventoryWarehouseId":"EP","OnHandQuantity":4200,"TotalAvailableQuantity":4200,"AvailableOnHandQuantity":4200,"InventorySiteId":"VEN","dataAreaId":"hgv","ProductColorId":"","ProductConfigurationId":"","ProductSizeId":"","ProductStyleId":""}</t>
  </si>
  <si>
    <t>{"ItemNumber":"56502","ProductName":"MB Corn &amp; Nuts 400g C-Label SAL NU","InventoryWarehouseId":"EP","OnHandQuantity":12692,"TotalAvailableQuantity":12692,"AvailableOnHandQuantity":12692,"InventorySiteId":"VEN","dataAreaId":"hgv","ProductColorId":"","ProductConfigurationId":"","ProductSizeId":"","ProductStyleId":""}</t>
  </si>
  <si>
    <t>{"ItemNumber":"56503","ProductName":"MB Avocado &amp; Tortilla 400g C-Label SAL NU","InventoryWarehouseId":"EP","OnHandQuantity":32551,"TotalAvailableQuantity":32551,"AvailableOnHandQuantity":32551,"InventorySiteId":"VEN","dataAreaId":"hgv","ProductColorId":"","ProductConfigurationId":"","ProductSizeId":"","ProductStyleId":""}</t>
  </si>
  <si>
    <t>{"ItemNumber":"56504","ProductName":"MB Cabbage &amp; Edamame 400g C-Label SAL NU","InventoryWarehouseId":"EP","OnHandQuantity":14183,"TotalAvailableQuantity":14183,"AvailableOnHandQuantity":14183,"InventorySiteId":"VEN","dataAreaId":"hgv","ProductColorId":"","ProductConfigurationId":"","ProductSizeId":"","ProductStyleId":""}</t>
  </si>
  <si>
    <t>{"ItemNumber":"56510","ProductName":"F390 Lidl RBG Provenc. 400g D26-90","InventoryWarehouseId":"EP","OnHandQuantity":8000,"TotalAvailableQuantity":8000,"AvailableOnHandQuantity":8000,"InventorySiteId":"VEN","dataAreaId":"hgv","ProductColorId":"","ProductConfigurationId":"","ProductSizeId":"","ProductStyleId":""}</t>
  </si>
  <si>
    <t>{"ItemNumber":"56511","ProductName":"F390 Lidl Oosterse Wok 400g P160","InventoryWarehouseId":"EP","OnHandQuantity":9000,"TotalAvailableQuantity":9000,"AvailableOnHandQuantity":9000,"InventorySiteId":"VEN","dataAreaId":"hgv","ProductColorId":"","ProductConfigurationId":"","ProductSizeId":"","ProductStyleId":""}</t>
  </si>
  <si>
    <t>{"ItemNumber":"56517","ProductName":"MB Tomato &amp; Pasta 400g C-Label SAL NU","InventoryWarehouseId":"EP","OnHandQuantity":12870,"TotalAvailableQuantity":12870,"AvailableOnHandQuantity":12870,"InventorySiteId":"VEN","dataAreaId":"hgv","ProductColorId":"","ProductConfigurationId":"","ProductSizeId":"","ProductStyleId":""}</t>
  </si>
  <si>
    <t>{"ItemNumber":"56524","ProductName":"FQ Krulsla Melange 100g PLP BE","InventoryWarehouseId":"EP","OnHandQuantity":0,"TotalAvailableQuantity":0,"AvailableOnHandQuantity":0,"InventorySiteId":"VEN","dataAreaId":"hgv","ProductColorId":"","ProductConfigurationId":"","ProductSizeId":"","ProductStyleId":""}</t>
  </si>
  <si>
    <t>{"ItemNumber":"56527","ProductName":"INK BE 161885 tbv Rucola Melange 75g 200005","InventoryWarehouseId":"EP","OnHandQuantity":2500,"TotalAvailableQuantity":2500,"AvailableOnHandQuantity":2500,"InventorySiteId":"VEN","dataAreaId":"hgv","ProductColorId":"","ProductConfigurationId":"","ProductSizeId":"","ProductStyleId":""}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</si>
  <si>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{"ItemNumber":"56536","ProductName":"INK BE 161259 tbv Slamel. Veldsla 500g 210040","InventoryWarehouseId":"EP","OnHandQuantity":36000,"TotalAvailableQuantity":36000,"AvailableOnHandQuantity":36000,"InventorySiteId":"VEN","dataAreaId":"hgv","ProductColorId":"","ProductConfigurationId":"","ProductSizeId":"","ProductStyleId":""}</t>
  </si>
  <si>
    <t>{"ItemNumber":"56537","ProductName":"INK BE 161255 tbv Ijsberg Frisee 500g S 210036","InventoryWarehouseId":"EP","OnHandQuantity":44000,"TotalAvailableQuantity":44000,"AvailableOnHandQuantity":44000,"InventorySiteId":"VEN","dataAreaId":"hgv","ProductColorId":"","ProductConfigurationId":"","ProductSizeId":"","ProductStyleId":""}</t>
  </si>
  <si>
    <t>{"ItemNumber":"56549","ProductName":"F670 PL Spinazie 600g P90 PLP V4","InventoryWarehouseId":"EP","OnHandQuantity":14000,"TotalAvailableQuantity":14000,"AvailableOnHandQuantity":14000,"InventorySiteId":"VEN","dataAreaId":"hgv","ProductColorId":"","ProductConfigurationId":"","ProductSizeId":"","ProductStyleId":""}</t>
  </si>
  <si>
    <t>{"ItemNumber":"56550","ProductName":"F670 folie P60","InventoryWarehouseId":"EP","OnHandQuantity":39971.02,"TotalAvailableQuantity":39971.02,"AvailableOnHandQuantity":39971.02,"InventorySiteId":"VEN","dataAreaId":"hgv","ProductColorId":"","ProductConfigurationId":"","ProductSizeId":"","ProductStyleId":""}</t>
  </si>
  <si>
    <t>{"ItemNumber":"56573","ProductName":"REWE Spinat 300g KE","InventoryWarehouseId":"EP","OnHandQuantity":6047,"TotalAvailableQuantity":21047,"AvailableOnHandQuantity":6047,"InventorySiteId":"VEN","dataAreaId":"hgv","ProductColorId":"","ProductConfigurationId":"","ProductSizeId":"","ProductStyleId":""}</t>
  </si>
  <si>
    <t>{"ItemNumber":"56574","ProductName":"F530 REWE Spinat 300g P60","InventoryWarehouseId":"EP","OnHandQuantity":56200,"TotalAvailableQuantity":56200,"AvailableOnHandQuantity":56200,"InventorySiteId":"VEN","dataAreaId":"hgv","ProductColorId":"","ProductConfigurationId":"","ProductSizeId":"","ProductStyleId":""}</t>
  </si>
  <si>
    <t>{"ItemNumber":"56575","ProductName":"REWE Weisskohl 300g KE","InventoryWarehouseId":"EP","OnHandQuantity":26486,"TotalAvailableQuantity":26486,"AvailableOnHandQuantity":26486,"InventorySiteId":"VEN","dataAreaId":"hgv","ProductColorId":"","ProductConfigurationId":"","ProductSizeId":"","ProductStyleId":""}</t>
  </si>
  <si>
    <t>{"ItemNumber":"56576","ProductName":"REWE Weisskohl 300g BE","InventoryWarehouseId":"EP","OnHandQuantity":42664,"TotalAvailableQuantity":102664,"AvailableOnHandQuantity":42664,"InventorySiteId":"VEN","dataAreaId":"hgv","ProductColorId":"","ProductConfigurationId":"","ProductSizeId":"","ProductStyleId":""}</t>
  </si>
  <si>
    <t>{"ItemNumber":"56577","ProductName":"OS FQ Sperzieboon Bacon 300g BE","InventoryWarehouseId":"EP","OnHandQuantity":9000,"TotalAvailableQuantity":9000,"AvailableOnHandQuantity":9000,"InventorySiteId":"VEN","dataAreaId":"hgv","ProductColorId":"","ProductConfigurationId":"","ProductSizeId":"","ProductStyleId":""}</t>
  </si>
  <si>
    <t>{"ItemNumber":"56586","ProductName":"INK BE tbv 161051 Groentemix BBP op zak 400g 230160","InventoryWarehouseId":"EP","OnHandQuantity":8750,"TotalAvailableQuantity":8750,"AvailableOnHandQuantity":8750,"InventorySiteId":"VEN","dataAreaId":"hgv","ProductColorId":"","ProductConfigurationId":"","ProductSizeId":"","ProductStyleId":""}</t>
  </si>
  <si>
    <t>{"ItemNumber":"56600","ProductName":"GLOBUS Feldsalat Mix 5*100g KE","InventoryWarehouseId":"EP","OnHandQuantity":5385,"TotalAvailableQuantity":5385,"AvailableOnHandQuantity":5385,"InventorySiteId":"VEN","dataAreaId":"hgv","ProductColorId":"","ProductConfigurationId":"","ProductSizeId":"","ProductStyleId":""}</t>
  </si>
  <si>
    <t>{"ItemNumber":"56601","ProductName":"GLOBUS Blattsalat Mix 4*150g KE","InventoryWarehouseId":"EP","OnHandQuantity":8242,"TotalAvailableQuantity":8242,"AvailableOnHandQuantity":8242,"InventorySiteId":"VEN","dataAreaId":"hgv","ProductColorId":"","ProductConfigurationId":"","ProductSizeId":"","ProductStyleId":""}</t>
  </si>
  <si>
    <t>{"ItemNumber":"56602","ProductName":"GLOBUS Eissalat Mix 4*150g KE","InventoryWarehouseId":"EP","OnHandQuantity":20165,"TotalAvailableQuantity":20165,"AvailableOnHandQuantity":20165,"InventorySiteId":"VEN","dataAreaId":"hgv","ProductColorId":"","ProductConfigurationId":"","ProductSizeId":"","ProductStyleId":""}</t>
  </si>
  <si>
    <t>{"ItemNumber":"56603","ProductName":"NETTO MD Salatschale Schinken Käse 4*300g KE","InventoryWarehouseId":"EP","OnHandQuantity":29549,"TotalAvailableQuantity":29549,"AvailableOnHandQuantity":29549,"InventorySiteId":"VEN","dataAreaId":"hgv","ProductColorId":"","ProductConfigurationId":"","ProductSizeId":"","ProductStyleId":""}</t>
  </si>
  <si>
    <t>{"ItemNumber":"56604","ProductName":"NETTO MD Salatschale Caesar 4*300g KE","InventoryWarehouseId":"EP","OnHandQuantity":19282,"TotalAvailableQuantity":19282,"AvailableOnHandQuantity":19282,"InventorySiteId":"VEN","dataAreaId":"hgv","ProductColorId":"","ProductConfigurationId":"","ProductSizeId":"","ProductStyleId":""}</t>
  </si>
  <si>
    <t>{"ItemNumber":"56605","ProductName":"GLOBUS Eisberg geschnitten 4*250g KE","InventoryWarehouseId":"EP","OnHandQuantity":18321,"TotalAvailableQuantity":18321,"AvailableOnHandQuantity":18321,"InventorySiteId":"VEN","dataAreaId":"hgv","ProductColorId":"","ProductConfigurationId":"","ProductSizeId":"","ProductStyleId":""}</t>
  </si>
  <si>
    <t>{"ItemNumber":"56607","ProductName":"NETTO MD Salatschale Hänchen mit Senf dressing 4*300G KE","InventoryWarehouseId":"EP","OnHandQuantity":31851,"TotalAvailableQuantity":31851,"AvailableOnHandQuantity":31851,"InventorySiteId":"VEN","dataAreaId":"hgv","ProductColorId":"","ProductConfigurationId":"","ProductSizeId":"","ProductStyleId":""}</t>
  </si>
  <si>
    <t>{"ItemNumber":"56611","ProductName":"GLOBUS Salatschale Caesar 4*300g KE","InventoryWarehouseId":"EP","OnHandQuantity":14000,"TotalAvailableQuantity":14000,"AvailableOnHandQuantity":14000,"InventorySiteId":"VEN","dataAreaId":"hgv","ProductColorId":"","ProductConfigurationId":"","ProductSizeId":"","ProductStyleId":""}</t>
  </si>
  <si>
    <t>{"ItemNumber":"56612","ProductName":"GLOBUS Salatschale Schinken Käse 4*300g KE","InventoryWarehouseId":"EP","OnHandQuantity":14000,"TotalAvailableQuantity":14000,"AvailableOnHandQuantity":14000,"InventorySiteId":"VEN","dataAreaId":"hgv","ProductColorId":"","ProductConfigurationId":"","ProductSizeId":"","ProductStyleId":""}</t>
  </si>
  <si>
    <t>{"ItemNumber":"56614","ProductName":"REWE Mischkarton Snack Salatschalen 9*150g KE","InventoryWarehouseId":"EP","OnHandQuantity":15000,"TotalAvailableQuantity":15000,"AvailableOnHandQuantity":15000,"InventorySiteId":"VEN","dataAreaId":"hgv","ProductColorId":"","ProductConfigurationId":"","ProductSizeId":"","ProductStyleId":""}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</si>
  <si>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{"ItemNumber":"56618","ProductName":"GLOBUS Rotkohl gesnitten 4*400g KE","InventoryWarehouseId":"EP","OnHandQuantity":19687,"TotalAvailableQuantity":19687,"AvailableOnHandQuantity":19687,"InventorySiteId":"VEN","dataAreaId":"hgv","ProductColorId":"","ProductConfigurationId":"","ProductSizeId":"","ProductStyleId":""}</t>
  </si>
  <si>
    <t>{"ItemNumber":"56619","ProductName":"GLOBUS Suppengemüse 4*250g KE","InventoryWarehouseId":"EP","OnHandQuantity":21000,"TotalAvailableQuantity":21000,"AvailableOnHandQuantity":21000,"InventorySiteId":"VEN","dataAreaId":"hgv","ProductColorId":"","ProductConfigurationId":"","ProductSizeId":"","ProductStyleId":""}</t>
  </si>
  <si>
    <t>{"ItemNumber":"56620","ProductName":"GLOBUS Wok mix Japanische Art 4*400g KE","InventoryWarehouseId":"EP","OnHandQuantity":20114,"TotalAvailableQuantity":20114,"AvailableOnHandQuantity":20114,"InventorySiteId":"VEN","dataAreaId":"hgv","ProductColorId":"","ProductConfigurationId":"","ProductSizeId":"","ProductStyleId":""}</t>
  </si>
  <si>
    <t>{"ItemNumber":"56627","ProductName":"B&amp;G PENNY Mischkarton Snacksalate 4*150g KE","InventoryWarehouseId":"EP","OnHandQuantity":30000,"TotalAvailableQuantity":30000,"AvailableOnHandQuantity":30000,"InventorySiteId":"VEN","dataAreaId":"hgv","ProductColorId":"","ProductConfigurationId":"","ProductSizeId":"","ProductStyleId":""}</t>
  </si>
  <si>
    <t>{"ItemNumber":"56630","ProductName":"INK BE tbv 161056 Snackwortel 400g 230390","InventoryWarehouseId":"EP","OnHandQuantity":15000,"TotalAvailableQuantity":15000,"AvailableOnHandQuantity":15000,"InventorySiteId":"VEN","dataAreaId":"hgv","ProductColorId":"","ProductConfigurationId":"","ProductSizeId":"","ProductStyleId":""}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</si>
  <si>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{"ItemNumber":"56633","ProductName":"FQ Spruiten 350g BE","InventoryWarehouseId":"EP","OnHandQuantity":13500,"TotalAvailableQuantity":13500,"AvailableOnHandQuantity":13500,"InventorySiteId":"VEN","dataAreaId":"hgv","ProductColorId":"","ProductConfigurationId":"","ProductSizeId":"","ProductStyleId":""}</t>
  </si>
  <si>
    <t>{"ItemNumber":"56637","ProductName":"FQ Zoete Aardappelfr. 400g BE","InventoryWarehouseId":"EP","OnHandQuantity":17855,"TotalAvailableQuantity":17763,"AvailableOnHandQuantity":17855,"InventorySiteId":"VEN","dataAreaId":"hgv","ProductColorId":"","ProductConfigurationId":"","ProductSizeId":"","ProductStyleId":""}</t>
  </si>
  <si>
    <t>{"ItemNumber":"56638","ProductName":"FQ Pompoenblokjes 400g BE","InventoryWarehouseId":"EP","OnHandQuantity":18000,"TotalAvailableQuantity":18000,"AvailableOnHandQuantity":18000,"InventorySiteId":"VEN","dataAreaId":"hgv","ProductColorId":"","ProductConfigurationId":"","ProductSizeId":"","ProductStyleId":""}</t>
  </si>
  <si>
    <t>{"ItemNumber":"56641","ProductName":"FQ Boeren Soepgroenten 400g BE","InventoryWarehouseId":"EP","OnHandQuantity":21000,"TotalAvailableQuantity":21000,"AvailableOnHandQuantity":21000,"InventorySiteId":"VEN","dataAreaId":"hgv","ProductColorId":"","ProductConfigurationId":"","ProductSizeId":"","ProductStyleId":""}</t>
  </si>
  <si>
    <t>{"ItemNumber":"56642","ProductName":"FQ RBG Champignon 400g BE","InventoryWarehouseId":"EP","OnHandQuantity":18000,"TotalAvailableQuantity":18000,"AvailableOnHandQuantity":18000,"InventorySiteId":"VEN","dataAreaId":"hgv","ProductColorId":"","ProductConfigurationId":"","ProductSizeId":"","ProductStyleId":""}</t>
  </si>
  <si>
    <t>{"ItemNumber":"56643","ProductName":"FQ RBG Champignon 400g KE","InventoryWarehouseId":"EP","OnHandQuantity":10000,"TotalAvailableQuantity":10000,"AvailableOnHandQuantity":10000,"InventorySiteId":"VEN","dataAreaId":"hgv","ProductColorId":"","ProductConfigurationId":"","ProductSizeId":"","ProductStyleId":""}</t>
  </si>
  <si>
    <t>{"ItemNumber":"56645","ProductName":"FQ RBG Italiaans 400g BE","InventoryWarehouseId":"EP","OnHandQuantity":11958,"TotalAvailableQuantity":11958,"AvailableOnHandQuantity":11958,"InventorySiteId":"VEN","dataAreaId":"hgv","ProductColorId":"","ProductConfigurationId":"","ProductSizeId":"","ProductStyleId":""}</t>
  </si>
  <si>
    <t>{"ItemNumber":"56646","ProductName":"FQ RBG Provencaals 400g BE","InventoryWarehouseId":"EP","OnHandQuantity":16500,"TotalAvailableQuantity":16500,"AvailableOnHandQuantity":16500,"InventorySiteId":"VEN","dataAreaId":"hgv","ProductColorId":"","ProductConfigurationId":"","ProductSizeId":"","ProductStyleId":""}</t>
  </si>
  <si>
    <t>{"ItemNumber":"56648","ProductName":"Bijplak 10% korting 45x45 mm wik 6","InventoryWarehouseId":"EP","OnHandQuantity":1524700,"TotalAvailableQuantity":1524700,"AvailableOnHandQuantity":1524700,"InventorySiteId":"VEN","dataAreaId":"hgv","ProductColorId":"","ProductConfigurationId":"","ProductSizeId":"","ProductStyleId":""}</t>
  </si>
  <si>
    <t>{"ItemNumber":"56649","ProductName":"F270 SAL MTS Indiase kip 400g P30","InventoryWarehouseId":"EP","OnHandQuantity":3854.41,"TotalAvailableQuantity":3854.41,"AvailableOnHandQuantity":3854.41,"InventorySiteId":"VEN","dataAreaId":"hgv","ProductColorId":"","ProductConfigurationId":"","ProductSizeId":"","ProductStyleId":""}</t>
  </si>
  <si>
    <t>{"ItemNumber":"56650","ProductName":"MTS Indiase kip 400g OE SAL","InventoryWarehouseId":"EP","OnHandQuantity":11384,"TotalAvailableQuantity":11384,"AvailableOnHandQuantity":11384,"InventorySiteId":"VEN","dataAreaId":"hgv","ProductColorId":"","ProductConfigurationId":"","ProductSizeId":"","ProductStyleId":""}</t>
  </si>
  <si>
    <t>{"ItemNumber":"56651","ProductName":"SAL SD CaulifOrient 300g BE","InventoryWarehouseId":"EP","OnHandQuantity":11308,"TotalAvailableQuantity":11308,"AvailableOnHandQuantity":11308,"InventorySiteId":"VEN","dataAreaId":"hgv","ProductColorId":"","ProductConfigurationId":"","ProductSizeId":"","ProductStyleId":""}</t>
  </si>
  <si>
    <t>{"ItemNumber":"56652","ProductName":"SAL SD CaulifOrient 300g OE","InventoryWarehouseId":"EP","OnHandQuantity":3444,"TotalAvailableQuantity":3444,"AvailableOnHandQuantity":3444,"InventorySiteId":"VEN","dataAreaId":"hgv","ProductColorId":"","ProductConfigurationId":"","ProductSizeId":"","ProductStyleId":""}</t>
  </si>
  <si>
    <t>{"ItemNumber":"56653","ProductName":"SAL SD Quinoa wNuts300g BE","InventoryWarehouseId":"EP","OnHandQuantity":13154,"TotalAvailableQuantity":13154,"AvailableOnHandQuantity":13154,"InventorySiteId":"VEN","dataAreaId":"hgv","ProductColorId":"","ProductConfigurationId":"","ProductSizeId":"","ProductStyleId":""}</t>
  </si>
  <si>
    <t>{"ItemNumber":"56654","ProductName":"SAL SD Quinoa wNuts300g OE","InventoryWarehouseId":"EP","OnHandQuantity":8470,"TotalAvailableQuantity":8470,"AvailableOnHandQuantity":8470,"InventorySiteId":"VEN","dataAreaId":"hgv","ProductColorId":"","ProductConfigurationId":"","ProductSizeId":"","ProductStyleId":""}</t>
  </si>
  <si>
    <t>{"ItemNumber":"56666","ProductName":"NEMT SD Bulgur 230g OE","InventoryWarehouseId":"EP","OnHandQuantity":5000,"TotalAvailableQuantity":5000,"AvailableOnHandQuantity":5000,"InventorySiteId":"VEN","dataAreaId":"hgv","ProductColorId":"","ProductConfigurationId":"","ProductSizeId":"","ProductStyleId":""}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</si>
  <si>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{"ItemNumber":"56672","ProductName":"Netto MD Salatbeutel Mix I 6er KE","InventoryWarehouseId":"EP","OnHandQuantity":22500,"TotalAvailableQuantity":21297,"AvailableOnHandQuantity":22500,"InventorySiteId":"VEN","dataAreaId":"hgv","ProductColorId":"","ProductConfigurationId":"","ProductSizeId":"","ProductStyleId":""}</t>
  </si>
  <si>
    <t>{"ItemNumber":"56673","ProductName":"Netto MD Salatbeutel Mix 2 6er KE","InventoryWarehouseId":"EP","OnHandQuantity":20250,"TotalAvailableQuantity":18567,"AvailableOnHandQuantity":20250,"InventorySiteId":"VEN","dataAreaId":"hgv","ProductColorId":"","ProductConfigurationId":"","ProductSizeId":"","ProductStyleId":""}</t>
  </si>
  <si>
    <t>{"ItemNumber":"56682","ProductName":"FQ OS Spruiten Spek 400g OE","InventoryWarehouseId":"EP","OnHandQuantity":28526,"TotalAvailableQuantity":28526,"AvailableOnHandQuantity":28526,"InventorySiteId":"VEN","dataAreaId":"hgv","ProductColorId":"","ProductConfigurationId":"","ProductSizeId":"","ProductStyleId":""}</t>
  </si>
  <si>
    <t>{"ItemNumber":"56690","ProductName":"FQ OS Sperzie Bacon 300g OE","InventoryWarehouseId":"EP","OnHandQuantity":25000,"TotalAvailableQuantity":25000,"AvailableOnHandQuantity":25000,"InventorySiteId":"VEN","dataAreaId":"hgv","ProductColorId":"","ProductConfigurationId":"","ProductSizeId":"","ProductStyleId":""}</t>
  </si>
  <si>
    <t>{"ItemNumber":"56691","ProductName":"F220 JU SS Witlof 335g","InventoryWarehouseId":"EP","OnHandQuantity":17731.36,"TotalAvailableQuantity":17731.36,"AvailableOnHandQuantity":17731.36,"InventorySiteId":"VEN","dataAreaId":"hgv","ProductColorId":"","ProductConfigurationId":"","ProductSizeId":"","ProductStyleId":""}</t>
  </si>
  <si>
    <t>{"ItemNumber":"56692","ProductName":"JU SS Witlof 335g OE ø90","InventoryWarehouseId":"EP","OnHandQuantity":23061,"TotalAvailableQuantity":30561,"AvailableOnHandQuantity":23061,"InventorySiteId":"VEN","dataAreaId":"hgv","ProductColorId":"","ProductConfigurationId":"","ProductSizeId":"","ProductStyleId":""}</t>
  </si>
  <si>
    <t>{"ItemNumber":"56698","ProductName":"PL SB Kip Pesto BLK1 350g BE Ø90","InventoryWarehouseId":"EP","OnHandQuantity":2380,"TotalAvailableQuantity":2380,"AvailableOnHandQuantity":2380,"InventorySiteId":"VEN","dataAreaId":"hgv","ProductColorId":"","ProductConfigurationId":"","ProductSizeId":"","ProductStyleId":""}</t>
  </si>
  <si>
    <t>{"ItemNumber":"56699","ProductName":"PL SB Kip Pesto BLK1 350g OE 90x90","InventoryWarehouseId":"EP","OnHandQuantity":4664,"TotalAvailableQuantity":4642,"AvailableOnHandQuantity":4664,"InventorySiteId":"VEN","dataAreaId":"hgv","ProductColorId":"","ProductConfigurationId":"","ProductSizeId":"","ProductStyleId":""}</t>
  </si>
  <si>
    <t>{"ItemNumber":"56704","ProductName":"SP SB Kip Pesto BLK1 350g BE 85x85","InventoryWarehouseId":"EP","OnHandQuantity":4435,"TotalAvailableQuantity":4435,"AvailableOnHandQuantity":4435,"InventorySiteId":"VEN","dataAreaId":"hgv","ProductColorId":"","ProductConfigurationId":"","ProductSizeId":"","ProductStyleId":""}</t>
  </si>
  <si>
    <t>{"ItemNumber":"56710","ProductName":"SP SB Kip Pesto BLK1 350g OE 80x80","InventoryWarehouseId":"EP","OnHandQuantity":13511,"TotalAvailableQuantity":13511,"AvailableOnHandQuantity":13511,"InventorySiteId":"VEN","dataAreaId":"hgv","ProductColorId":"","ProductConfigurationId":"","ProductSizeId":"","ProductStyleId":""}</t>
  </si>
  <si>
    <t>{"ItemNumber":"56721","ProductName":"Globus SB Classic c-label V2","InventoryWarehouseId":"EP","OnHandQuantity":14537,"TotalAvailableQuantity":14537,"AvailableOnHandQuantity":14537,"InventorySiteId":"VEN","dataAreaId":"hgv","ProductColorId":"","ProductConfigurationId":"","ProductSizeId":"","ProductStyleId":""}</t>
  </si>
  <si>
    <t>{"ItemNumber":"56722","ProductName":"Globus SB Classic KE V2","InventoryWarehouseId":"EP","OnHandQuantity":20957,"TotalAvailableQuantity":20957,"AvailableOnHandQuantity":20957,"InventorySiteId":"VEN","dataAreaId":"hgv","ProductColorId":"","ProductConfigurationId":"","ProductSizeId":"","ProductStyleId":""}</t>
  </si>
  <si>
    <t>{"ItemNumber":"56729","ProductName":"F220 PL LS CaesrBLK1V1 250g","InventoryWarehouseId":"EP","OnHandQuantity":16470,"TotalAvailableQuantity":16470,"AvailableOnHandQuantity":16470,"InventorySiteId":"VEN","dataAreaId":"hgv","ProductColorId":"","ProductConfigurationId":"","ProductSizeId":"","ProductStyleId":""}</t>
  </si>
  <si>
    <t>{"ItemNumber":"56730","ProductName":"PL LS Caesar 250g OE","InventoryWarehouseId":"EP","OnHandQuantity":20000,"TotalAvailableQuantity":20000,"AvailableOnHandQuantity":20000,"InventorySiteId":"VEN","dataAreaId":"hgv","ProductColorId":"","ProductConfigurationId":"","ProductSizeId":"","ProductStyleId":""}</t>
  </si>
  <si>
    <t>{"ItemNumber":"56731","ProductName":"F220 PL LS Couscous Falafel 305g","InventoryWarehouseId":"EP","OnHandQuantity":3061.93,"TotalAvailableQuantity":3061.93,"AvailableOnHandQuantity":3061.93,"InventorySiteId":"VEN","dataAreaId":"hgv","ProductColorId":"","ProductConfigurationId":"","ProductSizeId":"","ProductStyleId":""}</t>
  </si>
  <si>
    <t>{"ItemNumber":"56732","ProductName":"SU LS Couscous Falafel 305g OE","InventoryWarehouseId":"EP","OnHandQuantity":14599,"TotalAvailableQuantity":14599,"AvailableOnHandQuantity":14599,"InventorySiteId":"VEN","dataAreaId":"hgv","ProductColorId":"","ProductConfigurationId":"","ProductSizeId":"","ProductStyleId":""}</t>
  </si>
  <si>
    <t>{"ItemNumber":"56735","ProductName":"F270 PL MTS Mango Hazelnoot Vegan 400g","InventoryWarehouseId":"EP","OnHandQuantity":1534.1,"TotalAvailableQuantity":1534.1,"AvailableOnHandQuantity":1534.1,"InventorySiteId":"VEN","dataAreaId":"hgv","ProductColorId":"","ProductConfigurationId":"","ProductSizeId":"","ProductStyleId":""}</t>
  </si>
  <si>
    <t>{"ItemNumber":"56736","ProductName":"PL MTS Mango Hazelnoot Vegan 400g OE","InventoryWarehouseId":"EP","OnHandQuantity":6789,"TotalAvailableQuantity":6789,"AvailableOnHandQuantity":6789,"InventorySiteId":"VEN","dataAreaId":"hgv","ProductColorId":"","ProductConfigurationId":"","ProductSizeId":"","ProductStyleId":""}</t>
  </si>
  <si>
    <t>{"ItemNumber":"56737","ProductName":"F270 PL MTS Kip Bac. BL1K1V1 400g","InventoryWarehouseId":"EP","OnHandQuantity":3044.31,"TotalAvailableQuantity":3044.31,"AvailableOnHandQuantity":3044.31,"InventorySiteId":"VEN","dataAreaId":"hgv","ProductColorId":"","ProductConfigurationId":"","ProductSizeId":"","ProductStyleId":""}</t>
  </si>
  <si>
    <t>{"ItemNumber":"56738","ProductName":"PL MTS Kip Bac. BL1K1V1 400g OE","InventoryWarehouseId":"EP","OnHandQuantity":18000,"TotalAvailableQuantity":18000,"AvailableOnHandQuantity":18000,"InventorySiteId":"VEN","dataAreaId":"hgv","ProductColorId":"","ProductConfigurationId":"","ProductSizeId":"","ProductStyleId":""}</t>
  </si>
  <si>
    <t>{"ItemNumber":"56742","ProductName":"SU KS Quinoa notenmix 200g Vegan ZE","InventoryWarehouseId":"EP","OnHandQuantity":28610,"TotalAvailableQuantity":28610,"AvailableOnHandQuantity":28610,"InventorySiteId":"VEN","dataAreaId":"hgv","ProductColorId":"","ProductConfigurationId":"","ProductSizeId":"","ProductStyleId":""}</t>
  </si>
  <si>
    <t>{"ItemNumber":"56743","ProductName":"SU KS Quinoa Notenmix 200g Vegan OE","InventoryWarehouseId":"EP","OnHandQuantity":16664,"TotalAvailableQuantity":16664,"AvailableOnHandQuantity":16664,"InventorySiteId":"VEN","dataAreaId":"hgv","ProductColorId":"","ProductConfigurationId":"","ProductSizeId":"","ProductStyleId":""}</t>
  </si>
  <si>
    <t>{"ItemNumber":"56744","ProductName":"SU KS Couscous Hummus 200g Veggie ZE","InventoryWarehouseId":"EP","OnHandQuantity":35930,"TotalAvailableQuantity":35930,"AvailableOnHandQuantity":35930,"InventorySiteId":"VEN","dataAreaId":"hgv","ProductColorId":"","ProductConfigurationId":"","ProductSizeId":"","ProductStyleId":""}</t>
  </si>
  <si>
    <t>{"ItemNumber":"56745","ProductName":"SU KS Couscous Hummus 200g Veggie OE","InventoryWarehouseId":"EP","OnHandQuantity":4186,"TotalAvailableQuantity":4186,"AvailableOnHandQuantity":4186,"InventorySiteId":"VEN","dataAreaId":"hgv","ProductColorId":"","ProductConfigurationId":"","ProductSizeId":"","ProductStyleId":""}</t>
  </si>
  <si>
    <t>{"ItemNumber":"56746","ProductName":"SP LS Caesar 250g OE 95x60","InventoryWarehouseId":"EP","OnHandQuantity":12301,"TotalAvailableQuantity":12301,"AvailableOnHandQuantity":12301,"InventorySiteId":"VEN","dataAreaId":"hgv","ProductColorId":"","ProductConfigurationId":"","ProductSizeId":"","ProductStyleId":""}</t>
  </si>
  <si>
    <t>{"ItemNumber":"56749","ProductName":"SP LS Caesar 250g BE 94x60","InventoryWarehouseId":"EP","OnHandQuantity":4980,"TotalAvailableQuantity":4980,"AvailableOnHandQuantity":4980,"InventorySiteId":"VEN","dataAreaId":"hgv","ProductColorId":"","ProductConfigurationId":"","ProductSizeId":"","ProductStyleId":""}</t>
  </si>
  <si>
    <t>{"ItemNumber":"56756","ProductName":"GLOBUS Weisskohl geschnitten 4*300g KE","InventoryWarehouseId":"EP","OnHandQuantity":2000,"TotalAvailableQuantity":2000,"AvailableOnHandQuantity":2000,"InventorySiteId":"VEN","dataAreaId":"hgv","ProductColorId":"","ProductConfigurationId":"","ProductSizeId":"","ProductStyleId":""}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</si>
  <si>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{"ItemNumber":"56771","ProductName":"F220 SS Italiaans JU 250g","InventoryWarehouseId":"EP","OnHandQuantity":11107.55,"TotalAvailableQuantity":11107.55,"AvailableOnHandQuantity":11107.55,"InventorySiteId":"VEN","dataAreaId":"hgv","ProductColorId":"","ProductConfigurationId":"","ProductSizeId":"","ProductStyleId":""}</t>
  </si>
  <si>
    <t>{"ItemNumber":"56772","ProductName":"SS Italiaans 4*250g JU OE","InventoryWarehouseId":"EP","OnHandQuantity":120026,"TotalAvailableQuantity":120026,"AvailableOnHandQuantity":120026,"InventorySiteId":"VEN","dataAreaId":"hgv","ProductColorId":"","ProductConfigurationId":"","ProductSizeId":"","ProductStyleId":""}</t>
  </si>
  <si>
    <t>{"ItemNumber":"56773","ProductName":"F220 JU SS Caesar 285g","InventoryWarehouseId":"EP","OnHandQuantity":10233.72,"TotalAvailableQuantity":10233.72,"AvailableOnHandQuantity":10233.72,"InventorySiteId":"VEN","dataAreaId":"hgv","ProductColorId":"","ProductConfigurationId":"","ProductSizeId":"","ProductStyleId":""}</t>
  </si>
  <si>
    <t>{"ItemNumber":"56774","ProductName":"JU SS Caesar 285g OE ø90","InventoryWarehouseId":"EP","OnHandQuantity":89579,"TotalAvailableQuantity":89579,"AvailableOnHandQuantity":89579,"InventorySiteId":"VEN","dataAreaId":"hgv","ProductColorId":"","ProductConfigurationId":"","ProductSizeId":"","ProductStyleId":""}</t>
  </si>
  <si>
    <t>{"ItemNumber":"56777","ProductName":"F220 JU SS Tomaat Komkomm 330g","InventoryWarehouseId":"EP","OnHandQuantity":9074.71,"TotalAvailableQuantity":9074.71,"AvailableOnHandQuantity":9074.71,"InventorySiteId":"VEN","dataAreaId":"hgv","ProductColorId":"","ProductConfigurationId":"","ProductSizeId":"","ProductStyleId":""}</t>
  </si>
  <si>
    <t>{"ItemNumber":"56778","ProductName":"JU SS Tomaat Komk 330g OE ø90","InventoryWarehouseId":"EP","OnHandQuantity":31048,"TotalAvailableQuantity":76048,"AvailableOnHandQuantity":31048,"InventorySiteId":"VEN","dataAreaId":"hgv","ProductColorId":"","ProductConfigurationId":"","ProductSizeId":"","ProductStyleId":""}</t>
  </si>
  <si>
    <t>{"ItemNumber":"56794","ProductName":"F470 PLUS Slamelange gemengd 125g","InventoryWarehouseId":"EP","OnHandQuantity":29846.46,"TotalAvailableQuantity":29846.46,"AvailableOnHandQuantity":29846.46,"InventorySiteId":"VEN","dataAreaId":"hgv","ProductColorId":"","ProductConfigurationId":"","ProductSizeId":"","ProductStyleId":""}</t>
  </si>
  <si>
    <t>{"ItemNumber":"56795","ProductName":"F470 PLUS Bloemkool Broccoli 400g P160","InventoryWarehouseId":"EP","OnHandQuantity":16143.74,"TotalAvailableQuantity":16143.74,"AvailableOnHandQuantity":16143.74,"InventorySiteId":"VEN","dataAreaId":"hgv","ProductColorId":"","ProductConfigurationId":"","ProductSizeId":"","ProductStyleId":""}</t>
  </si>
  <si>
    <t>{"ItemNumber":"56796","ProductName":"F350 PL Bloemkool Broccoli 200gP120PLP","InventoryWarehouseId":"EP","OnHandQuantity":25142.68,"TotalAvailableQuantity":25142.68,"AvailableOnHandQuantity":25142.68,"InventorySiteId":"VEN","dataAreaId":"hgv","ProductColorId":"","ProductConfigurationId":"","ProductSizeId":"","ProductStyleId":""}</t>
  </si>
  <si>
    <t>{"ItemNumber":"56797","ProductName":"F530 PL Spinazie 200g P60","InventoryWarehouseId":"EP","OnHandQuantity":27111.69,"TotalAvailableQuantity":47111.69,"AvailableOnHandQuantity":27111.69,"InventorySiteId":"VEN","dataAreaId":"hgv","ProductColorId":"","ProductConfigurationId":"","ProductSizeId":"","ProductStyleId":""}</t>
  </si>
  <si>
    <t>{"ItemNumber":"56798","ProductName":"F470 SU Slamelange gemengd 125g","InventoryWarehouseId":"EP","OnHandQuantity":8344.8,"TotalAvailableQuantity":18344.8,"AvailableOnHandQuantity":8344.8,"InventorySiteId":"VEN","dataAreaId":"hgv","ProductColorId":"","ProductConfigurationId":"","ProductSizeId":"","ProductStyleId":""}</t>
  </si>
  <si>
    <t>{"ItemNumber":"56799","ProductName":"F350 SU Fijne ijsbergsla 200g","InventoryWarehouseId":"EP","OnHandQuantity":10600.22,"TotalAvailableQuantity":23100.22,"AvailableOnHandQuantity":10600.22,"InventorySiteId":"VEN","dataAreaId":"hgv","ProductColorId":"","ProductConfigurationId":"","ProductSizeId":"","ProductStyleId":""}</t>
  </si>
  <si>
    <t>{"ItemNumber":"56806","ProductName":"F270 JU MTS Asperge 400g","InventoryWarehouseId":"EP","OnHandQuantity":0,"TotalAvailableQuantity":0,"AvailableOnHandQuantity":0,"InventorySiteId":"VEN","dataAreaId":"hgv","ProductColorId":"","ProductConfigurationId":"","ProductSizeId":"","ProductStyleId":""}</t>
  </si>
  <si>
    <t>{"ItemNumber":"56841","ProductName":"F270 COLR MTS Gegr Kip 400g","InventoryWarehouseId":"EP","OnHandQuantity":20961.35,"TotalAvailableQuantity":20961.35,"AvailableOnHandQuantity":20961.35,"InventorySiteId":"VEN","dataAreaId":"hgv","ProductColorId":"","ProductConfigurationId":"","ProductSizeId":"","ProductStyleId":""}</t>
  </si>
  <si>
    <t>{"ItemNumber":"56842","ProductName":"COLR MTS Gegr Kip 400g OE","InventoryWarehouseId":"EP","OnHandQuantity":32083,"TotalAvailableQuantity":32083,"AvailableOnHandQuantity":32083,"InventorySiteId":"VEN","dataAreaId":"hgv","ProductColorId":"","ProductConfigurationId":"","ProductSizeId":"","ProductStyleId":""}</t>
  </si>
  <si>
    <t>{"ItemNumber":"56843","ProductName":"F270 COLR MTS Caesar 400g","InventoryWarehouseId":"EP","OnHandQuantity":6278.73,"TotalAvailableQuantity":6278.73,"AvailableOnHandQuantity":6278.73,"InventorySiteId":"VEN","dataAreaId":"hgv","ProductColorId":"","ProductConfigurationId":"","ProductSizeId":"","ProductStyleId":""}</t>
  </si>
  <si>
    <t>{"ItemNumber":"56844","ProductName":"COLR MTS Caesar 400g OE","InventoryWarehouseId":"EP","OnHandQuantity":46008,"TotalAvailableQuantity":46008,"AvailableOnHandQuantity":46008,"InventorySiteId":"VEN","dataAreaId":"hgv","ProductColorId":"","ProductConfigurationId":"","ProductSizeId":"","ProductStyleId":""}</t>
  </si>
  <si>
    <t>{"ItemNumber":"56845","ProductName":"F270 COLR MTS Tonijn 400g","InventoryWarehouseId":"EP","OnHandQuantity":9488.65,"TotalAvailableQuantity":9488.65,"AvailableOnHandQuantity":9488.65,"InventorySiteId":"VEN","dataAreaId":"hgv","ProductColorId":"","ProductConfigurationId":"","ProductSizeId":"","ProductStyleId":""}</t>
  </si>
  <si>
    <t>{"ItemNumber":"56846","ProductName":"COLR MTS Tonijn 400g OE","InventoryWarehouseId":"EP","OnHandQuantity":14652,"TotalAvailableQuantity":14652,"AvailableOnHandQuantity":14652,"InventorySiteId":"VEN","dataAreaId":"hgv","ProductColorId":"","ProductConfigurationId":"","ProductSizeId":"","ProductStyleId":""}</t>
  </si>
  <si>
    <t>{"ItemNumber":"56847","ProductName":"F270 COLR MTS Geitenkaas 400g","InventoryWarehouseId":"EP","OnHandQuantity":6256.87,"TotalAvailableQuantity":6256.87,"AvailableOnHandQuantity":6256.87,"InventorySiteId":"VEN","dataAreaId":"hgv","ProductColorId":"","ProductConfigurationId":"","ProductSizeId":"","ProductStyleId":""}</t>
  </si>
  <si>
    <t>{"ItemNumber":"56848","ProductName":"COLR MTS Geitenkaas 400g OE","InventoryWarehouseId":"EP","OnHandQuantity":16452,"TotalAvailableQuantity":15367,"AvailableOnHandQuantity":15367,"InventorySiteId":"VEN","dataAreaId":"hgv","ProductColorId":"","ProductConfigurationId":"","ProductSizeId":"","ProductStyleId":""}</t>
  </si>
  <si>
    <t>{"ItemNumber":"56851","ProductName":"F270 COLR MTS Indiase Kip 400g P30","InventoryWarehouseId":"EP","OnHandQuantity":12086.52,"TotalAvailableQuantity":12086.52,"AvailableOnHandQuantity":12086.52,"InventorySiteId":"VEN","dataAreaId":"hgv","ProductColorId":"","ProductConfigurationId":"","ProductSizeId":"","ProductStyleId":""}</t>
  </si>
  <si>
    <t>{"ItemNumber":"56852","ProductName":"COLR MTS Indiase Kip 400g OE","InventoryWarehouseId":"EP","OnHandQuantity":6985,"TotalAvailableQuantity":6985,"AvailableOnHandQuantity":6985,"InventorySiteId":"VEN","dataAreaId":"hgv","ProductColorId":"","ProductConfigurationId":"","ProductSizeId":"","ProductStyleId":""}</t>
  </si>
  <si>
    <t>{"ItemNumber":"56853","ProductName":"HF Bloemkoolrijst 400g BE","InventoryWarehouseId":"EP","OnHandQuantity":0,"TotalAvailableQuantity":0,"AvailableOnHandQuantity":0,"InventorySiteId":"VEN","dataAreaId":"hgv","ProductColorId":"","ProductConfigurationId":"","ProductSizeId":"","ProductStyleId":""}</t>
  </si>
  <si>
    <t>{"ItemNumber":"56878","ProductName":"F220 LS Gerookte Kip BLK1* 2*230g JU","InventoryWarehouseId":"EP","OnHandQuantity":6560.92,"TotalAvailableQuantity":6560.92,"AvailableOnHandQuantity":6560.92,"InventorySiteId":"VEN","dataAreaId":"hgv","ProductColorId":"","ProductConfigurationId":"","ProductSizeId":"","ProductStyleId":""}</t>
  </si>
  <si>
    <t>{"ItemNumber":"56879","ProductName":"LS Gerookte Kip BLK1* 2*230g JU OE","InventoryWarehouseId":"EP","OnHandQuantity":14897,"TotalAvailableQuantity":14897,"AvailableOnHandQuantity":14897,"InventorySiteId":"VEN","dataAreaId":"hgv","ProductColorId":"","ProductConfigurationId":"","ProductSizeId":"","ProductStyleId":""}</t>
  </si>
  <si>
    <t>{"ItemNumber":"56883","ProductName":"F220 JU LS Falafel Vega 305g","InventoryWarehouseId":"EP","OnHandQuantity":9500,"TotalAvailableQuantity":9500,"AvailableOnHandQuantity":9500,"InventorySiteId":"VEN","dataAreaId":"hgv","ProductColorId":"","ProductConfigurationId":"","ProductSizeId":"","ProductStyleId":""}</t>
  </si>
  <si>
    <t>{"ItemNumber":"56885","ProductName":"F270 MTS Noedel Japanse Stijl 2*400g JU","InventoryWarehouseId":"EP","OnHandQuantity":11000,"TotalAvailableQuantity":11000,"AvailableOnHandQuantity":11000,"InventorySiteId":"VEN","dataAreaId":"hgv","ProductColorId":"","ProductConfigurationId":"","ProductSizeId":"","ProductStyleId":""}</t>
  </si>
  <si>
    <t>{"ItemNumber":"56887","ProductName":"FQ Snackwortel 325g BE","InventoryWarehouseId":"EP","OnHandQuantity":4500,"TotalAvailableQuantity":4500,"AvailableOnHandQuantity":4500,"InventorySiteId":"VEN","dataAreaId":"hgv","ProductColorId":"","ProductConfigurationId":"","ProductSizeId":"","ProductStyleId":""}</t>
  </si>
  <si>
    <t>{"ItemNumber":"56888","ProductName":"FQ Broccoli 400g BE","InventoryWarehouseId":"EP","OnHandQuantity":14957,"TotalAvailableQuantity":14957,"AvailableOnHandQuantity":14957,"InventorySiteId":"VEN","dataAreaId":"hgv","ProductColorId":"","ProductConfigurationId":"","ProductSizeId":"","ProductStyleId":""}</t>
  </si>
  <si>
    <t>{"ItemNumber":"56889","ProductName":"FQ Bloemkool 400g BE","InventoryWarehouseId":"EP","OnHandQuantity":4323,"TotalAvailableQuantity":4323,"AvailableOnHandQuantity":4323,"InventorySiteId":"VEN","dataAreaId":"hgv","ProductColorId":"","ProductConfigurationId":"","ProductSizeId":"","ProductStyleId":""}</t>
  </si>
  <si>
    <t>{"ItemNumber":"56890","ProductName":"FQ Sperziebonen 200g BE","InventoryWarehouseId":"EP","OnHandQuantity":4500,"TotalAvailableQuantity":4500,"AvailableOnHandQuantity":4500,"InventorySiteId":"VEN","dataAreaId":"hgv","ProductColorId":"","ProductConfigurationId":"","ProductSizeId":"","ProductStyleId":""}</t>
  </si>
  <si>
    <t>{"ItemNumber":"56891","ProductName":"FQ Snijbonen 200g BE","InventoryWarehouseId":"EP","OnHandQuantity":10500,"TotalAvailableQuantity":10500,"AvailableOnHandQuantity":10500,"InventorySiteId":"VEN","dataAreaId":"hgv","ProductColorId":"","ProductConfigurationId":"","ProductSizeId":"","ProductStyleId":""}</t>
  </si>
  <si>
    <t>{"ItemNumber":"56892","ProductName":"FQ Spinazie 200g BE","InventoryWarehouseId":"EP","OnHandQuantity":12000,"TotalAvailableQuantity":12000,"AvailableOnHandQuantity":12000,"InventorySiteId":"VEN","dataAreaId":"hgv","ProductColorId":"","ProductConfigurationId":"","ProductSizeId":"","ProductStyleId":""}</t>
  </si>
  <si>
    <t>{"ItemNumber":"56893","ProductName":"FQ Prei 200g BE","InventoryWarehouseId":"EP","OnHandQuantity":3000,"TotalAvailableQuantity":3000,"AvailableOnHandQuantity":3000,"InventorySiteId":"VEN","dataAreaId":"hgv","ProductColorId":"","ProductConfigurationId":"","ProductSizeId":"","ProductStyleId":""}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</si>
  <si>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{"ItemNumber":"56894","ProductName":"FQ Groentetrio 400g BE","InventoryWarehouseId":"EP","OnHandQuantity":18063,"TotalAvailableQuantity":18063,"AvailableOnHandQuantity":18063,"InventorySiteId":"VEN","dataAreaId":"hgv","ProductColorId":"","ProductConfigurationId":"","ProductSizeId":"","ProductStyleId":""}</t>
  </si>
  <si>
    <t>{"ItemNumber":"56896","ProductName":"FQ Soepgroenten basis 400g BE","InventoryWarehouseId":"EP","OnHandQuantity":10500,"TotalAvailableQuantity":10500,"AvailableOnHandQuantity":10500,"InventorySiteId":"VEN","dataAreaId":"hgv","ProductColorId":"","ProductConfigurationId":"","ProductSizeId":"","ProductStyleId":""}</t>
  </si>
  <si>
    <t>{"ItemNumber":"56897","ProductName":"FQ Nasi groenten 250g BE","InventoryWarehouseId":"EP","OnHandQuantity":22500,"TotalAvailableQuantity":22500,"AvailableOnHandQuantity":22500,"InventorySiteId":"VEN","dataAreaId":"hgv","ProductColorId":"","ProductConfigurationId":"","ProductSizeId":"","ProductStyleId":""}</t>
  </si>
  <si>
    <t>{"ItemNumber":"56899","ProductName":"FQ RBG Hollands 400g BE","InventoryWarehouseId":"EP","OnHandQuantity":4500,"TotalAvailableQuantity":4500,"AvailableOnHandQuantity":4500,"InventorySiteId":"VEN","dataAreaId":"hgv","ProductColorId":"","ProductConfigurationId":"","ProductSizeId":"","ProductStyleId":""}</t>
  </si>
  <si>
    <t>{"ItemNumber":"56900","ProductName":"FQ RBG Mexicaans 400g BE","InventoryWarehouseId":"EP","OnHandQuantity":17630,"TotalAvailableQuantity":17630,"AvailableOnHandQuantity":17630,"InventorySiteId":"VEN","dataAreaId":"hgv","ProductColorId":"","ProductConfigurationId":"","ProductSizeId":"","ProductStyleId":""}</t>
  </si>
  <si>
    <t>{"ItemNumber":"56901","ProductName":"FQ RBG Chinees 400g BE","InventoryWarehouseId":"EP","OnHandQuantity":35951,"TotalAvailableQuantity":35951,"AvailableOnHandQuantity":35951,"InventorySiteId":"VEN","dataAreaId":"hgv","ProductColorId":"","ProductConfigurationId":"","ProductSizeId":"","ProductStyleId":""}</t>
  </si>
  <si>
    <t>{"ItemNumber":"56902","ProductName":"FQ Witte kool 300g BE","InventoryWarehouseId":"EP","OnHandQuantity":18431,"TotalAvailableQuantity":18431,"AvailableOnHandQuantity":18431,"InventorySiteId":"VEN","dataAreaId":"hgv","ProductColorId":"","ProductConfigurationId":"","ProductSizeId":"","ProductStyleId":""}</t>
  </si>
  <si>
    <t>{"ItemNumber":"56903","ProductName":"FQ Rode kool 300g BE","InventoryWarehouseId":"EP","OnHandQuantity":15655,"TotalAvailableQuantity":15655,"AvailableOnHandQuantity":15655,"InventorySiteId":"VEN","dataAreaId":"hgv","ProductColorId":"","ProductConfigurationId":"","ProductSizeId":"","ProductStyleId":""}</t>
  </si>
  <si>
    <t>{"ItemNumber":"56904","ProductName":"FQ Spitskool 400g BE","InventoryWarehouseId":"EP","OnHandQuantity":2802,"TotalAvailableQuantity":2802,"AvailableOnHandQuantity":2802,"InventorySiteId":"VEN","dataAreaId":"hgv","ProductColorId":"","ProductConfigurationId":"","ProductSizeId":"","ProductStyleId":""}</t>
  </si>
  <si>
    <t>{"ItemNumber":"56905","ProductName":"FQ Uien wit gesneden 300g BE","InventoryWarehouseId":"EP","OnHandQuantity":6000,"TotalAvailableQuantity":6000,"AvailableOnHandQuantity":6000,"InventorySiteId":"VEN","dataAreaId":"hgv","ProductColorId":"","ProductConfigurationId":"","ProductSizeId":"","ProductStyleId":""}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</si>
  <si>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{"ItemNumber":"56906","ProductName":"FQ Uienblokjes rood 150g BE","InventoryWarehouseId":"EP","OnHandQuantity":6062,"TotalAvailableQuantity":6062,"AvailableOnHandQuantity":6062,"InventorySiteId":"VEN","dataAreaId":"hgv","ProductColorId":"","ProductConfigurationId":"","ProductSizeId":"","ProductStyleId":""}</t>
  </si>
  <si>
    <t>{"ItemNumber":"56907","ProductName":"FQ Uienblokjes wit 150g BE","InventoryWarehouseId":"EP","OnHandQuantity":16130,"TotalAvailableQuantity":16130,"AvailableOnHandQuantity":16130,"InventorySiteId":"VEN","dataAreaId":"hgv","ProductColorId":"","ProductConfigurationId":"","ProductSizeId":"","ProductStyleId":""}</t>
  </si>
  <si>
    <t>{"ItemNumber":"56909","ProductName":"INK BE 160029 tbv Edeka Fein &amp; Pikant 140g 230899","InventoryWarehouseId":"EP","OnHandQuantity":5000,"TotalAvailableQuantity":5000,"AvailableOnHandQuantity":5000,"InventorySiteId":"VEN","dataAreaId":"hgv","ProductColorId":"","ProductConfigurationId":"","ProductSizeId":"","ProductStyleId":""}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</si>
  <si>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{"ItemNumber":"56926","ProductName":"INK BE tbv 161236 Smeding Snijbonen 500g 210013","InventoryWarehouseId":"EP","OnHandQuantity":6000,"TotalAvailableQuantity":6000,"AvailableOnHandQuantity":6000,"InventorySiteId":"VEN","dataAreaId":"hgv","ProductColorId":"","ProductConfigurationId":"","ProductSizeId":"","ProductStyleId":""}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</si>
  <si>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{"ItemNumber":"56934","ProductName":"JU SB Pokebowl Sweet Chicken BLK* 350g Ø100 BE","InventoryWarehouseId":"EP","OnHandQuantity":9120,"TotalAvailableQuantity":25120,"AvailableOnHandQuantity":9120,"InventorySiteId":"VEN","dataAreaId":"hgv","ProductColorId":"","ProductConfigurationId":"","ProductSizeId":"","ProductStyleId":""}</t>
  </si>
  <si>
    <t>{"ItemNumber":"56935","ProductName":"JU SB Pokebowl Sweet Chicken BLK* 350g Ø100 OE","InventoryWarehouseId":"EP","OnHandQuantity":33120,"TotalAvailableQuantity":33120,"AvailableOnHandQuantity":33120,"InventorySiteId":"VEN","dataAreaId":"hgv","ProductColorId":"","ProductConfigurationId":"","ProductSizeId":"","ProductStyleId":""}</t>
  </si>
  <si>
    <t>{"ItemNumber":"56939","ProductName":"F390 JU Nasi zak 450g D30-90","InventoryWarehouseId":"EP","OnHandQuantity":35371.1,"TotalAvailableQuantity":35371.1,"AvailableOnHandQuantity":35371.1,"InventorySiteId":"VEN","dataAreaId":"hgv","ProductColorId":"","ProductConfigurationId":"","ProductSizeId":"","ProductStyleId":""}</t>
  </si>
  <si>
    <t>{"ItemNumber":"56940","ProductName":"F390 JU Bami zak 450g D26-90","InventoryWarehouseId":"EP","OnHandQuantity":75618.26,"TotalAvailableQuantity":75618.26,"AvailableOnHandQuantity":75618.26,"InventorySiteId":"VEN","dataAreaId":"hgv","ProductColorId":"","ProductConfigurationId":"","ProductSizeId":"","ProductStyleId":""}</t>
  </si>
  <si>
    <t>{"ItemNumber":"56941","ProductName":"F390 JU Bami/nasi zak 250g D26-90","InventoryWarehouseId":"EP","OnHandQuantity":15725.97,"TotalAvailableQuantity":15709.76,"AvailableOnHandQuantity":15709.76,"InventorySiteId":"VEN","dataAreaId":"hgv","ProductColorId":"","ProductConfigurationId":"","ProductSizeId":"","ProductStyleId":""}</t>
  </si>
  <si>
    <t>{"ItemNumber":"56942","ProductName":"F470 JU Bami/nasi zak 600g E26-90","InventoryWarehouseId":"EP","OnHandQuantity":6762.58,"TotalAvailableQuantity":6761.19,"AvailableOnHandQuantity":6762.58,"InventorySiteId":"VEN","dataAreaId":"hgv","ProductColorId":"","ProductConfigurationId":"","ProductSizeId":"","ProductStyleId":""}</t>
  </si>
  <si>
    <t>{"ItemNumber":"56943","ProductName":"F390 JU Maccaroni Spaghetti 450g D26-90","InventoryWarehouseId":"EP","OnHandQuantity":83853.12,"TotalAvailableQuantity":83853.12,"AvailableOnHandQuantity":83853.12,"InventorySiteId":"VEN","dataAreaId":"hgv","ProductColorId":"","ProductConfigurationId":"","ProductSizeId":"","ProductStyleId":""}</t>
  </si>
  <si>
    <t>{"ItemNumber":"56944","ProductName":"F390 JU Maccaroni Spaghetti 250g D12-90","InventoryWarehouseId":"EP","OnHandQuantity":38740.87,"TotalAvailableQuantity":38740.87,"AvailableOnHandQuantity":38740.87,"InventorySiteId":"VEN","dataAreaId":"hgv","ProductColorId":"","ProductConfigurationId":"","ProductSizeId":"","ProductStyleId":""}</t>
  </si>
  <si>
    <t>{"ItemNumber":"56945","ProductName":"F470 JU RBG Italiaans basis 600g E12-90","InventoryWarehouseId":"EP","OnHandQuantity":5139.86,"TotalAvailableQuantity":5139.86,"AvailableOnHandQuantity":5139.86,"InventorySiteId":"VEN","dataAreaId":"hgv","ProductColorId":"","ProductConfigurationId":"","ProductSizeId":"","ProductStyleId":""}</t>
  </si>
  <si>
    <t>{"ItemNumber":"56946","ProductName":"F390 JU RBG Fijn 400g D12-90","InventoryWarehouseId":"EP","OnHandQuantity":11436.43,"TotalAvailableQuantity":11436.43,"AvailableOnHandQuantity":11436.43,"InventorySiteId":"VEN","dataAreaId":"hgv","ProductColorId":"","ProductConfigurationId":"","ProductSizeId":"","ProductStyleId":""}</t>
  </si>
  <si>
    <t>{"ItemNumber":"56947","ProductName":"F390 JU RBG Thais 400g D14-90","InventoryWarehouseId":"EP","OnHandQuantity":18970.57,"TotalAvailableQuantity":18970.57,"AvailableOnHandQuantity":18970.57,"InventorySiteId":"VEN","dataAreaId":"hgv","ProductColorId":"","ProductConfigurationId":"","ProductSizeId":"","ProductStyleId":""}</t>
  </si>
  <si>
    <t>{"ItemNumber":"56948","ProductName":"F350 Lidl Wortel julienne 150g P160 V2","InventoryWarehouseId":"EP","OnHandQuantity":2632.09,"TotalAvailableQuantity":52632.09,"AvailableOnHandQuantity":2632.09,"InventorySiteId":"VEN","dataAreaId":"hgv","ProductColorId":"","ProductConfigurationId":"","ProductSizeId":"","ProductStyleId":""}</t>
  </si>
  <si>
    <t>{"ItemNumber":"56949","ProductName":"F390 JU Wok Japans 400g D14-90","InventoryWarehouseId":"EP","OnHandQuantity":29762.92,"TotalAvailableQuantity":29762.92,"AvailableOnHandQuantity":29762.92,"InventorySiteId":"VEN","dataAreaId":"hgv","ProductColorId":"","ProductConfigurationId":"","ProductSizeId":"","ProductStyleId":""}</t>
  </si>
  <si>
    <t>{"ItemNumber":"56950","ProductName":"F390 JU Wok Chinees 400g D14-90","InventoryWarehouseId":"EP","OnHandQuantity":14628.47,"TotalAvailableQuantity":14628.47,"AvailableOnHandQuantity":14628.47,"InventorySiteId":"VEN","dataAreaId":"hgv","ProductColorId":"","ProductConfigurationId":"","ProductSizeId":"","ProductStyleId":""}</t>
  </si>
  <si>
    <t>{"ItemNumber":"56951","ProductName":"F390 JU Wok Cambodjaans 400g D12-90","InventoryWarehouseId":"EP","OnHandQuantity":21633.12,"TotalAvailableQuantity":21633.12,"AvailableOnHandQuantity":21633.12,"InventorySiteId":"VEN","dataAreaId":"hgv","ProductColorId":"","ProductConfigurationId":"","ProductSizeId":"","ProductStyleId":""}</t>
  </si>
  <si>
    <t>{"ItemNumber":"56952","ProductName":"Blanco label kratkaart 60x85 (318410)","InventoryWarehouseId":"EP","OnHandQuantity":208460,"TotalAvailableQuantity":208460,"AvailableOnHandQuantity":208460,"InventorySiteId":"VEN","dataAreaId":"hgv","ProductColorId":"","ProductConfigurationId":"","ProductSizeId":"","ProductStyleId":""}</t>
  </si>
  <si>
    <t>{"ItemNumber":"56953","ProductName":"Edeka Salatmischung Fein 4x140g KE","InventoryWarehouseId":"EP","OnHandQuantity":10000,"TotalAvailableQuantity":10000,"AvailableOnHandQuantity":10000,"InventorySiteId":"VEN","dataAreaId":"hgv","ProductColorId":"","ProductConfigurationId":"","ProductSizeId":"","ProductStyleId":""}</t>
  </si>
  <si>
    <t>{"ItemNumber":"56969","ProductName":"Edeka Soepgroenten basis 20x400g KE","InventoryWarehouseId":"EP","OnHandQuantity":12500,"TotalAvailableQuantity":12500,"AvailableOnHandQuantity":12500,"InventorySiteId":"VEN","dataAreaId":"hgv","ProductColorId":"","ProductConfigurationId":"","ProductSizeId":"","ProductStyleId":""}</t>
  </si>
  <si>
    <t>{"ItemNumber":"56970","ProductName":"Edeka Soepgroenten fijn 28x250g KE","InventoryWarehouseId":"EP","OnHandQuantity":15000,"TotalAvailableQuantity":15000,"AvailableOnHandQuantity":15000,"InventorySiteId":"VEN","dataAreaId":"hgv","ProductColorId":"","ProductConfigurationId":"","ProductSizeId":"","ProductStyleId":""}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</si>
  <si>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{"ItemNumber":"56983","ProductName":"SAL SD Grill Salat 280g BE","InventoryWarehouseId":"EP","OnHandQuantity":11000,"TotalAvailableQuantity":11000,"AvailableOnHandQuantity":11000,"InventorySiteId":"VEN","dataAreaId":"hgv","ProductColorId":"","ProductConfigurationId":"","ProductSizeId":"","ProductStyleId":""}</t>
  </si>
  <si>
    <t>{"ItemNumber":"56984","ProductName":"SAL SD Grill Salat 280g OE","InventoryWarehouseId":"EP","OnHandQuantity":12500,"TotalAvailableQuantity":12500,"AvailableOnHandQuantity":12500,"InventorySiteId":"VEN","dataAreaId":"hgv","ProductColorId":"","ProductConfigurationId":"","ProductSizeId":"","ProductStyleId":""}</t>
  </si>
  <si>
    <t>{"ItemNumber":"56985","ProductName":"CAR MTS Indiase kip 400g BE","InventoryWarehouseId":"EP","OnHandQuantity":26781,"TotalAvailableQuantity":26781,"AvailableOnHandQuantity":26781,"InventorySiteId":"VEN","dataAreaId":"hgv","ProductColorId":"","ProductConfigurationId":"","ProductSizeId":"","ProductStyleId":""}</t>
  </si>
  <si>
    <t>{"ItemNumber":"56986","ProductName":"CAR MTS Indiase kip 400g OE","InventoryWarehouseId":"EP","OnHandQuantity":10803,"TotalAvailableQuantity":10803,"AvailableOnHandQuantity":10803,"InventorySiteId":"VEN","dataAreaId":"hgv","ProductColorId":"","ProductConfigurationId":"","ProductSizeId":"","ProductStyleId":""}</t>
  </si>
  <si>
    <t>{"ItemNumber":"56987","ProductName":"CAR MTS Kip teriy. 400g BE","InventoryWarehouseId":"EP","OnHandQuantity":9723,"TotalAvailableQuantity":9723,"AvailableOnHandQuantity":9723,"InventorySiteId":"VEN","dataAreaId":"hgv","ProductColorId":"","ProductConfigurationId":"","ProductSizeId":"","ProductStyleId":""}</t>
  </si>
  <si>
    <t>{"ItemNumber":"56988","ProductName":"CAR MTS Kip teriy. 400g OE","InventoryWarehouseId":"EP","OnHandQuantity":12535,"TotalAvailableQuantity":12535,"AvailableOnHandQuantity":12535,"InventorySiteId":"VEN","dataAreaId":"hgv","ProductColorId":"","ProductConfigurationId":"","ProductSizeId":"","ProductStyleId":""}</t>
  </si>
  <si>
    <t>{"ItemNumber":"56989","ProductName":"JU Soepgroenten Julienne 500g BE","InventoryWarehouseId":"EP","OnHandQuantity":5894,"TotalAvailableQuantity":5894,"AvailableOnHandQuantity":5894,"InventorySiteId":"VEN","dataAreaId":"hgv","ProductColorId":"","ProductConfigurationId":"","ProductSizeId":"","ProductStyleId":""}</t>
  </si>
  <si>
    <t>{"ItemNumber":"56990","ProductName":"JU Spaghettigroenten 400g BE","InventoryWarehouseId":"EP","OnHandQuantity":22025,"TotalAvailableQuantity":22025,"AvailableOnHandQuantity":22025,"InventorySiteId":"VEN","dataAreaId":"hgv","ProductColorId":"","ProductConfigurationId":"","ProductSizeId":"","ProductStyleId":""}</t>
  </si>
  <si>
    <t>{"ItemNumber":"56991","ProductName":"JU Hutsepot 500g BE","InventoryWarehouseId":"EP","OnHandQuantity":11551,"TotalAvailableQuantity":11551,"AvailableOnHandQuantity":11551,"InventorySiteId":"VEN","dataAreaId":"hgv","ProductColorId":"","ProductConfigurationId":"","ProductSizeId":"","ProductStyleId":""}</t>
  </si>
  <si>
    <t>{"ItemNumber":"56994","ProductName":"NEMT SD Grill Salat 280g BE","InventoryWarehouseId":"EP","OnHandQuantity":7000,"TotalAvailableQuantity":7000,"AvailableOnHandQuantity":7000,"InventorySiteId":"VEN","dataAreaId":"hgv","ProductColorId":"","ProductConfigurationId":"","ProductSizeId":"","ProductStyleId":""}</t>
  </si>
  <si>
    <t>{"ItemNumber":"56995","ProductName":"NEMT SD Grill Salat 280g OE","InventoryWarehouseId":"EP","OnHandQuantity":2500,"TotalAvailableQuantity":2500,"AvailableOnHandQuantity":2500,"InventorySiteId":"VEN","dataAreaId":"hgv","ProductColorId":"","ProductConfigurationId":"","ProductSizeId":"","ProductStyleId":""}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</si>
  <si>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{"ItemNumber":"56996","ProductName":"F390 JU Spitskool fijn 200g","InventoryWarehouseId":"EP","OnHandQuantity":7771.2,"TotalAvailableQuantity":7771.2,"AvailableOnHandQuantity":7771.2,"InventorySiteId":"VEN","dataAreaId":"hgv","ProductColorId":"","ProductConfigurationId":"","ProductSizeId":"","ProductStyleId":""}</t>
  </si>
  <si>
    <t>{"ItemNumber":"56997","ProductName":"F390 JU Prei fijn 200g P160","InventoryWarehouseId":"EP","OnHandQuantity":12500,"TotalAvailableQuantity":12500,"AvailableOnHandQuantity":12500,"InventorySiteId":"VEN","dataAreaId":"hgv","ProductColorId":"","ProductConfigurationId":"","ProductSizeId":"","ProductStyleId":""}</t>
  </si>
  <si>
    <t>{"ItemNumber":"56998","ProductName":"LIDL MTS Marokkaans volkoren 450g OE","InventoryWarehouseId":"EP","OnHandQuantity":29989,"TotalAvailableQuantity":29989,"AvailableOnHandQuantity":29989,"InventorySiteId":"VEN","dataAreaId":"hgv","ProductColorId":"","ProductConfigurationId":"","ProductSizeId":"","ProductStyleId":""}</t>
  </si>
  <si>
    <t>{"ItemNumber":"57010","ProductName":"F270 Lidl MTS Marokkaans 450g","InventoryWarehouseId":"EP","OnHandQuantity":23042.55,"TotalAvailableQuantity":22486.34,"AvailableOnHandQuantity":22486.34,"InventorySiteId":"VEN","dataAreaId":"hgv","ProductColorId":"","ProductConfigurationId":"","ProductSizeId":"","ProductStyleId":""}</t>
  </si>
  <si>
    <t>{"ItemNumber":"57022","ProductName":"F270 JU MTS Gegr Kip BLK1 450g","InventoryWarehouseId":"EP","OnHandQuantity":15504.14,"TotalAvailableQuantity":15504.14,"AvailableOnHandQuantity":15504.14,"InventorySiteId":"VEN","dataAreaId":"hgv","ProductColorId":"","ProductConfigurationId":"","ProductSizeId":"","ProductStyleId":""}</t>
  </si>
  <si>
    <t>{"ItemNumber":"57023","ProductName":"JU MTS Gegr Kip BLK1 450g OE","InventoryWarehouseId":"EP","OnHandQuantity":66868,"TotalAvailableQuantity":66868,"AvailableOnHandQuantity":66868,"InventorySiteId":"VEN","dataAreaId":"hgv","ProductColorId":"","ProductConfigurationId":"","ProductSizeId":"","ProductStyleId":""}</t>
  </si>
  <si>
    <t>{"ItemNumber":"57024","ProductName":"F270 JU MTS Garnaal ASC 400g","InventoryWarehouseId":"EP","OnHandQuantity":8344.49,"TotalAvailableQuantity":8344.49,"AvailableOnHandQuantity":8344.49,"InventorySiteId":"VEN","dataAreaId":"hgv","ProductColorId":"","ProductConfigurationId":"","ProductSizeId":"","ProductStyleId":""}</t>
  </si>
  <si>
    <t>{"ItemNumber":"57025","ProductName":"JU MTS Garnaal ASC 400g OE","InventoryWarehouseId":"EP","OnHandQuantity":19693,"TotalAvailableQuantity":19693,"AvailableOnHandQuantity":19693,"InventorySiteId":"VEN","dataAreaId":"hgv","ProductColorId":"","ProductConfigurationId":"","ProductSizeId":"","ProductStyleId":""}</t>
  </si>
  <si>
    <t>{"ItemNumber":"57026","ProductName":"F270 JU MTS Zalm Rotelle 450g","InventoryWarehouseId":"EP","OnHandQuantity":9051.05,"TotalAvailableQuantity":9051.05,"AvailableOnHandQuantity":9051.05,"InventorySiteId":"VEN","dataAreaId":"hgv","ProductColorId":"","ProductConfigurationId":"","ProductSizeId":"","ProductStyleId":""}</t>
  </si>
  <si>
    <t>{"ItemNumber":"57027","ProductName":"JU MTS Zalm Rotelle 450g OE","InventoryWarehouseId":"EP","OnHandQuantity":20639,"TotalAvailableQuantity":20639,"AvailableOnHandQuantity":20639,"InventorySiteId":"VEN","dataAreaId":"hgv","ProductColorId":"","ProductConfigurationId":"","ProductSizeId":"","ProductStyleId":""}</t>
  </si>
  <si>
    <t>{"ItemNumber":"57028","ProductName":"F270 JU MTS Kip Chili BLK1 400g","InventoryWarehouseId":"EP","OnHandQuantity":5803.15,"TotalAvailableQuantity":5803.15,"AvailableOnHandQuantity":5803.15,"InventorySiteId":"VEN","dataAreaId":"hgv","ProductColorId":"","ProductConfigurationId":"","ProductSizeId":"","ProductStyleId":""}</t>
  </si>
  <si>
    <t>{"ItemNumber":"57029","ProductName":"JU MTS Kip Chili BLK1 400g OE","InventoryWarehouseId":"EP","OnHandQuantity":16897,"TotalAvailableQuantity":16897,"AvailableOnHandQuantity":16897,"InventorySiteId":"VEN","dataAreaId":"hgv","ProductColorId":"","ProductConfigurationId":"","ProductSizeId":"","ProductStyleId":""}</t>
  </si>
  <si>
    <t>{"ItemNumber":"57030","ProductName":"F270 JU MTS Kip Ketjap BLK1 450g","InventoryWarehouseId":"EP","OnHandQuantity":10548.82,"TotalAvailableQuantity":10548.82,"AvailableOnHandQuantity":10548.82,"InventorySiteId":"VEN","dataAreaId":"hgv","ProductColorId":"","ProductConfigurationId":"","ProductSizeId":"","ProductStyleId":""}</t>
  </si>
  <si>
    <t>{"ItemNumber":"57031","ProductName":"JU MTS Kip Ketjap BLK1 450g OE","InventoryWarehouseId":"EP","OnHandQuantity":17806,"TotalAvailableQuantity":17806,"AvailableOnHandQuantity":17806,"InventorySiteId":"VEN","dataAreaId":"hgv","ProductColorId":"","ProductConfigurationId":"","ProductSizeId":"","ProductStyleId":""}</t>
  </si>
  <si>
    <t>{"ItemNumber":"57033","ProductName":"Netto MD Pastasalat Mixkarton III KE","InventoryWarehouseId":"EP","OnHandQuantity":22250,"TotalAvailableQuantity":18365,"AvailableOnHandQuantity":18750,"InventorySiteId":"VEN","dataAreaId":"hgv","ProductColorId":"","ProductConfigurationId":"","ProductSizeId":"","ProductStyleId":""}</t>
  </si>
  <si>
    <t>{"ItemNumber":"57037","ProductName":"INK BE tbv 161038 Pizza Topping Ui Rood 150gFM 220104","InventoryWarehouseId":"EP","OnHandQuantity":1250,"TotalAvailableQuantity":1250,"AvailableOnHandQuantity":1250,"InventorySiteId":"VEN","dataAreaId":"hgv","ProductColorId":"","ProductConfigurationId":"","ProductSizeId":"","ProductStyleId":""}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</si>
  <si>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{"ItemNumber":"57041","ProductName":"F530 JU Spinazie 200gP60 NL","InventoryWarehouseId":"EP","OnHandQuantity":54450,"TotalAvailableQuantity":54450,"AvailableOnHandQuantity":54450,"InventorySiteId":"VEN","dataAreaId":"hgv","ProductColorId":"","ProductConfigurationId":"","ProductSizeId":"","ProductStyleId":""}</t>
  </si>
  <si>
    <t>{"ItemNumber":"57042","ProductName":"F620 JU Spinazie 400gP60 NL","InventoryWarehouseId":"EP","OnHandQuantity":73600,"TotalAvailableQuantity":72712.96,"AvailableOnHandQuantity":73600,"InventorySiteId":"VEN","dataAreaId":"hgv","ProductColorId":"","ProductConfigurationId":"","ProductSizeId":"","ProductStyleId":""}</t>
  </si>
  <si>
    <t>{"ItemNumber":"57043","ProductName":"F670 JU Spinazie 600gP60 NL","InventoryWarehouseId":"EP","OnHandQuantity":11250,"TotalAvailableQuantity":11250,"AvailableOnHandQuantity":11250,"InventorySiteId":"VEN","dataAreaId":"hgv","ProductColorId":"","ProductConfigurationId":"","ProductSizeId":"","ProductStyleId":""}</t>
  </si>
  <si>
    <t>{"ItemNumber":"57059","ProductName":"FQ Rucola Melange 75g BE","InventoryWarehouseId":"EP","OnHandQuantity":3000,"TotalAvailableQuantity":3000,"AvailableOnHandQuantity":3000,"InventorySiteId":"VEN","dataAreaId":"hgv","ProductColorId":"","ProductConfigurationId":"","ProductSizeId":"","ProductStyleId":""}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</si>
  <si>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{"ItemNumber":"57060","ProductName":"FQ Slamelange 200g BE","InventoryWarehouseId":"EP","OnHandQuantity":10500,"TotalAvailableQuantity":10500,"AvailableOnHandQuantity":10500,"InventorySiteId":"VEN","dataAreaId":"hgv","ProductColorId":"","ProductConfigurationId":"","ProductSizeId":"","ProductStyleId":""}</t>
  </si>
  <si>
    <t>{"ItemNumber":"57073","ProductName":"FQ Andijvie Grof 400g BE","InventoryWarehouseId":"EP","OnHandQuantity":1500,"TotalAvailableQuantity":1500,"AvailableOnHandQuantity":1500,"InventorySiteId":"VEN","dataAreaId":"hgv","ProductColorId":"","ProductConfigurationId":"","ProductSizeId":"","ProductStyleId":""}</t>
  </si>
  <si>
    <t>{"ItemNumber":"57074","ProductName":"FQ Waspeen Geschrapt 500g BE","InventoryWarehouseId":"EP","OnHandQuantity":15000,"TotalAvailableQuantity":15000,"AvailableOnHandQuantity":15000,"InventorySiteId":"VEN","dataAreaId":"hgv","ProductColorId":"","ProductConfigurationId":"","ProductSizeId":"","ProductStyleId":""}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</si>
  <si>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{"ItemNumber":"57075","ProductName":"FQ Spinazie 300g BE","InventoryWarehouseId":"EP","OnHandQuantity":3750,"TotalAvailableQuantity":3750,"AvailableOnHandQuantity":3750,"InventorySiteId":"VEN","dataAreaId":"hgv","ProductColorId":"","ProductConfigurationId":"","ProductSizeId":"","ProductStyleId":""}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</si>
  <si>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{"ItemNumber":"57082","ProductName":"FQ Witte Kool 400g BE","InventoryWarehouseId":"EP","OnHandQuantity":9000,"TotalAvailableQuantity":9000,"AvailableOnHandQuantity":9000,"InventorySiteId":"VEN","dataAreaId":"hgv","ProductColorId":"","ProductConfigurationId":"","ProductSizeId":"","ProductStyleId":""}</t>
  </si>
  <si>
    <t>{"ItemNumber":"57083","ProductName":"FQ Uien Gesneden 300g BE","InventoryWarehouseId":"EP","OnHandQuantity":4500,"TotalAvailableQuantity":4500,"AvailableOnHandQuantity":4500,"InventorySiteId":"VEN","dataAreaId":"hgv","ProductColorId":"","ProductConfigurationId":"","ProductSizeId":"","ProductStyleId":""}</t>
  </si>
  <si>
    <t>{"ItemNumber":"57085","ProductName":"FQ Biet gesneden + ui 400g BE","InventoryWarehouseId":"EP","OnHandQuantity":6000,"TotalAvailableQuantity":6000,"AvailableOnHandQuantity":6000,"InventorySiteId":"VEN","dataAreaId":"hgv","ProductColorId":"","ProductConfigurationId":"","ProductSizeId":"","ProductStyleId":""}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</si>
  <si>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{"ItemNumber":"57089","ProductName":"F530 JU Bio Boerenkool 150g HN3FN5 V3","InventoryWarehouseId":"EP","OnHandQuantity":11840.21,"TotalAvailableQuantity":11840.21,"AvailableOnHandQuantity":11840.21,"InventorySiteId":"VEN","dataAreaId":"hgv","ProductColorId":"","ProductConfigurationId":"","ProductSizeId":"","ProductStyleId":""}</t>
  </si>
  <si>
    <t>{"ItemNumber":"57091","ProductName":"F390 JU Bio Witte kool 300g V3","InventoryWarehouseId":"EP","OnHandQuantity":8058.05,"TotalAvailableQuantity":8058.05,"AvailableOnHandQuantity":8058.05,"InventorySiteId":"VEN","dataAreaId":"hgv","ProductColorId":"","ProductConfigurationId":"","ProductSizeId":"","ProductStyleId":""}</t>
  </si>
  <si>
    <t>{"ItemNumber":"57092","ProductName":"F390 JU Bio Rode kool 300g V3","InventoryWarehouseId":"EP","OnHandQuantity":45751.25,"TotalAvailableQuantity":45751.25,"AvailableOnHandQuantity":45751.25,"InventorySiteId":"VEN","dataAreaId":"hgv","ProductColorId":"","ProductConfigurationId":"","ProductSizeId":"","ProductStyleId":""}</t>
  </si>
  <si>
    <t>{"ItemNumber":"57093","ProductName":"F530 JU Bio Spinazie 200g F16-90","InventoryWarehouseId":"EP","OnHandQuantity":40000,"TotalAvailableQuantity":40000,"AvailableOnHandQuantity":40000,"InventorySiteId":"VEN","dataAreaId":"hgv","ProductColorId":"","ProductConfigurationId":"","ProductSizeId":"","ProductStyleId":""}</t>
  </si>
  <si>
    <t>{"ItemNumber":"57094","ProductName":"PL SB Pokebowl Zalm BE","InventoryWarehouseId":"EP","OnHandQuantity":6576,"TotalAvailableQuantity":6576,"AvailableOnHandQuantity":6576,"InventorySiteId":"VEN","dataAreaId":"hgv","ProductColorId":"","ProductConfigurationId":"","ProductSizeId":"","ProductStyleId":""}</t>
  </si>
  <si>
    <t>{"ItemNumber":"57095","ProductName":"PL SB Pokebowl Zalm OE","InventoryWarehouseId":"EP","OnHandQuantity":11942,"TotalAvailableQuantity":11942,"AvailableOnHandQuantity":11942,"InventorySiteId":"VEN","dataAreaId":"hgv","ProductColorId":"","ProductConfigurationId":"","ProductSizeId":"","ProductStyleId":""}</t>
  </si>
  <si>
    <t>{"ItemNumber":"57098","ProductName":"FQ Bami Nasi 500g BE","InventoryWarehouseId":"EP","OnHandQuantity":9000,"TotalAvailableQuantity":9000,"AvailableOnHandQuantity":9000,"InventorySiteId":"VEN","dataAreaId":"hgv","ProductColorId":"","ProductConfigurationId":"","ProductSizeId":"","ProductStyleId":""}</t>
  </si>
  <si>
    <t>{"ItemNumber":"57100","ProductName":"FQ Bami Nasi Zak 250g BE","InventoryWarehouseId":"EP","OnHandQuantity":3750,"TotalAvailableQuantity":3750,"AvailableOnHandQuantity":3750,"InventorySiteId":"VEN","dataAreaId":"hgv","ProductColorId":"","ProductConfigurationId":"","ProductSizeId":"","ProductStyleId":""}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</si>
  <si>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{"ItemNumber":"57106","ProductName":"FQ pompoen naturel 400g BE","InventoryWarehouseId":"EP","OnHandQuantity":15000,"TotalAvailableQuantity":15000,"AvailableOnHandQuantity":15000,"InventorySiteId":"VEN","dataAreaId":"hgv","ProductColorId":"","ProductConfigurationId":"","ProductSizeId":"","ProductStyleId":""}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</si>
  <si>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{"ItemNumber":"57107","ProductName":"FQ hutspot 500g BE","InventoryWarehouseId":"EP","OnHandQuantity":17500,"TotalAvailableQuantity":17500,"AvailableOnHandQuantity":17500,"InventorySiteId":"VEN","dataAreaId":"hgv","ProductColorId":"","ProductConfigurationId":"","ProductSizeId":"","ProductStyleId":""}</t>
  </si>
  <si>
    <t>{"ItemNumber":"57109","ProductName":"FQ rapen 400g BE","InventoryWarehouseId":"EP","OnHandQuantity":3000,"TotalAvailableQuantity":3000,"AvailableOnHandQuantity":3000,"InventorySiteId":"VEN","dataAreaId":"hgv","ProductColorId":"","ProductConfigurationId":"","ProductSizeId":"","ProductStyleId":""}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</si>
  <si>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{"ItemNumber":"57111","ProductName":"FQ hutspot vrdl 1 kg BE","InventoryWarehouseId":"EP","OnHandQuantity":18000,"TotalAvailableQuantity":18000,"AvailableOnHandQuantity":18000,"InventorySiteId":"VEN","dataAreaId":"hgv","ProductColorId":"","ProductConfigurationId":"","ProductSizeId":"","ProductStyleId":""}</t>
  </si>
  <si>
    <t>{"ItemNumber":"57112","ProductName":"INK KE tbv 50243 Spruiten 350g 230884","InventoryWarehouseId":"EP","OnHandQuantity":15000,"TotalAvailableQuantity":15000,"AvailableOnHandQuantity":15000,"InventorySiteId":"VEN","dataAreaId":"hgv","ProductColorId":"","ProductConfigurationId":"","ProductSizeId":"","ProductStyleId":""}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</si>
  <si>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{"ItemNumber":"57114","ProductName":"SP SB Pokebowl Zalm 350g BE","InventoryWarehouseId":"EP","OnHandQuantity":7427,"TotalAvailableQuantity":7427,"AvailableOnHandQuantity":7427,"InventorySiteId":"VEN","dataAreaId":"hgv","ProductColorId":"","ProductConfigurationId":"","ProductSizeId":"","ProductStyleId":""}</t>
  </si>
  <si>
    <t>{"ItemNumber":"57115","ProductName":"SP SB Pokebowl Zalm 350g OE","InventoryWarehouseId":"EP","OnHandQuantity":13513,"TotalAvailableQuantity":13513,"AvailableOnHandQuantity":13513,"InventorySiteId":"VEN","dataAreaId":"hgv","ProductColorId":"","ProductConfigurationId":"","ProductSizeId":"","ProductStyleId":""}</t>
  </si>
  <si>
    <t>{"ItemNumber":"57116","ProductName":"SP SB Falafel 335g BE","InventoryWarehouseId":"EP","OnHandQuantity":1907,"TotalAvailableQuantity":1907,"AvailableOnHandQuantity":1907,"InventorySiteId":"VEN","dataAreaId":"hgv","ProductColorId":"","ProductConfigurationId":"","ProductSizeId":"","ProductStyleId":""}</t>
  </si>
  <si>
    <t>{"ItemNumber":"57117","ProductName":"SP SB Falafel 335g OE","InventoryWarehouseId":"EP","OnHandQuantity":1157,"TotalAvailableQuantity":1157,"AvailableOnHandQuantity":1157,"InventorySiteId":"VEN","dataAreaId":"hgv","ProductColorId":"","ProductConfigurationId":"","ProductSizeId":"","ProductStyleId":""}</t>
  </si>
  <si>
    <t>{"ItemNumber":"57119","ProductName":"FQ Bami pakket 450g BE","InventoryWarehouseId":"EP","OnHandQuantity":12000,"TotalAvailableQuantity":12000,"AvailableOnHandQuantity":12000,"InventorySiteId":"VEN","dataAreaId":"hgv","ProductColorId":"","ProductConfigurationId":"","ProductSizeId":"","ProductStyleId":""}</t>
  </si>
  <si>
    <t>{"ItemNumber":"57121","ProductName":"FQ Rbg Chinees 400g BE","InventoryWarehouseId":"EP","OnHandQuantity":28750,"TotalAvailableQuantity":28750,"AvailableOnHandQuantity":28750,"InventorySiteId":"VEN","dataAreaId":"hgv","ProductColorId":"","ProductConfigurationId":"","ProductSizeId":"","ProductStyleId":""}</t>
  </si>
  <si>
    <t>{"ItemNumber":"57123","ProductName":"FQ Rbg Hollands 400g BE","InventoryWarehouseId":"EP","OnHandQuantity":2500,"TotalAvailableQuantity":2500,"AvailableOnHandQuantity":2500,"InventorySiteId":"VEN","dataAreaId":"hgv","ProductColorId":"","ProductConfigurationId":"","ProductSizeId":"","ProductStyleId":""}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</si>
  <si>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{"ItemNumber":"57124","ProductName":"FQ Rbg Fijn 400g BE","InventoryWarehouseId":"EP","OnHandQuantity":4500,"TotalAvailableQuantity":4500,"AvailableOnHandQuantity":4500,"InventorySiteId":"VEN","dataAreaId":"hgv","ProductColorId":"","ProductConfigurationId":"","ProductSizeId":"","ProductStyleId":""}</t>
  </si>
  <si>
    <t>{"ItemNumber":"57128","ProductName":"FQ Rbg Italiaanse Stijl 400g BE","InventoryWarehouseId":"EP","OnHandQuantity":6000,"TotalAvailableQuantity":6000,"AvailableOnHandQuantity":6000,"InventorySiteId":"VEN","dataAreaId":"hgv","ProductColorId":"","ProductConfigurationId":"","ProductSizeId":"","ProductStyleId":""}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</si>
  <si>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{"ItemNumber":"57129","ProductName":"FQ Rbg Thais 400g BE","InventoryWarehouseId":"EP","OnHandQuantity":3750,"TotalAvailableQuantity":3750,"AvailableOnHandQuantity":3750,"InventorySiteId":"VEN","dataAreaId":"hgv","ProductColorId":"","ProductConfigurationId":"","ProductSizeId":"","ProductStyleId":""}</t>
  </si>
  <si>
    <t>{"ItemNumber":"57134","ProductName":"FQ Macaroni Spagh. pakket 450g BE","InventoryWarehouseId":"EP","OnHandQuantity":4500,"TotalAvailableQuantity":4500,"AvailableOnHandQuantity":4500,"InventorySiteId":"VEN","dataAreaId":"hgv","ProductColorId":"","ProductConfigurationId":"","ProductSizeId":"","ProductStyleId":""}</t>
  </si>
  <si>
    <t>{"ItemNumber":"57135","ProductName":"FQ IJsbergmelange 200g BE","InventoryWarehouseId":"EP","OnHandQuantity":1500,"TotalAvailableQuantity":1500,"AvailableOnHandQuantity":1500,"InventorySiteId":"VEN","dataAreaId":"hgv","ProductColorId":"","ProductConfigurationId":"","ProductSizeId":"","ProductStyleId":""}</t>
  </si>
  <si>
    <t>{"ItemNumber":"57138","ProductName":"FQ IJsbergsla naturel 200g BE","InventoryWarehouseId":"EP","OnHandQuantity":81000,"TotalAvailableQuantity":81000,"AvailableOnHandQuantity":81000,"InventorySiteId":"VEN","dataAreaId":"hgv","ProductColorId":"","ProductConfigurationId":"","ProductSizeId":"","ProductStyleId":""}</t>
  </si>
  <si>
    <t>{"ItemNumber":"57141","ProductName":"F270 JU MTS Mozzarella 450g","InventoryWarehouseId":"EP","OnHandQuantity":7993.05,"TotalAvailableQuantity":7993.05,"AvailableOnHandQuantity":7993.05,"InventorySiteId":"VEN","dataAreaId":"hgv","ProductColorId":"","ProductConfigurationId":"","ProductSizeId":"","ProductStyleId":""}</t>
  </si>
  <si>
    <t>{"ItemNumber":"57142","ProductName":"JU MTS Mozzarella 450g OE","InventoryWarehouseId":"EP","OnHandQuantity":18437,"TotalAvailableQuantity":18437,"AvailableOnHandQuantity":18437,"InventorySiteId":"VEN","dataAreaId":"hgv","ProductColorId":"","ProductConfigurationId":"","ProductSizeId":"","ProductStyleId":""}</t>
  </si>
  <si>
    <t>{"ItemNumber":"57148","ProductName":"FQ soepgr fijn 200g BE","InventoryWarehouseId":"EP","OnHandQuantity":9850,"TotalAvailableQuantity":9850,"AvailableOnHandQuantity":9850,"InventorySiteId":"VEN","dataAreaId":"hgv","ProductColorId":"","ProductConfigurationId":"","ProductSizeId":"","ProductStyleId":""}</t>
  </si>
  <si>
    <t>{"ItemNumber":"57149","ProductName":"FQ soepgroente 500g BE","InventoryWarehouseId":"EP","OnHandQuantity":21000,"TotalAvailableQuantity":21000,"AvailableOnHandQuantity":21000,"InventorySiteId":"VEN","dataAreaId":"hgv","ProductColorId":"","ProductConfigurationId":"","ProductSizeId":"","ProductStyleId":""}</t>
  </si>
  <si>
    <t>{"ItemNumber":"57161","ProductName":"FQ mosselgroenten 400g BE","InventoryWarehouseId":"EP","OnHandQuantity":12000,"TotalAvailableQuantity":12000,"AvailableOnHandQuantity":12000,"InventorySiteId":"VEN","dataAreaId":"hgv","ProductColorId":"","ProductConfigurationId":"","ProductSizeId":"","ProductStyleId":""}</t>
  </si>
  <si>
    <t>{"ItemNumber":"57162","ProductName":"FQ soepgroente fijn 400g BE","InventoryWarehouseId":"EP","OnHandQuantity":7500,"TotalAvailableQuantity":7500,"AvailableOnHandQuantity":7500,"InventorySiteId":"VEN","dataAreaId":"hgv","ProductColorId":"","ProductConfigurationId":"","ProductSizeId":"","ProductStyleId":""}</t>
  </si>
  <si>
    <t>{"ItemNumber":"57168","ProductName":"FQ gourmetschotel 300g BE","InventoryWarehouseId":"EP","OnHandQuantity":11868,"TotalAvailableQuantity":11868,"AvailableOnHandQuantity":11868,"InventorySiteId":"VEN","dataAreaId":"hgv","ProductColorId":"","ProductConfigurationId":"","ProductSizeId":"","ProductStyleId":""}</t>
  </si>
  <si>
    <t>{"ItemNumber":"57177","ProductName":"FQ Champignons Weiss 175g BE","InventoryWarehouseId":"EP","OnHandQuantity":16500,"TotalAvailableQuantity":16500,"AvailableOnHandQuantity":16500,"InventorySiteId":"VEN","dataAreaId":"hgv","ProductColorId":"","ProductConfigurationId":"","ProductSizeId":"","ProductStyleId":""}</t>
  </si>
  <si>
    <t>{"ItemNumber":"57178","ProductName":"FQ Champignons braun geschnitten 175g BE","InventoryWarehouseId":"EP","OnHandQuantity":3000,"TotalAvailableQuantity":3000,"AvailableOnHandQuantity":3000,"InventorySiteId":"VEN","dataAreaId":"hgv","ProductColorId":"","ProductConfigurationId":"","ProductSizeId":"","ProductStyleId":""}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</si>
  <si>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{"ItemNumber":"57182","ProductName":"F390 PL Nasi zak 450g P110","InventoryWarehouseId":"EP","OnHandQuantity":49046.24,"TotalAvailableQuantity":49046.24,"AvailableOnHandQuantity":49046.24,"InventorySiteId":"VEN","dataAreaId":"hgv","ProductColorId":"","ProductConfigurationId":"","ProductSizeId":"","ProductStyleId":""}</t>
  </si>
  <si>
    <t>{"ItemNumber":"57183","ProductName":"F390 PL Bami zak 450g P140","InventoryWarehouseId":"EP","OnHandQuantity":40395.22,"TotalAvailableQuantity":40395.22,"AvailableOnHandQuantity":40395.22,"InventorySiteId":"VEN","dataAreaId":"hgv","ProductColorId":"","ProductConfigurationId":"","ProductSizeId":"","ProductStyleId":""}</t>
  </si>
  <si>
    <t>{"ItemNumber":"57184","ProductName":"F390 PL Bami/Nasi zak 250g P140","InventoryWarehouseId":"EP","OnHandQuantity":12598.14,"TotalAvailableQuantity":30094.9,"AvailableOnHandQuantity":12598.14,"InventorySiteId":"VEN","dataAreaId":"hgv","ProductColorId":"","ProductConfigurationId":"","ProductSizeId":"","ProductStyleId":""}</t>
  </si>
  <si>
    <t>{"ItemNumber":"57185","ProductName":"F390 PL Macaroni Spaghetti 450g P160","InventoryWarehouseId":"EP","OnHandQuantity":15000,"TotalAvailableQuantity":15000,"AvailableOnHandQuantity":15000,"InventorySiteId":"VEN","dataAreaId":"hgv","ProductColorId":"","ProductConfigurationId":"","ProductSizeId":"","ProductStyleId":""}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</si>
  <si>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{"ItemNumber":"57186","ProductName":"F390 PL Macaroni Spaghetti 250g P160","InventoryWarehouseId":"EP","OnHandQuantity":5365.15,"TotalAvailableQuantity":5365.15,"AvailableOnHandQuantity":5365.15,"InventorySiteId":"VEN","dataAreaId":"hgv","ProductColorId":"","ProductConfigurationId":"","ProductSizeId":"","ProductStyleId":""}</t>
  </si>
  <si>
    <t>{"ItemNumber":"57187","ProductName":"Edeka Salatschale Asiatischer Style Hähnchen 450g OE","InventoryWarehouseId":"EP","OnHandQuantity":10000,"TotalAvailableQuantity":10000,"AvailableOnHandQuantity":10000,"InventorySiteId":"VEN","dataAreaId":"hgv","ProductColorId":"","ProductConfigurationId":"","ProductSizeId":"","ProductStyleId":""}</t>
  </si>
  <si>
    <t>{"ItemNumber":"57188","ProductName":"Edeka Salatschale Geräuchertes Hähnchen 450g BE","InventoryWarehouseId":"EP","OnHandQuantity":5000,"TotalAvailableQuantity":5000,"AvailableOnHandQuantity":5000,"InventorySiteId":"VEN","dataAreaId":"hgv","ProductColorId":"","ProductConfigurationId":"","ProductSizeId":"","ProductStyleId":""}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</si>
  <si>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{"ItemNumber":"57189","ProductName":"Edeka Salatschale Geräuchertes Hähnchen 450g OE","InventoryWarehouseId":"EP","OnHandQuantity":6250,"TotalAvailableQuantity":6250,"AvailableOnHandQuantity":6250,"InventorySiteId":"VEN","dataAreaId":"hgv","ProductColorId":"","ProductConfigurationId":"","ProductSizeId":"","ProductStyleId":""}</t>
  </si>
  <si>
    <t>{"ItemNumber":"57190","ProductName":"Edeka Salatschale Caesar 450g BE","InventoryWarehouseId":"EP","OnHandQuantity":8750,"TotalAvailableQuantity":8750,"AvailableOnHandQuantity":8750,"InventorySiteId":"VEN","dataAreaId":"hgv","ProductColorId":"","ProductConfigurationId":"","ProductSizeId":"","ProductStyleId":""}</t>
  </si>
  <si>
    <t>{"ItemNumber":"57191","ProductName":"Edeka Salatschale Caesar 450g OE","InventoryWarehouseId":"EP","OnHandQuantity":7500,"TotalAvailableQuantity":7500,"AvailableOnHandQuantity":7500,"InventorySiteId":"VEN","dataAreaId":"hgv","ProductColorId":"","ProductConfigurationId":"","ProductSizeId":"","ProductStyleId":""}</t>
  </si>
  <si>
    <t>{"ItemNumber":"57192","ProductName":"Edeka Salatschale Ziegenkäse 450g BE","InventoryWarehouseId":"EP","OnHandQuantity":11250,"TotalAvailableQuantity":11250,"AvailableOnHandQuantity":11250,"InventorySiteId":"VEN","dataAreaId":"hgv","ProductColorId":"","ProductConfigurationId":"","ProductSizeId":"","ProductStyleId":""}</t>
  </si>
  <si>
    <t>{"ItemNumber":"57193","ProductName":"Edeka Salatschale Ziegenkäse 450g OE","InventoryWarehouseId":"EP","OnHandQuantity":7500,"TotalAvailableQuantity":7500,"AvailableOnHandQuantity":7500,"InventorySiteId":"VEN","dataAreaId":"hgv","ProductColorId":"","ProductConfigurationId":"","ProductSizeId":"","ProductStyleId":""}</t>
  </si>
  <si>
    <t>{"ItemNumber":"57194","ProductName":"Edeka MTS Salatschale Falafel Vegan 450g OE","InventoryWarehouseId":"EP","OnHandQuantity":15000,"TotalAvailableQuantity":15000,"AvailableOnHandQuantity":15000,"InventorySiteId":"VEN","dataAreaId":"hgv","ProductColorId":"","ProductConfigurationId":"","ProductSizeId":"","ProductStyleId":""}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</si>
  <si>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{"ItemNumber":"57195","ProductName":"Edeka MTS Salatschale Falafel Vegan 450g BE","InventoryWarehouseId":"EP","OnHandQuantity":12500,"TotalAvailableQuantity":12500,"AvailableOnHandQuantity":12500,"InventorySiteId":"VEN","dataAreaId":"hgv","ProductColorId":"","ProductConfigurationId":"","ProductSizeId":"","ProductStyleId":""}</t>
  </si>
  <si>
    <t>{"ItemNumber":"57196","ProductName":"Edeka MTS Salatschale Lachs ASC 450g OE","InventoryWarehouseId":"EP","OnHandQuantity":8750,"TotalAvailableQuantity":8750,"AvailableOnHandQuantity":8750,"InventorySiteId":"VEN","dataAreaId":"hgv","ProductColorId":"","ProductConfigurationId":"","ProductSizeId":"","ProductStyleId":""}</t>
  </si>
  <si>
    <t>{"ItemNumber":"57197","ProductName":"Edeka MTS Salatschale Lachs ASC 450g BE","InventoryWarehouseId":"EP","OnHandQuantity":18000,"TotalAvailableQuantity":18000,"AvailableOnHandQuantity":18000,"InventorySiteId":"VEN","dataAreaId":"hgv","ProductColorId":"","ProductConfigurationId":"","ProductSizeId":"","ProductStyleId":""}</t>
  </si>
  <si>
    <t>{"ItemNumber":"57212","ProductName":"F270 JU MTS Kip Sate BLK1 400g","InventoryWarehouseId":"EP","OnHandQuantity":20000,"TotalAvailableQuantity":20000,"AvailableOnHandQuantity":20000,"InventorySiteId":"VEN","dataAreaId":"hgv","ProductColorId":"","ProductConfigurationId":"","ProductSizeId":"","ProductStyleId":""}</t>
  </si>
  <si>
    <t>{"ItemNumber":"57213","ProductName":"MTS Kip Sate BLK1 400g OE JU","InventoryWarehouseId":"EP","OnHandQuantity":3000,"TotalAvailableQuantity":3000,"AvailableOnHandQuantity":3000,"InventorySiteId":"VEN","dataAreaId":"hgv","ProductColorId":"","ProductConfigurationId":"","ProductSizeId":"","ProductStyleId":""}</t>
  </si>
  <si>
    <t>{"ItemNumber":"57216","ProductName":"JU Kool Salade 200g BE Ø75","InventoryWarehouseId":"EP","OnHandQuantity":23511,"TotalAvailableQuantity":23511,"AvailableOnHandQuantity":23511,"InventorySiteId":"VEN","dataAreaId":"hgv","ProductColorId":"","ProductConfigurationId":"","ProductSizeId":"","ProductStyleId":""}</t>
  </si>
  <si>
    <t>{"ItemNumber":"57217","ProductName":"JU Kool Salade 200g OE Ø55","InventoryWarehouseId":"EP","OnHandQuantity":20793,"TotalAvailableQuantity":20793,"AvailableOnHandQuantity":20793,"InventorySiteId":"VEN","dataAreaId":"hgv","ProductColorId":"","ProductConfigurationId":"","ProductSizeId":"","ProductStyleId":""}</t>
  </si>
  <si>
    <t>{"ItemNumber":"57218","ProductName":"JU Waldorf Salade 200g BE Ø75","InventoryWarehouseId":"EP","OnHandQuantity":17536,"TotalAvailableQuantity":17536,"AvailableOnHandQuantity":17536,"InventorySiteId":"VEN","dataAreaId":"hgv","ProductColorId":"","ProductConfigurationId":"","ProductSizeId":"","ProductStyleId":""}</t>
  </si>
  <si>
    <t>{"ItemNumber":"57219","ProductName":"JU Waldorf salade 200g OE Ø55","InventoryWarehouseId":"EP","OnHandQuantity":39726,"TotalAvailableQuantity":39726,"AvailableOnHandQuantity":39726,"InventorySiteId":"VEN","dataAreaId":"hgv","ProductColorId":"","ProductConfigurationId":"","ProductSizeId":"","ProductStyleId":""}</t>
  </si>
  <si>
    <t>{"ItemNumber":"57220","ProductName":"JU Komkommer Ei Salade 200g BE Ø75","InventoryWarehouseId":"EP","OnHandQuantity":6144,"TotalAvailableQuantity":36144,"AvailableOnHandQuantity":6144,"InventorySiteId":"VEN","dataAreaId":"hgv","ProductColorId":"","ProductConfigurationId":"","ProductSizeId":"","ProductStyleId":""}</t>
  </si>
  <si>
    <t>{"ItemNumber":"57221","ProductName":"JU Komkommer ei salade 200g OE Ø55","InventoryWarehouseId":"EP","OnHandQuantity":8996,"TotalAvailableQuantity":8996,"AvailableOnHandQuantity":8996,"InventorySiteId":"VEN","dataAreaId":"hgv","ProductColorId":"","ProductConfigurationId":"","ProductSizeId":"","ProductStyleId":""}</t>
  </si>
  <si>
    <t>{"ItemNumber":"57222","ProductName":"JU Bietensalade 200g BE Ø75","InventoryWarehouseId":"EP","OnHandQuantity":21137,"TotalAvailableQuantity":21137,"AvailableOnHandQuantity":21137,"InventorySiteId":"VEN","dataAreaId":"hgv","ProductColorId":"","ProductConfigurationId":"","ProductSizeId":"","ProductStyleId":""}</t>
  </si>
  <si>
    <t>{"ItemNumber":"57223","ProductName":"JU Bietensalade 200g OE Ø55","InventoryWarehouseId":"EP","OnHandQuantity":30064,"TotalAvailableQuantity":30064,"AvailableOnHandQuantity":30064,"InventorySiteId":"VEN","dataAreaId":"hgv","ProductColorId":"","ProductConfigurationId":"","ProductSizeId":"","ProductStyleId":""}</t>
  </si>
  <si>
    <t>{"ItemNumber":"57224","ProductName":"FQ Salat Hirtenkäse 325g BE","InventoryWarehouseId":"EP","OnHandQuantity":4575,"TotalAvailableQuantity":28575,"AvailableOnHandQuantity":4575,"InventorySiteId":"VEN","dataAreaId":"hgv","ProductColorId":"","ProductConfigurationId":"","ProductSizeId":"","ProductStyleId":""}</t>
  </si>
  <si>
    <t>{"ItemNumber":"57226","ProductName":"FQ Pasta Salat Thunfisch 350g BE","InventoryWarehouseId":"EP","OnHandQuantity":25651,"TotalAvailableQuantity":25651,"AvailableOnHandQuantity":25651,"InventorySiteId":"VEN","dataAreaId":"hgv","ProductColorId":"","ProductConfigurationId":"","ProductSizeId":"","ProductStyleId":""}</t>
  </si>
  <si>
    <t>{"ItemNumber":"57227","ProductName":"FQ Pasta Salat Thunfisch 350g OE","InventoryWarehouseId":"EP","OnHandQuantity":2500,"TotalAvailableQuantity":2500,"AvailableOnHandQuantity":2500,"InventorySiteId":"VEN","dataAreaId":"hgv","ProductColorId":"","ProductConfigurationId":"","ProductSizeId":"","ProductStyleId":""}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</si>
  <si>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{"ItemNumber":"57228","ProductName":"FQ Pasta Salat Tomate-Mozzarella 350g BE","InventoryWarehouseId":"EP","OnHandQuantity":20396,"TotalAvailableQuantity":20396,"AvailableOnHandQuantity":20396,"InventorySiteId":"VEN","dataAreaId":"hgv","ProductColorId":"","ProductConfigurationId":"","ProductSizeId":"","ProductStyleId":""}</t>
  </si>
  <si>
    <t>{"ItemNumber":"57230","ProductName":"FQ Pasta Salat Käse 350g BE","InventoryWarehouseId":"EP","OnHandQuantity":20694,"TotalAvailableQuantity":20694,"AvailableOnHandQuantity":20694,"InventorySiteId":"VEN","dataAreaId":"hgv","ProductColorId":"","ProductConfigurationId":"","ProductSizeId":"","ProductStyleId":""}</t>
  </si>
  <si>
    <t>{"ItemNumber":"57233","ProductName":"FQ Salatschale Schinken Käse 300g BE","InventoryWarehouseId":"EP","OnHandQuantity":52764,"TotalAvailableQuantity":52764,"AvailableOnHandQuantity":52764,"InventorySiteId":"VEN","dataAreaId":"hgv","ProductColorId":"","ProductConfigurationId":"","ProductSizeId":"","ProductStyleId":""}</t>
  </si>
  <si>
    <t>{"ItemNumber":"57234","ProductName":"FQ Salatschale Caesar 300g BE","InventoryWarehouseId":"EP","OnHandQuantity":54440,"TotalAvailableQuantity":54440,"AvailableOnHandQuantity":54440,"InventorySiteId":"VEN","dataAreaId":"hgv","ProductColorId":"","ProductConfigurationId":"","ProductSizeId":"","ProductStyleId":""}</t>
  </si>
  <si>
    <t>{"ItemNumber":"57235","ProductName":"FQ Salatschale Caesar 300g OE","InventoryWarehouseId":"EP","OnHandQuantity":1250,"TotalAvailableQuantity":1250,"AvailableOnHandQuantity":1250,"InventorySiteId":"VEN","dataAreaId":"hgv","ProductColorId":"","ProductConfigurationId":"","ProductSizeId":"","ProductStyleId":""}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</si>
  <si>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{"ItemNumber":"57236","ProductName":"FQ Salatschale Hänchen Senf 300g BE","InventoryWarehouseId":"EP","OnHandQuantity":73260,"TotalAvailableQuantity":73260,"AvailableOnHandQuantity":73260,"InventorySiteId":"VEN","dataAreaId":"hgv","ProductColorId":"","ProductConfigurationId":"","ProductSizeId":"","ProductStyleId":""}</t>
  </si>
  <si>
    <t>{"ItemNumber":"57237","ProductName":"FQ Salatschale Hänchen Senf 300g OE","InventoryWarehouseId":"EP","OnHandQuantity":2500,"TotalAvailableQuantity":2500,"AvailableOnHandQuantity":2500,"InventorySiteId":"VEN","dataAreaId":"hgv","ProductColorId":"","ProductConfigurationId":"","ProductSizeId":"","ProductStyleId":""}</t>
  </si>
  <si>
    <t>{"ItemNumber":"57240","ProductName":"F270 JU MTS Kip Pesto 400g","InventoryWarehouseId":"EP","OnHandQuantity":6726.68,"TotalAvailableQuantity":6726.68,"AvailableOnHandQuantity":6726.68,"InventorySiteId":"VEN","dataAreaId":"hgv","ProductColorId":"","ProductConfigurationId":"","ProductSizeId":"","ProductStyleId":""}</t>
  </si>
  <si>
    <t>{"ItemNumber":"57241","ProductName":"JU MTS Kip Pesto 400g OE","InventoryWarehouseId":"EP","OnHandQuantity":13570,"TotalAvailableQuantity":13570,"AvailableOnHandQuantity":13570,"InventorySiteId":"VEN","dataAreaId":"hgv","ProductColorId":"","ProductConfigurationId":"","ProductSizeId":"","ProductStyleId":""}</t>
  </si>
  <si>
    <t>{"ItemNumber":"57242","ProductName":"F305 JU Sojabonen 150g","InventoryWarehouseId":"EP","OnHandQuantity":16979.04,"TotalAvailableQuantity":16979.04,"AvailableOnHandQuantity":16979.04,"InventorySiteId":"VEN","dataAreaId":"hgv","ProductColorId":"","ProductConfigurationId":"","ProductSizeId":"","ProductStyleId":""}</t>
  </si>
  <si>
    <t>{"ItemNumber":"57243","ProductName":"Bijplak JU Salades 'Nieuw' 45x45mm wik. 7","InventoryWarehouseId":"EP","OnHandQuantity":63000,"TotalAvailableQuantity":63000,"AvailableOnHandQuantity":63000,"InventorySiteId":"VEN","dataAreaId":"hgv","ProductColorId":"","ProductConfigurationId":"","ProductSizeId":"","ProductStyleId":""}</t>
  </si>
  <si>
    <t>{"ItemNumber":"57245","ProductName":"F390 JU Geschrapte Wortelen 300g LP1D26","InventoryWarehouseId":"EP","OnHandQuantity":37589.89,"TotalAvailableQuantity":37589.89,"AvailableOnHandQuantity":37589.89,"InventorySiteId":"VEN","dataAreaId":"hgv","ProductColorId":"","ProductConfigurationId":"","ProductSizeId":"","ProductStyleId":""}</t>
  </si>
  <si>
    <t>{"ItemNumber":"57247","ProductName":"FQ MTS Kip Bacon 400g BE","InventoryWarehouseId":"EP","OnHandQuantity":18000,"TotalAvailableQuantity":18000,"AvailableOnHandQuantity":18000,"InventorySiteId":"VEN","dataAreaId":"hgv","ProductColorId":"","ProductConfigurationId":"","ProductSizeId":"","ProductStyleId":""}</t>
  </si>
  <si>
    <t>{"ItemNumber":"57248","ProductName":"FQ MTS Kip Bacon 400g OE","InventoryWarehouseId":"EP","OnHandQuantity":6000,"TotalAvailableQuantity":6000,"AvailableOnHandQuantity":6000,"InventorySiteId":"VEN","dataAreaId":"hgv","ProductColorId":"","ProductConfigurationId":"","ProductSizeId":"","ProductStyleId":""}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</si>
  <si>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{"ItemNumber":"57253","ProductName":"INK KE tbv 56952 Edeka Champignon Wit 175g 230906","InventoryWarehouseId":"EP","OnHandQuantity":1250,"TotalAvailableQuantity":1250,"AvailableOnHandQuantity":1250,"InventorySiteId":"VEN","dataAreaId":"hgv","ProductColorId":"","ProductConfigurationId":"","ProductSizeId":"","ProductStyleId":""}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</si>
  <si>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{"ItemNumber":"57266","ProductName":"F350 JU Uien gesneden 300g C10-90","InventoryWarehouseId":"EP","OnHandQuantity":1250,"TotalAvailableQuantity":1250,"AvailableOnHandQuantity":1250,"InventorySiteId":"VEN","dataAreaId":"hgv","ProductColorId":"","ProductConfigurationId":"","ProductSizeId":"","ProductStyleId":""}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</si>
  <si>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{"ItemNumber":"57267","ProductName":"F350 JU Uien blokje 250g C10-90","InventoryWarehouseId":"EP","OnHandQuantity":12571.57,"TotalAvailableQuantity":12571.57,"AvailableOnHandQuantity":12571.57,"InventorySiteId":"VEN","dataAreaId":"hgv","ProductColorId":"","ProductConfigurationId":"","ProductSizeId":"","ProductStyleId":""}</t>
  </si>
  <si>
    <t>{"ItemNumber":"57268","ProductName":"F350 JU Uien rood gesneden 150g C10-90","InventoryWarehouseId":"EP","OnHandQuantity":26009.78,"TotalAvailableQuantity":26009.78,"AvailableOnHandQuantity":26009.78,"InventorySiteId":"VEN","dataAreaId":"hgv","ProductColorId":"","ProductConfigurationId":"","ProductSizeId":"","ProductStyleId":""}</t>
  </si>
  <si>
    <t>{"ItemNumber":"57269","ProductName":"F350 JU Champ Kast gesn 250g C40-90","InventoryWarehouseId":"EP","OnHandQuantity":47983.33,"TotalAvailableQuantity":47983.33,"AvailableOnHandQuantity":47983.33,"InventorySiteId":"VEN","dataAreaId":"hgv","ProductColorId":"","ProductConfigurationId":"","ProductSizeId":"","ProductStyleId":""}</t>
  </si>
  <si>
    <t>{"ItemNumber":"57270","ProductName":"F350 JU Champ Kast gesn 125g C40-90","InventoryWarehouseId":"EP","OnHandQuantity":30938.19,"TotalAvailableQuantity":30938.19,"AvailableOnHandQuantity":30938.19,"InventorySiteId":"VEN","dataAreaId":"hgv","ProductColorId":"","ProductConfigurationId":"","ProductSizeId":"","ProductStyleId":""}</t>
  </si>
  <si>
    <t>{"ItemNumber":"57271","ProductName":"F350 JU Champ gesnwit 250g C40-90","InventoryWarehouseId":"EP","OnHandQuantity":21766.31,"TotalAvailableQuantity":21766.31,"AvailableOnHandQuantity":21766.31,"InventorySiteId":"VEN","dataAreaId":"hgv","ProductColorId":"","ProductConfigurationId":"","ProductSizeId":"","ProductStyleId":""}</t>
  </si>
  <si>
    <t>{"ItemNumber":"57272","ProductName":"F350 JU Champ gesnwit 125g C40-90","InventoryWarehouseId":"EP","OnHandQuantity":11995.25,"TotalAvailableQuantity":11995.25,"AvailableOnHandQuantity":11995.25,"InventorySiteId":"VEN","dataAreaId":"hgv","ProductColorId":"","ProductConfigurationId":"","ProductSizeId":"","ProductStyleId":""}</t>
  </si>
  <si>
    <t>{"ItemNumber":"57274","ProductName":"INK BE tbv 50643 IJsberg Naturel Vrdl 300g 230121","InventoryWarehouseId":"EP","OnHandQuantity":51250,"TotalAvailableQuantity":51250,"AvailableOnHandQuantity":51250,"InventorySiteId":"VEN","dataAreaId":"hgv","ProductColorId":"","ProductConfigurationId":"","ProductSizeId":"","ProductStyleId":""}</t>
  </si>
  <si>
    <t>{"ItemNumber":"57277","ProductName":"Rewe RBG Champignons 4*400g KE","InventoryWarehouseId":"EP","OnHandQuantity":11250,"TotalAvailableQuantity":11250,"AvailableOnHandQuantity":11250,"InventorySiteId":"VEN","dataAreaId":"hgv","ProductColorId":"","ProductConfigurationId":"","ProductSizeId":"","ProductStyleId":""}</t>
  </si>
  <si>
    <t>{"ItemNumber":"57281","ProductName":"F390 SAL Rode biet julienne 200g","InventoryWarehouseId":"EP","OnHandQuantity":9456.34,"TotalAvailableQuantity":9456.34,"AvailableOnHandQuantity":9456.34,"InventorySiteId":"VEN","dataAreaId":"hgv","ProductColorId":"","ProductConfigurationId":"","ProductSizeId":"","ProductStyleId":""}</t>
  </si>
  <si>
    <t>{"ItemNumber":"57282","ProductName":"SAL SD Beet &amp; Peas 250g BE","InventoryWarehouseId":"EP","OnHandQuantity":9548,"TotalAvailableQuantity":9548,"AvailableOnHandQuantity":9548,"InventorySiteId":"VEN","dataAreaId":"hgv","ProductColorId":"","ProductConfigurationId":"","ProductSizeId":"","ProductStyleId":""}</t>
  </si>
  <si>
    <t>{"ItemNumber":"57283","ProductName":"SAL SD Beet &amp; Peas 250g OE","InventoryWarehouseId":"EP","OnHandQuantity":7390,"TotalAvailableQuantity":7390,"AvailableOnHandQuantity":7390,"InventorySiteId":"VEN","dataAreaId":"hgv","ProductColorId":"","ProductConfigurationId":"","ProductSizeId":"","ProductStyleId":""}</t>
  </si>
  <si>
    <t>{"ItemNumber":"57284","ProductName":"NEMT SD Beet &amp; Peas 250g OE","InventoryWarehouseId":"EP","OnHandQuantity":29865,"TotalAvailableQuantity":29865,"AvailableOnHandQuantity":29865,"InventorySiteId":"VEN","dataAreaId":"hgv","ProductColorId":"","ProductConfigurationId":"","ProductSizeId":"","ProductStyleId":""}</t>
  </si>
  <si>
    <t>{"ItemNumber":"57285","ProductName":"NEMT SD Couscous Falafel 250g BE","InventoryWarehouseId":"EP","OnHandQuantity":2799,"TotalAvailableQuantity":2799,"AvailableOnHandQuantity":2799,"InventorySiteId":"VEN","dataAreaId":"hgv","ProductColorId":"","ProductConfigurationId":"","ProductSizeId":"","ProductStyleId":""}</t>
  </si>
  <si>
    <t>{"ItemNumber":"57286","ProductName":"NEMT SD Couscous Falafel 250g OE","InventoryWarehouseId":"EP","OnHandQuantity":4603,"TotalAvailableQuantity":4603,"AvailableOnHandQuantity":4603,"InventorySiteId":"VEN","dataAreaId":"hgv","ProductColorId":"","ProductConfigurationId":"","ProductSizeId":"","ProductStyleId":""}</t>
  </si>
  <si>
    <t>{"ItemNumber":"57287","ProductName":"NEMT SD Beet &amp; Peas 250g BE","InventoryWarehouseId":"EP","OnHandQuantity":28265,"TotalAvailableQuantity":28265,"AvailableOnHandQuantity":28265,"InventorySiteId":"VEN","dataAreaId":"hgv","ProductColorId":"","ProductConfigurationId":"","ProductSizeId":"","ProductStyleId":""}</t>
  </si>
  <si>
    <t>{"ItemNumber":"57288","ProductName":"Bijplakker 80% minder plastic 45x45 wik 6","InventoryWarehouseId":"EP","OnHandQuantity":855000,"TotalAvailableQuantity":855000,"AvailableOnHandQuantity":855000,"InventorySiteId":"VEN","dataAreaId":"hgv","ProductColorId":"","ProductConfigurationId":"","ProductSizeId":"","ProductStyleId":""}</t>
  </si>
  <si>
    <t>{"ItemNumber":"57289","ProductName":"Bijplakker binnenkort in zak 45x45 wik 6","InventoryWarehouseId":"EP","OnHandQuantity":21000,"TotalAvailableQuantity":21000,"AvailableOnHandQuantity":21000,"InventorySiteId":"VEN","dataAreaId":"hgv","ProductColorId":"","ProductConfigurationId":"","ProductSizeId":"","ProductStyleId":""}</t>
  </si>
  <si>
    <t>{"ItemNumber":"57290","ProductName":"F270 COL MTS Zalm 400g V2","InventoryWarehouseId":"EP","OnHandQuantity":10112.73,"TotalAvailableQuantity":10112.73,"AvailableOnHandQuantity":10112.73,"InventorySiteId":"VEN","dataAreaId":"hgv","ProductColorId":"","ProductConfigurationId":"","ProductSizeId":"","ProductStyleId":""}</t>
  </si>
  <si>
    <t>{"ItemNumber":"57291","ProductName":"COL MTS Zalm 400g OE V2","InventoryWarehouseId":"EP","OnHandQuantity":19230,"TotalAvailableQuantity":19230,"AvailableOnHandQuantity":19230,"InventorySiteId":"VEN","dataAreaId":"hgv","ProductColorId":"","ProductConfigurationId":"","ProductSizeId":"","ProductStyleId":""}</t>
  </si>
  <si>
    <t>{"ItemNumber":"57292","ProductName":"SAL SD Shrimp &amp; Egg 300g BE","InventoryWarehouseId":"EP","OnHandQuantity":7000,"TotalAvailableQuantity":7000,"AvailableOnHandQuantity":7000,"InventorySiteId":"VEN","dataAreaId":"hgv","ProductColorId":"","ProductConfigurationId":"","ProductSizeId":"","ProductStyleId":""}</t>
  </si>
  <si>
    <t>{"ItemNumber":"57293","ProductName":"SAL SD Shrimp &amp; Egg 300g OE","InventoryWarehouseId":"EP","OnHandQuantity":19300,"TotalAvailableQuantity":19300,"AvailableOnHandQuantity":19300,"InventorySiteId":"VEN","dataAreaId":"hgv","ProductColorId":"","ProductConfigurationId":"","ProductSizeId":"","ProductStyleId":""}</t>
  </si>
  <si>
    <t>{"ItemNumber":"57294","ProductName":"SAL SD Couscous Falafel 250g BE","InventoryWarehouseId":"EP","OnHandQuantity":7472,"TotalAvailableQuantity":7472,"AvailableOnHandQuantity":7472,"InventorySiteId":"VEN","dataAreaId":"hgv","ProductColorId":"","ProductConfigurationId":"","ProductSizeId":"","ProductStyleId":""}</t>
  </si>
  <si>
    <t>{"ItemNumber":"57295","ProductName":"SAL SD Couscous Falafel 250g OE","InventoryWarehouseId":"EP","OnHandQuantity":12184,"TotalAvailableQuantity":12184,"AvailableOnHandQuantity":12184,"InventorySiteId":"VEN","dataAreaId":"hgv","ProductColorId":"","ProductConfigurationId":"","ProductSizeId":"","ProductStyleId":""}</t>
  </si>
  <si>
    <t>{"ItemNumber":"57296","ProductName":"Nemt SD Shrimp &amp; Egg 300g BE","InventoryWarehouseId":"EP","OnHandQuantity":9384,"TotalAvailableQuantity":8384,"AvailableOnHandQuantity":8384,"InventorySiteId":"VEN","dataAreaId":"hgv","ProductColorId":"","ProductConfigurationId":"","ProductSizeId":"","ProductStyleId":""}</t>
  </si>
  <si>
    <t>{"ItemNumber":"57297","ProductName":"Nemt SD Shrimp &amp; Egg 300g OE","InventoryWarehouseId":"EP","OnHandQuantity":17753,"TotalAvailableQuantity":17753,"AvailableOnHandQuantity":17753,"InventorySiteId":"VEN","dataAreaId":"hgv","ProductColorId":"","ProductConfigurationId":"","ProductSizeId":"","ProductStyleId":""}</t>
  </si>
  <si>
    <t>{"ItemNumber":"57298","ProductName":"SAL SD Red beet &amp; cheese 225g BE","InventoryWarehouseId":"EP","OnHandQuantity":9072,"TotalAvailableQuantity":9072,"AvailableOnHandQuantity":9072,"InventorySiteId":"VEN","dataAreaId":"hgv","ProductColorId":"","ProductConfigurationId":"","ProductSizeId":"","ProductStyleId":""}</t>
  </si>
  <si>
    <t>{"ItemNumber":"57299","ProductName":"SAL SD Red beet &amp; cheese 225g OE","InventoryWarehouseId":"EP","OnHandQuantity":13187,"TotalAvailableQuantity":13187,"AvailableOnHandQuantity":13187,"InventorySiteId":"VEN","dataAreaId":"hgv","ProductColorId":"","ProductConfigurationId":"","ProductSizeId":"","ProductStyleId":""}</t>
  </si>
  <si>
    <t>{"ItemNumber":"57300","ProductName":"SAL SD Red pointed cabbage rasp. dressing 300g OE","InventoryWarehouseId":"EP","OnHandQuantity":29682,"TotalAvailableQuantity":29682,"AvailableOnHandQuantity":29682,"InventorySiteId":"VEN","dataAreaId":"hgv","ProductColorId":"","ProductConfigurationId":"","ProductSizeId":"","ProductStyleId":""}</t>
  </si>
  <si>
    <t>{"ItemNumber":"57301","ProductName":"SAL SD Red pointed cabbage rasp. dressing 300g BE","InventoryWarehouseId":"EP","OnHandQuantity":8295,"TotalAvailableQuantity":8295,"AvailableOnHandQuantity":8295,"InventorySiteId":"VEN","dataAreaId":"hgv","ProductColorId":"","ProductConfigurationId":"","ProductSizeId":"","ProductStyleId":""}</t>
  </si>
  <si>
    <t>{"ItemNumber":"57302","ProductName":"Inzetbakje 2-vaks 35/28mm FFF schaal","InventoryWarehouseId":"EP","OnHandQuantity":16800,"TotalAvailableQuantity":16800,"AvailableOnHandQuantity":16800,"InventorySiteId":"VEN","dataAreaId":"hgv","ProductColorId":"","ProductConfigurationId":"","ProductSizeId":"","ProductStyleId":""}</t>
  </si>
  <si>
    <t>{"ItemNumber":"57306","ProductName":"INK BE tbv 50643 FQ Witte Kool 400g 230496","InventoryWarehouseId":"EP","OnHandQuantity":1250,"TotalAvailableQuantity":1250,"AvailableOnHandQuantity":1250,"InventorySiteId":"VEN","dataAreaId":"hgv","ProductColorId":"","ProductConfigurationId":"","ProductSizeId":"","ProductStyleId":""}</t>
  </si>
  <si>
    <t>{"ItemNumber":"57310","ProductName":"F270 PL MTS Gegrilde Kip 450g","InventoryWarehouseId":"EP","OnHandQuantity":2683.18,"TotalAvailableQuantity":18283.18,"AvailableOnHandQuantity":2683.18,"InventorySiteId":"VEN","dataAreaId":"hgv","ProductColorId":"","ProductConfigurationId":"","ProductSizeId":"","ProductStyleId":""}</t>
  </si>
  <si>
    <t>{"ItemNumber":"57311","ProductName":"PL MTS Gegrilde Kip 450g OE","InventoryWarehouseId":"EP","OnHandQuantity":24000,"TotalAvailableQuantity":24000,"AvailableOnHandQuantity":24000,"InventorySiteId":"VEN","dataAreaId":"hgv","ProductColorId":"","ProductConfigurationId":"","ProductSizeId":"","ProductStyleId":""}</t>
  </si>
  <si>
    <t>{"ItemNumber":"57312","ProductName":"F270 PL MTS Caesar 450g","InventoryWarehouseId":"EP","OnHandQuantity":14921.45,"TotalAvailableQuantity":14921.45,"AvailableOnHandQuantity":14921.45,"InventorySiteId":"VEN","dataAreaId":"hgv","ProductColorId":"","ProductConfigurationId":"","ProductSizeId":"","ProductStyleId":""}</t>
  </si>
  <si>
    <t>{"ItemNumber":"57313","ProductName":"PL MTS Caesar 450g OE","InventoryWarehouseId":"EP","OnHandQuantity":35855,"TotalAvailableQuantity":35855,"AvailableOnHandQuantity":35855,"InventorySiteId":"VEN","dataAreaId":"hgv","ProductColorId":"","ProductConfigurationId":"","ProductSizeId":"","ProductStyleId":""}</t>
  </si>
  <si>
    <t>{"ItemNumber":"57314","ProductName":"F270 PL MTS Tonijn 450g","InventoryWarehouseId":"EP","OnHandQuantity":1000,"TotalAvailableQuantity":1000,"AvailableOnHandQuantity":1000,"InventorySiteId":"VEN","dataAreaId":"hgv","ProductColorId":"","ProductConfigurationId":"","ProductSizeId":"","ProductStyleId":""}</t>
  </si>
  <si>
    <t>{"ItemNumber":"57315","ProductName":"PL MTS Tonijn 450g OE","InventoryWarehouseId":"EP","OnHandQuantity":27000,"TotalAvailableQuantity":27000,"AvailableOnHandQuantity":27000,"InventorySiteId":"VEN","dataAreaId":"hgv","ProductColorId":"","ProductConfigurationId":"","ProductSizeId":"","ProductStyleId":""}</t>
  </si>
  <si>
    <t>{"ItemNumber":"57316","ProductName":"F270 PL MTS Oosterse Garnaal 450g","InventoryWarehouseId":"EP","OnHandQuantity":6100,"TotalAvailableQuantity":6100,"AvailableOnHandQuantity":6100,"InventorySiteId":"VEN","dataAreaId":"hgv","ProductColorId":"","ProductConfigurationId":"","ProductSizeId":"","ProductStyleId":""}</t>
  </si>
  <si>
    <t>{"ItemNumber":"57317","ProductName":"PL MTS Oosterse Garnaal 450g OE","InventoryWarehouseId":"EP","OnHandQuantity":11472,"TotalAvailableQuantity":11450,"AvailableOnHandQuantity":11472,"InventorySiteId":"VEN","dataAreaId":"hgv","ProductColorId":"","ProductConfigurationId":"","ProductSizeId":"","ProductStyleId":""}</t>
  </si>
  <si>
    <t>{"ItemNumber":"57318","ProductName":"F270 PL MTS Kip Couscous 450g","InventoryWarehouseId":"EP","OnHandQuantity":5558.95,"TotalAvailableQuantity":5558.95,"AvailableOnHandQuantity":5558.95,"InventorySiteId":"VEN","dataAreaId":"hgv","ProductColorId":"","ProductConfigurationId":"","ProductSizeId":"","ProductStyleId":""}</t>
  </si>
  <si>
    <t>{"ItemNumber":"57319","ProductName":"PL MTS Kip Couscous 450g OE","InventoryWarehouseId":"EP","OnHandQuantity":23556,"TotalAvailableQuantity":23556,"AvailableOnHandQuantity":23556,"InventorySiteId":"VEN","dataAreaId":"hgv","ProductColorId":"","ProductConfigurationId":"","ProductSizeId":"","ProductStyleId":""}</t>
  </si>
  <si>
    <t>{"ItemNumber":"57320","ProductName":"F270 SU MTS Gegrilde Kip 450g","InventoryWarehouseId":"EP","OnHandQuantity":1483.99,"TotalAvailableQuantity":13283.99,"AvailableOnHandQuantity":1483.99,"InventorySiteId":"VEN","dataAreaId":"hgv","ProductColorId":"","ProductConfigurationId":"","ProductSizeId":"","ProductStyleId":""}</t>
  </si>
  <si>
    <t>{"ItemNumber":"57321","ProductName":"SU MTS Gegrilde Kip 450g OE","InventoryWarehouseId":"EP","OnHandQuantity":17427,"TotalAvailableQuantity":17427,"AvailableOnHandQuantity":17427,"InventorySiteId":"VEN","dataAreaId":"hgv","ProductColorId":"","ProductConfigurationId":"","ProductSizeId":"","ProductStyleId":""}</t>
  </si>
  <si>
    <t>{"ItemNumber":"57322","ProductName":"F270 SU MTS Caesar 450g","InventoryWarehouseId":"EP","OnHandQuantity":5165.44,"TotalAvailableQuantity":5165.44,"AvailableOnHandQuantity":5165.44,"InventorySiteId":"VEN","dataAreaId":"hgv","ProductColorId":"","ProductConfigurationId":"","ProductSizeId":"","ProductStyleId":""}</t>
  </si>
  <si>
    <t>{"ItemNumber":"57323","ProductName":"SU MTS Caesar 450g OE","InventoryWarehouseId":"EP","OnHandQuantity":12284,"TotalAvailableQuantity":24284,"AvailableOnHandQuantity":12284,"InventorySiteId":"VEN","dataAreaId":"hgv","ProductColorId":"","ProductConfigurationId":"","ProductSizeId":"","ProductStyleId":""}</t>
  </si>
  <si>
    <t>{"ItemNumber":"57326","ProductName":"SU MTS Tonijn 450g OE","InventoryWarehouseId":"EP","OnHandQuantity":16351,"TotalAvailableQuantity":16351,"AvailableOnHandQuantity":16351,"InventorySiteId":"VEN","dataAreaId":"hgv","ProductColorId":"","ProductConfigurationId":"","ProductSizeId":"","ProductStyleId":""}</t>
  </si>
  <si>
    <t>{"ItemNumber":"57332","ProductName":"F270 SU MTS Tonijn 450g","InventoryWarehouseId":"EP","OnHandQuantity":2423.44,"TotalAvailableQuantity":2423.44,"AvailableOnHandQuantity":2423.44,"InventorySiteId":"VEN","dataAreaId":"hgv","ProductColorId":"","ProductConfigurationId":"","ProductSizeId":"","ProductStyleId":""}</t>
  </si>
  <si>
    <t>{"ItemNumber":"57343","ProductName":"INK BE 54883 Etiket 55x55mm Champignon rbm VP 310156","InventoryWarehouseId":"EP","OnHandQuantity":2000,"TotalAvailableQuantity":2000,"AvailableOnHandQuantity":2000,"InventorySiteId":"VEN","dataAreaId":"hgv","ProductColorId":"","ProductConfigurationId":"","ProductSizeId":"","ProductStyleId":""}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</si>
  <si>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{"ItemNumber":"57344","ProductName":"INK BE 54883 Etiket 55x55mm Wok Oosters 400g VP 310160","InventoryWarehouseId":"EP","OnHandQuantity":2000,"TotalAvailableQuantity":2000,"AvailableOnHandQuantity":2000,"InventorySiteId":"VEN","dataAreaId":"hgv","ProductColorId":"","ProductConfigurationId":"","ProductSizeId":"","ProductStyleId":""}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</si>
  <si>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{"ItemNumber":"57345","ProductName":"INK BE 54883 Etiket 55x55mm Thaise wok 400g VP 310154","InventoryWarehouseId":"EP","OnHandQuantity":2000,"TotalAvailableQuantity":2000,"AvailableOnHandQuantity":2000,"InventorySiteId":"VEN","dataAreaId":"hgv","ProductColorId":"","ProductConfigurationId":"","ProductSizeId":"","ProductStyleId":""}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</si>
  <si>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{"ItemNumber":"57347","ProductName":"INK BE 54883 Etiket 55x55mm Rode Kool 300g VP 310161","InventoryWarehouseId":"EP","OnHandQuantity":2000,"TotalAvailableQuantity":2000,"AvailableOnHandQuantity":2000,"InventorySiteId":"VEN","dataAreaId":"hgv","ProductColorId":"","ProductConfigurationId":"","ProductSizeId":"","ProductStyleId":""}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</si>
  <si>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{"ItemNumber":"57348","ProductName":"INK BE 54883 Etiket 55x55mm Uien Rood Snipper150g VP 310159","InventoryWarehouseId":"EP","OnHandQuantity":2000,"TotalAvailableQuantity":2000,"AvailableOnHandQuantity":2000,"InventorySiteId":"VEN","dataAreaId":"hgv","ProductColorId":"","ProductConfigurationId":"","ProductSizeId":"","ProductStyleId":""}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</si>
  <si>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{"ItemNumber":"57349","ProductName":"INK BE 54883 Etiket 55x55mm Chinese rbm 400g VP 310155","InventoryWarehouseId":"EP","OnHandQuantity":2000,"TotalAvailableQuantity":2000,"AvailableOnHandQuantity":2000,"InventorySiteId":"VEN","dataAreaId":"hgv","ProductColorId":"","ProductConfigurationId":"","ProductSizeId":"","ProductStyleId":""}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</si>
  <si>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{"ItemNumber":"57350","ProductName":"INK BE 54883 Etiket 55x55mm Mexicaanse rbm VP 310158","InventoryWarehouseId":"EP","OnHandQuantity":2000,"TotalAvailableQuantity":2000,"AvailableOnHandQuantity":2000,"InventorySiteId":"VEN","dataAreaId":"hgv","ProductColorId":"","ProductConfigurationId":"","ProductSizeId":"","ProductStyleId":""}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</si>
  <si>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{"ItemNumber":"57357","ProductName":"INK BE 54883 Etiket 55x55mm Italiaanse rbg 400g VP 310157","InventoryWarehouseId":"EP","OnHandQuantity":2000,"TotalAvailableQuantity":2000,"AvailableOnHandQuantity":2000,"InventorySiteId":"VEN","dataAreaId":"hgv","ProductColorId":"","ProductConfigurationId":"","ProductSizeId":"","ProductStyleId":""}</t>
  </si>
  <si>
    <t>{"ItemNumber":"57359","ProductName":"F390 SAL RBG Champignons 250g P160","InventoryWarehouseId":"EP","OnHandQuantity":52617.75,"TotalAvailableQuantity":52617.75,"AvailableOnHandQuantity":52617.75,"InventorySiteId":"VEN","dataAreaId":"hgv","ProductColorId":"","ProductConfigurationId":"","ProductSizeId":"","ProductStyleId":""}</t>
  </si>
  <si>
    <t>{"ItemNumber":"57368","ProductName":"FQ Grillmix 400g BE","InventoryWarehouseId":"EP","OnHandQuantity":10500,"TotalAvailableQuantity":10500,"AvailableOnHandQuantity":10500,"InventorySiteId":"VEN","dataAreaId":"hgv","ProductColorId":"","ProductConfigurationId":"","ProductSizeId":"","ProductStyleId":""}</t>
  </si>
  <si>
    <t>{"ItemNumber":"57369","ProductName":"FQ Grillmix 400g KE","InventoryWarehouseId":"EP","OnHandQuantity":5000,"TotalAvailableQuantity":5000,"AvailableOnHandQuantity":5000,"InventorySiteId":"VEN","dataAreaId":"hgv","ProductColorId":"","ProductConfigurationId":"","ProductSizeId":"","ProductStyleId":""}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</si>
  <si>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{"ItemNumber":"57378","ProductName":"MB Cabbage &amp; Edammame 400g C-Label CAR","InventoryWarehouseId":"EP","OnHandQuantity":22000,"TotalAvailableQuantity":22000,"AvailableOnHandQuantity":22000,"InventorySiteId":"VEN","dataAreaId":"hgv","ProductColorId":"","ProductConfigurationId":"","ProductSizeId":"","ProductStyleId":""}</t>
  </si>
  <si>
    <t>{"ItemNumber":"57379","ProductName":"MB Nuts &amp; Corn 400g C-label CAR","InventoryWarehouseId":"EP","OnHandQuantity":16800,"TotalAvailableQuantity":16800,"AvailableOnHandQuantity":16800,"InventorySiteId":"VEN","dataAreaId":"hgv","ProductColorId":"","ProductConfigurationId":"","ProductSizeId":"","ProductStyleId":""}</t>
  </si>
  <si>
    <t>{"ItemNumber":"57380","ProductName":"MB Avocado &amp; Tortilla 400g C-label CAR","InventoryWarehouseId":"EP","OnHandQuantity":8050,"TotalAvailableQuantity":8050,"AvailableOnHandQuantity":8050,"InventorySiteId":"VEN","dataAreaId":"hgv","ProductColorId":"","ProductConfigurationId":"","ProductSizeId":"","ProductStyleId":""}</t>
  </si>
  <si>
    <t>{"ItemNumber":"57381","ProductName":"MB Tomaat 400g C-Label CAR","InventoryWarehouseId":"EP","OnHandQuantity":16800,"TotalAvailableQuantity":16800,"AvailableOnHandQuantity":16800,"InventorySiteId":"VEN","dataAreaId":"hgv","ProductColorId":"","ProductConfigurationId":"","ProductSizeId":"","ProductStyleId":""}</t>
  </si>
  <si>
    <t>{"ItemNumber":"57383","ProductName":"F220 JU GS Heksenkaas 215g","InventoryWarehouseId":"EP","OnHandQuantity":8483.61,"TotalAvailableQuantity":8483.61,"AvailableOnHandQuantity":8483.61,"InventorySiteId":"VEN","dataAreaId":"hgv","ProductColorId":"","ProductConfigurationId":"","ProductSizeId":"","ProductStyleId":""}</t>
  </si>
  <si>
    <t>{"ItemNumber":"57384","ProductName":"JU PS Rode Paprika 460g ZE","InventoryWarehouseId":"EP","OnHandQuantity":24500,"TotalAvailableQuantity":24500,"AvailableOnHandQuantity":24500,"InventorySiteId":"VEN","dataAreaId":"hgv","ProductColorId":"","ProductConfigurationId":"","ProductSizeId":"","ProductStyleId":""}</t>
  </si>
  <si>
    <t>{"ItemNumber":"57385","ProductName":"JU PS Rode Paprika 460g AE","InventoryWarehouseId":"EP","OnHandQuantity":20000,"TotalAvailableQuantity":20000,"AvailableOnHandQuantity":20000,"InventorySiteId":"VEN","dataAreaId":"hgv","ProductColorId":"","ProductConfigurationId":"","ProductSizeId":"","ProductStyleId":""}</t>
  </si>
  <si>
    <t>{"ItemNumber":"57386","ProductName":"F390 JU OG Kriel, Spruit, Pompoen 600g 30my(laminaat) LP1D10","InventoryWarehouseId":"EP","OnHandQuantity":17274.96,"TotalAvailableQuantity":17274.96,"AvailableOnHandQuantity":17274.96,"InventorySiteId":"VEN","dataAreaId":"hgv","ProductColorId":"","ProductConfigurationId":"","ProductSizeId":"","ProductStyleId":""}</t>
  </si>
  <si>
    <t>{"ItemNumber":"57388","ProductName":"F390 JU OG Courgette, Paprika Peen 600g LP1D10","InventoryWarehouseId":"EP","OnHandQuantity":14134.22,"TotalAvailableQuantity":14134.22,"AvailableOnHandQuantity":14134.22,"InventorySiteId":"VEN","dataAreaId":"hgv","ProductColorId":"","ProductConfigurationId":"","ProductSizeId":"","ProductStyleId":""}</t>
  </si>
  <si>
    <t>{"ItemNumber":"57389","ProductName":"JU GS Heksenkaas 215g OE","InventoryWarehouseId":"EP","OnHandQuantity":16431,"TotalAvailableQuantity":16431,"AvailableOnHandQuantity":16431,"InventorySiteId":"VEN","dataAreaId":"hgv","ProductColorId":"","ProductConfigurationId":"","ProductSizeId":"","ProductStyleId":""}</t>
  </si>
  <si>
    <t>{"ItemNumber":"57390","ProductName":"JU SNS Pompoen 200g ZE","InventoryWarehouseId":"EP","OnHandQuantity":52323,"TotalAvailableQuantity":52323,"AvailableOnHandQuantity":52323,"InventorySiteId":"VEN","dataAreaId":"hgv","ProductColorId":"","ProductConfigurationId":"","ProductSizeId":"","ProductStyleId":""}</t>
  </si>
  <si>
    <t>{"ItemNumber":"57391","ProductName":"JU SNS Pompoen 200g OE","InventoryWarehouseId":"EP","OnHandQuantity":13314,"TotalAvailableQuantity":13314,"AvailableOnHandQuantity":13314,"InventorySiteId":"VEN","dataAreaId":"hgv","ProductColorId":"","ProductConfigurationId":"","ProductSizeId":"","ProductStyleId":""}</t>
  </si>
  <si>
    <t>{"ItemNumber":"57392","ProductName":"F220 PL LS Gerookte kip 250g","InventoryWarehouseId":"EP","OnHandQuantity":5562.12,"TotalAvailableQuantity":5562.12,"AvailableOnHandQuantity":5562.12,"InventorySiteId":"VEN","dataAreaId":"hgv","ProductColorId":"","ProductConfigurationId":"","ProductSizeId":"","ProductStyleId":""}</t>
  </si>
  <si>
    <t>{"ItemNumber":"57393","ProductName":"PL LS Gerookte kip 250g OE","InventoryWarehouseId":"EP","OnHandQuantity":11765,"TotalAvailableQuantity":11765,"AvailableOnHandQuantity":11765,"InventorySiteId":"VEN","dataAreaId":"hgv","ProductColorId":"","ProductConfigurationId":"","ProductSizeId":"","ProductStyleId":""}</t>
  </si>
  <si>
    <t>{"ItemNumber":"57394","ProductName":"F270 PL MTS Kip Cajun 400g","InventoryWarehouseId":"EP","OnHandQuantity":7573.68,"TotalAvailableQuantity":7573.68,"AvailableOnHandQuantity":7573.68,"InventorySiteId":"VEN","dataAreaId":"hgv","ProductColorId":"","ProductConfigurationId":"","ProductSizeId":"","ProductStyleId":""}</t>
  </si>
  <si>
    <t>{"ItemNumber":"57395","ProductName":"PL MTS Kip Cajun 400g OE","InventoryWarehouseId":"EP","OnHandQuantity":10524,"TotalAvailableQuantity":10524,"AvailableOnHandQuantity":10524,"InventorySiteId":"VEN","dataAreaId":"hgv","ProductColorId":"","ProductConfigurationId":"","ProductSizeId":"","ProductStyleId":""}</t>
  </si>
  <si>
    <t>{"ItemNumber":"57396","ProductName":"F390 SU Wokgroente Oosters 400g LP1D10","InventoryWarehouseId":"EP","OnHandQuantity":47576.21,"TotalAvailableQuantity":47576.21,"AvailableOnHandQuantity":47576.21,"InventorySiteId":"VEN","dataAreaId":"hgv","ProductColorId":"","ProductConfigurationId":"","ProductSizeId":"","ProductStyleId":""}</t>
  </si>
  <si>
    <t>{"ItemNumber":"57397","ProductName":"F390 PL OG Kriel Broccoli Biety 600g 40my (laminaat) LP1D10","InventoryWarehouseId":"EP","OnHandQuantity":6074,"TotalAvailableQuantity":6074,"AvailableOnHandQuantity":6074,"InventorySiteId":"VEN","dataAreaId":"hgv","ProductColorId":"","ProductConfigurationId":"","ProductSizeId":"","ProductStyleId":""}</t>
  </si>
  <si>
    <t>{"ItemNumber":"57398","ProductName":"F390 PL OG Pompoen Rode Ui 600g LP1D10","InventoryWarehouseId":"EP","OnHandQuantity":19252.38,"TotalAvailableQuantity":19252.38,"AvailableOnHandQuantity":19252.38,"InventorySiteId":"VEN","dataAreaId":"hgv","ProductColorId":"","ProductConfigurationId":"","ProductSizeId":"","ProductStyleId":""}</t>
  </si>
  <si>
    <t>{"ItemNumber":"57399","ProductName":"F350 PL Bloemkool Rijst 400g","InventoryWarehouseId":"EP","OnHandQuantity":8554.48,"TotalAvailableQuantity":8554.48,"AvailableOnHandQuantity":8554.48,"InventorySiteId":"VEN","dataAreaId":"hgv","ProductColorId":"","ProductConfigurationId":"","ProductSizeId":"","ProductStyleId":""}</t>
  </si>
  <si>
    <t>{"ItemNumber":"57400","ProductName":"F350 PL Broccoli Rijst 400g","InventoryWarehouseId":"EP","OnHandQuantity":30000,"TotalAvailableQuantity":30000,"AvailableOnHandQuantity":30000,"InventorySiteId":"VEN","dataAreaId":"hgv","ProductColorId":"","ProductConfigurationId":"","ProductSizeId":"","ProductStyleId":""}</t>
  </si>
  <si>
    <t>{"ItemNumber":"57401","ProductName":"PL Courgette Spaghetti 400g BE","InventoryWarehouseId":"EP","OnHandQuantity":8000,"TotalAvailableQuantity":8000,"AvailableOnHandQuantity":8000,"InventorySiteId":"VEN","dataAreaId":"hgv","ProductColorId":"","ProductConfigurationId":"","ProductSizeId":"","ProductStyleId":""}</t>
  </si>
  <si>
    <t>{"ItemNumber":"57402","ProductName":"PL Courgette Spaghetti 400g OE","InventoryWarehouseId":"EP","OnHandQuantity":20000,"TotalAvailableQuantity":20000,"AvailableOnHandQuantity":20000,"InventorySiteId":"VEN","dataAreaId":"hgv","ProductColorId":"","ProductConfigurationId":"","ProductSizeId":"","ProductStyleId":""}</t>
  </si>
  <si>
    <t>{"ItemNumber":"57405","ProductName":"F390 Lidl RBG Champignons 400g P160","InventoryWarehouseId":"EP","OnHandQuantity":30694.39,"TotalAvailableQuantity":30694.39,"AvailableOnHandQuantity":30694.39,"InventorySiteId":"VEN","dataAreaId":"hgv","ProductColorId":"","ProductConfigurationId":"","ProductSizeId":"","ProductStyleId":""}</t>
  </si>
  <si>
    <t>{"ItemNumber":"57406","ProductName":"F350 Lidl Tauge 125g P120","InventoryWarehouseId":"EP","OnHandQuantity":55292.32,"TotalAvailableQuantity":55292.32,"AvailableOnHandQuantity":55292.32,"InventorySiteId":"VEN","dataAreaId":"hgv","ProductColorId":"","ProductConfigurationId":"","ProductSizeId":"","ProductStyleId":""}</t>
  </si>
  <si>
    <t>{"ItemNumber":"57407","ProductName":"F390 Lidl RBG Italiaans 400g","InventoryWarehouseId":"EP","OnHandQuantity":38496.96,"TotalAvailableQuantity":38496.96,"AvailableOnHandQuantity":38496.96,"InventorySiteId":"VEN","dataAreaId":"hgv","ProductColorId":"","ProductConfigurationId":"","ProductSizeId":"","ProductStyleId":""}</t>
  </si>
  <si>
    <t>{"ItemNumber":"57408","ProductName":"F390 Lidl RBG Hollands 400g P160","InventoryWarehouseId":"EP","OnHandQuantity":52523.69,"TotalAvailableQuantity":52523.71,"AvailableOnHandQuantity":52523.69,"InventorySiteId":"VEN","dataAreaId":"hgv","ProductColorId":"","ProductConfigurationId":"","ProductSizeId":"","ProductStyleId":""}</t>
  </si>
  <si>
    <t>{"ItemNumber":"57410","ProductName":"F390 Lidl Wok Japans 400g P160","InventoryWarehouseId":"EP","OnHandQuantity":34400,"TotalAvailableQuantity":34400,"AvailableOnHandQuantity":34400,"InventorySiteId":"VEN","dataAreaId":"hgv","ProductColorId":"","ProductConfigurationId":"","ProductSizeId":"","ProductStyleId":""}</t>
  </si>
  <si>
    <t>{"ItemNumber":"57411","ProductName":"F270 SU MTS Gerookte Kip BLK 450g","InventoryWarehouseId":"EP","OnHandQuantity":8148.58,"TotalAvailableQuantity":8148.58,"AvailableOnHandQuantity":8148.58,"InventorySiteId":"VEN","dataAreaId":"hgv","ProductColorId":"","ProductConfigurationId":"","ProductSizeId":"","ProductStyleId":""}</t>
  </si>
  <si>
    <t>{"ItemNumber":"57412","ProductName":"SU MTS Gerookte Kip BLK 450g OE","InventoryWarehouseId":"EP","OnHandQuantity":26163,"TotalAvailableQuantity":26163,"AvailableOnHandQuantity":26163,"InventorySiteId":"VEN","dataAreaId":"hgv","ProductColorId":"","ProductConfigurationId":"","ProductSizeId":"","ProductStyleId":""}</t>
  </si>
  <si>
    <t>{"ItemNumber":"57413","ProductName":"F270 SU MTS Zalm ASC 450g","InventoryWarehouseId":"EP","OnHandQuantity":1149.15,"TotalAvailableQuantity":1149.15,"AvailableOnHandQuantity":1149.15,"InventorySiteId":"VEN","dataAreaId":"hgv","ProductColorId":"","ProductConfigurationId":"","ProductSizeId":"","ProductStyleId":""}</t>
  </si>
  <si>
    <t>{"ItemNumber":"57414","ProductName":"SU MTS Zalm ASC 450g OE","InventoryWarehouseId":"EP","OnHandQuantity":5634,"TotalAvailableQuantity":5634,"AvailableOnHandQuantity":5634,"InventorySiteId":"VEN","dataAreaId":"hgv","ProductColorId":"","ProductConfigurationId":"","ProductSizeId":"","ProductStyleId":""}</t>
  </si>
  <si>
    <t>{"ItemNumber":"57415","ProductName":"F270 SU MTS Walnoot Geitenkaas 450g","InventoryWarehouseId":"EP","OnHandQuantity":3603.39,"TotalAvailableQuantity":3603.39,"AvailableOnHandQuantity":3603.39,"InventorySiteId":"VEN","dataAreaId":"hgv","ProductColorId":"","ProductConfigurationId":"","ProductSizeId":"","ProductStyleId":""}</t>
  </si>
  <si>
    <t>{"ItemNumber":"57416","ProductName":"SU MTS Walnoot Geitenkaas 450g OE","InventoryWarehouseId":"EP","OnHandQuantity":7746,"TotalAvailableQuantity":7746,"AvailableOnHandQuantity":7746,"InventorySiteId":"VEN","dataAreaId":"hgv","ProductColorId":"","ProductConfigurationId":"","ProductSizeId":"","ProductStyleId":""}</t>
  </si>
  <si>
    <t>{"ItemNumber":"57418","ProductName":"INK OE 160049 tbv SS Rauwkost 275g Veggie 205035","InventoryWarehouseId":"EP","OnHandQuantity":9000,"TotalAvailableQuantity":9000,"AvailableOnHandQuantity":9000,"InventorySiteId":"VEN","dataAreaId":"hgv","ProductColorId":"","ProductConfigurationId":"","ProductSizeId":"","ProductStyleId":""}</t>
  </si>
  <si>
    <t>{"ItemNumber":"57420","ProductName":"Globus Salatschale Schinken &amp; Käse 300g BE","InventoryWarehouseId":"EP","OnHandQuantity":8632,"TotalAvailableQuantity":8632,"AvailableOnHandQuantity":8632,"InventorySiteId":"VEN","dataAreaId":"hgv","ProductColorId":"","ProductConfigurationId":"","ProductSizeId":"","ProductStyleId":""}</t>
  </si>
  <si>
    <t>{"ItemNumber":"57421","ProductName":"Globus Salatschale Schinken &amp; Käse 300g OE","InventoryWarehouseId":"EP","OnHandQuantity":3852,"TotalAvailableQuantity":30852,"AvailableOnHandQuantity":3852,"InventorySiteId":"VEN","dataAreaId":"hgv","ProductColorId":"","ProductConfigurationId":"","ProductSizeId":"","ProductStyleId":""}</t>
  </si>
  <si>
    <t>{"ItemNumber":"57422","ProductName":"Globus Salatschale Schinken Käse 300g KE","InventoryWarehouseId":"EP","OnHandQuantity":13158,"TotalAvailableQuantity":13158,"AvailableOnHandQuantity":13158,"InventorySiteId":"VEN","dataAreaId":"hgv","ProductColorId":"","ProductConfigurationId":"","ProductSizeId":"","ProductStyleId":""}</t>
  </si>
  <si>
    <t>{"ItemNumber":"57423","ProductName":"Globus Salatschale Hänchen Senf Dressing 300g BE","InventoryWarehouseId":"EP","OnHandQuantity":2287,"TotalAvailableQuantity":8287,"AvailableOnHandQuantity":2287,"InventorySiteId":"VEN","dataAreaId":"hgv","ProductColorId":"","ProductConfigurationId":"","ProductSizeId":"","ProductStyleId":""}</t>
  </si>
  <si>
    <t>{"ItemNumber":"57424","ProductName":"Globus Salatschale Hänchen Senf Dressing 300g OE","InventoryWarehouseId":"EP","OnHandQuantity":21673,"TotalAvailableQuantity":21673,"AvailableOnHandQuantity":21673,"InventorySiteId":"VEN","dataAreaId":"hgv","ProductColorId":"","ProductConfigurationId":"","ProductSizeId":"","ProductStyleId":""}</t>
  </si>
  <si>
    <t>{"ItemNumber":"57425","ProductName":"Globus Salatschale Hänchen Senf 300g KE","InventoryWarehouseId":"EP","OnHandQuantity":12960,"TotalAvailableQuantity":12960,"AvailableOnHandQuantity":12960,"InventorySiteId":"VEN","dataAreaId":"hgv","ProductColorId":"","ProductConfigurationId":"","ProductSizeId":"","ProductStyleId":""}</t>
  </si>
  <si>
    <t>{"ItemNumber":"57426","ProductName":"Globus Salatschale Caesar 300g BE","InventoryWarehouseId":"EP","OnHandQuantity":5872,"TotalAvailableQuantity":5872,"AvailableOnHandQuantity":5872,"InventorySiteId":"VEN","dataAreaId":"hgv","ProductColorId":"","ProductConfigurationId":"","ProductSizeId":"","ProductStyleId":""}</t>
  </si>
  <si>
    <t>{"ItemNumber":"57427","ProductName":"Globus Salatschale Caesar 300g OE","InventoryWarehouseId":"EP","OnHandQuantity":12557,"TotalAvailableQuantity":12557,"AvailableOnHandQuantity":12557,"InventorySiteId":"VEN","dataAreaId":"hgv","ProductColorId":"","ProductConfigurationId":"","ProductSizeId":"","ProductStyleId":""}</t>
  </si>
  <si>
    <t>{"ItemNumber":"57428","ProductName":"Globus Salatschale Caesar 300g KE","InventoryWarehouseId":"EP","OnHandQuantity":13358,"TotalAvailableQuantity":13358,"AvailableOnHandQuantity":13358,"InventorySiteId":"VEN","dataAreaId":"hgv","ProductColorId":"","ProductConfigurationId":"","ProductSizeId":"","ProductStyleId":""}</t>
  </si>
  <si>
    <t>{"ItemNumber":"57429","ProductName":"Bijplakker 'Tijdelijk met peulen ipv sugarsnaps' 45mm wik 6","InventoryWarehouseId":"EP","OnHandQuantity":159000,"TotalAvailableQuantity":159000,"AvailableOnHandQuantity":159000,"InventorySiteId":"VEN","dataAreaId":"hgv","ProductColorId":"","ProductConfigurationId":"","ProductSizeId":"","ProductStyleId":""}</t>
  </si>
  <si>
    <t>{"ItemNumber":"57434","ProductName":"Bijplak PL Binnenkort verpakt in zak 50mm wik 6","InventoryWarehouseId":"EP","OnHandQuantity":32500,"TotalAvailableQuantity":32500,"AvailableOnHandQuantity":32500,"InventorySiteId":"VEN","dataAreaId":"hgv","ProductColorId":"","ProductConfigurationId":"","ProductSizeId":"","ProductStyleId":""}</t>
  </si>
  <si>
    <t>{"ItemNumber":"57435","ProductName":"Bijplak PL Vernieuwd receptuur nu verpakt in zak 50mm wik 6","InventoryWarehouseId":"EP","OnHandQuantity":137500,"TotalAvailableQuantity":137500,"AvailableOnHandQuantity":137500,"InventorySiteId":"VEN","dataAreaId":"hgv","ProductColorId":"","ProductConfigurationId":"","ProductSizeId":"","ProductStyleId":""}</t>
  </si>
  <si>
    <t>{"ItemNumber":"57461","ProductName":"JU OS Spruiten Spek BL* 400g BE V2","InventoryWarehouseId":"EP","OnHandQuantity":16790,"TotalAvailableQuantity":16790,"AvailableOnHandQuantity":16790,"InventorySiteId":"VEN","dataAreaId":"hgv","ProductColorId":"","ProductConfigurationId":"","ProductSizeId":"","ProductStyleId":""}</t>
  </si>
  <si>
    <t>{"ItemNumber":"57462","ProductName":"JU OS Spruiten Spek BL* 400g OE V2","InventoryWarehouseId":"EP","OnHandQuantity":23854,"TotalAvailableQuantity":23854,"AvailableOnHandQuantity":23854,"InventorySiteId":"VEN","dataAreaId":"hgv","ProductColorId":"","ProductConfigurationId":"","ProductSizeId":"","ProductStyleId":""}</t>
  </si>
  <si>
    <t>{"ItemNumber":"57463","ProductName":"JU OS Sperzieboon Bacon BL* 300g BE V2","InventoryWarehouseId":"EP","OnHandQuantity":12272,"TotalAvailableQuantity":12272,"AvailableOnHandQuantity":12272,"InventorySiteId":"VEN","dataAreaId":"hgv","ProductColorId":"","ProductConfigurationId":"","ProductSizeId":"","ProductStyleId":""}</t>
  </si>
  <si>
    <t>{"ItemNumber":"57464","ProductName":"JU OS Sperzieboon Bacon BL* 300g OE V2","InventoryWarehouseId":"EP","OnHandQuantity":20560,"TotalAvailableQuantity":20560,"AvailableOnHandQuantity":20560,"InventorySiteId":"VEN","dataAreaId":"hgv","ProductColorId":"","ProductConfigurationId":"","ProductSizeId":"","ProductStyleId":""}</t>
  </si>
  <si>
    <t>{"ItemNumber":"57465","ProductName":"JU Gourmetschotel 4-vaks 250g BE V2","InventoryWarehouseId":"EP","OnHandQuantity":17394,"TotalAvailableQuantity":17394,"AvailableOnHandQuantity":17394,"InventorySiteId":"VEN","dataAreaId":"hgv","ProductColorId":"","ProductConfigurationId":"","ProductSizeId":"","ProductStyleId":""}</t>
  </si>
  <si>
    <t>{"ItemNumber":"57466","ProductName":"JU Gourmetschotel 4-vaks 250g OE V2","InventoryWarehouseId":"EP","OnHandQuantity":21615,"TotalAvailableQuantity":21615,"AvailableOnHandQuantity":21615,"InventorySiteId":"VEN","dataAreaId":"hgv","ProductColorId":"","ProductConfigurationId":"","ProductSizeId":"","ProductStyleId":""}</t>
  </si>
  <si>
    <t>{"ItemNumber":"57467","ProductName":"JU PS Pompoen Wortel Vegan 500g ZE V2","InventoryWarehouseId":"EP","OnHandQuantity":13172,"TotalAvailableQuantity":13172,"AvailableOnHandQuantity":13172,"InventorySiteId":"VEN","dataAreaId":"hgv","ProductColorId":"","ProductConfigurationId":"","ProductSizeId":"","ProductStyleId":""}</t>
  </si>
  <si>
    <t>{"ItemNumber":"57468","ProductName":"JU PS Pompoen Wortel Vegan 500g AE V2","InventoryWarehouseId":"EP","OnHandQuantity":18400,"TotalAvailableQuantity":18400,"AvailableOnHandQuantity":18400,"InventorySiteId":"VEN","dataAreaId":"hgv","ProductColorId":"","ProductConfigurationId":"","ProductSizeId":"","ProductStyleId":""}</t>
  </si>
  <si>
    <t>{"ItemNumber":"57469","ProductName":"F270 PL MTS Geitenkaas 450g P30","InventoryWarehouseId":"EP","OnHandQuantity":6000,"TotalAvailableQuantity":6000,"AvailableOnHandQuantity":6000,"InventorySiteId":"VEN","dataAreaId":"hgv","ProductColorId":"","ProductConfigurationId":"","ProductSizeId":"","ProductStyleId":""}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</si>
  <si>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{"ItemNumber":"57470","ProductName":"PL MTS Geitenkaas 450g OE","InventoryWarehouseId":"EP","OnHandQuantity":15000,"TotalAvailableQuantity":15000,"AvailableOnHandQuantity":15000,"InventorySiteId":"VEN","dataAreaId":"hgv","ProductColorId":"","ProductConfigurationId":"","ProductSizeId":"","ProductStyleId":""}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</si>
  <si>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{"ItemNumber":"57472","ProductName":"F270 PL MTS Gerookte Kip 450g","InventoryWarehouseId":"EP","OnHandQuantity":13704.57,"TotalAvailableQuantity":13704.57,"AvailableOnHandQuantity":13704.57,"InventorySiteId":"VEN","dataAreaId":"hgv","ProductColorId":"","ProductConfigurationId":"","ProductSizeId":"","ProductStyleId":""}</t>
  </si>
  <si>
    <t>{"ItemNumber":"57473","ProductName":"PL MTS Gerookte Kip 450g OE","InventoryWarehouseId":"EP","OnHandQuantity":11441,"TotalAvailableQuantity":35441,"AvailableOnHandQuantity":11441,"InventorySiteId":"VEN","dataAreaId":"hgv","ProductColorId":"","ProductConfigurationId":"","ProductSizeId":"","ProductStyleId":""}</t>
  </si>
  <si>
    <t>{"ItemNumber":"57475","ProductName":"F270 PL MTS Zalm ASC 450g","InventoryWarehouseId":"EP","OnHandQuantity":9005.85,"TotalAvailableQuantity":9005.85,"AvailableOnHandQuantity":9005.85,"InventorySiteId":"VEN","dataAreaId":"hgv","ProductColorId":"","ProductConfigurationId":"","ProductSizeId":"","ProductStyleId":""}</t>
  </si>
  <si>
    <t>{"ItemNumber":"57476","ProductName":"PL MTS Zalm ASC 450g OE","InventoryWarehouseId":"EP","OnHandQuantity":20380,"TotalAvailableQuantity":20380,"AvailableOnHandQuantity":20380,"InventorySiteId":"VEN","dataAreaId":"hgv","ProductColorId":"","ProductConfigurationId":"","ProductSizeId":"","ProductStyleId":""}</t>
  </si>
  <si>
    <t>{"ItemNumber":"57477","ProductName":"F270 SU MTS Kip Bacon BL1-K1 400g","InventoryWarehouseId":"EP","OnHandQuantity":2262.69,"TotalAvailableQuantity":2262.69,"AvailableOnHandQuantity":2262.69,"InventorySiteId":"VEN","dataAreaId":"hgv","ProductColorId":"","ProductConfigurationId":"","ProductSizeId":"","ProductStyleId":""}</t>
  </si>
  <si>
    <t>{"ItemNumber":"57478","ProductName":"SU MTS Kip Bacon BLK 400g OE","InventoryWarehouseId":"EP","OnHandQuantity":6784,"TotalAvailableQuantity":18784,"AvailableOnHandQuantity":6784,"InventorySiteId":"VEN","dataAreaId":"hgv","ProductColorId":"","ProductConfigurationId":"","ProductSizeId":"","ProductStyleId":""}</t>
  </si>
  <si>
    <t>{"ItemNumber":"57479","ProductName":"F270 PL MTS Mozzarella 450g","InventoryWarehouseId":"EP","OnHandQuantity":9900.41,"TotalAvailableQuantity":9900.41,"AvailableOnHandQuantity":9900.41,"InventorySiteId":"VEN","dataAreaId":"hgv","ProductColorId":"","ProductConfigurationId":"","ProductSizeId":"","ProductStyleId":""}</t>
  </si>
  <si>
    <t>{"ItemNumber":"57480","ProductName":"PL MTS Mozzarella 450g OE","InventoryWarehouseId":"EP","OnHandQuantity":17784,"TotalAvailableQuantity":17784,"AvailableOnHandQuantity":17784,"InventorySiteId":"VEN","dataAreaId":"hgv","ProductColorId":"","ProductConfigurationId":"","ProductSizeId":"","ProductStyleId":""}</t>
  </si>
  <si>
    <t>{"ItemNumber":"57481","ProductName":"F270 SU MTS Mozzarella 450g","InventoryWarehouseId":"EP","OnHandQuantity":6735.07,"TotalAvailableQuantity":6731.59,"AvailableOnHandQuantity":6735.07,"InventorySiteId":"VEN","dataAreaId":"hgv","ProductColorId":"","ProductConfigurationId":"","ProductSizeId":"","ProductStyleId":""}</t>
  </si>
  <si>
    <t>{"ItemNumber":"57482","ProductName":"SU MTS Mozzarella 450g OE","InventoryWarehouseId":"EP","OnHandQuantity":10007,"TotalAvailableQuantity":10007,"AvailableOnHandQuantity":10007,"InventorySiteId":"VEN","dataAreaId":"hgv","ProductColorId":"","ProductConfigurationId":"","ProductSizeId":"","ProductStyleId":""}</t>
  </si>
  <si>
    <t>{"ItemNumber":"57483","ProductName":"F270 PL MTS Kip Ketjap BLK 450g","InventoryWarehouseId":"EP","OnHandQuantity":7000,"TotalAvailableQuantity":7000,"AvailableOnHandQuantity":7000,"InventorySiteId":"VEN","dataAreaId":"hgv","ProductColorId":"","ProductConfigurationId":"","ProductSizeId":"","ProductStyleId":""}</t>
  </si>
  <si>
    <t>{"ItemNumber":"57484","ProductName":"PL MTS Kip Ketjap BLK 450g OE","InventoryWarehouseId":"EP","OnHandQuantity":15000,"TotalAvailableQuantity":14934,"AvailableOnHandQuantity":15000,"InventorySiteId":"VEN","dataAreaId":"hgv","ProductColorId":"","ProductConfigurationId":"","ProductSizeId":"","ProductStyleId":""}</t>
  </si>
  <si>
    <t>{"ItemNumber":"57485","ProductName":"F270 SU MTS Kip Ketjap BLK 450g","InventoryWarehouseId":"EP","OnHandQuantity":8342.76,"TotalAvailableQuantity":8342.76,"AvailableOnHandQuantity":8342.76,"InventorySiteId":"VEN","dataAreaId":"hgv","ProductColorId":"","ProductConfigurationId":"","ProductSizeId":"","ProductStyleId":""}</t>
  </si>
  <si>
    <t>{"ItemNumber":"57486","ProductName":"SU MTS Kip Ketjap BLK 450g OE","InventoryWarehouseId":"EP","OnHandQuantity":5121,"TotalAvailableQuantity":5121,"AvailableOnHandQuantity":5121,"InventorySiteId":"VEN","dataAreaId":"hgv","ProductColorId":"","ProductConfigurationId":"","ProductSizeId":"","ProductStyleId":""}</t>
  </si>
  <si>
    <t>{"ItemNumber":"57487","ProductName":"PL KS Quinoa Noten Vegan 200g ZE V3","InventoryWarehouseId":"EP","OnHandQuantity":16535,"TotalAvailableQuantity":16535,"AvailableOnHandQuantity":16535,"InventorySiteId":"VEN","dataAreaId":"hgv","ProductColorId":"","ProductConfigurationId":"","ProductSizeId":"","ProductStyleId":""}</t>
  </si>
  <si>
    <t>{"ItemNumber":"57488","ProductName":"PL KS Couscous Hummus Vegetarisch 200g ZE V2","InventoryWarehouseId":"EP","OnHandQuantity":22666,"TotalAvailableQuantity":22666,"AvailableOnHandQuantity":22666,"InventorySiteId":"VEN","dataAreaId":"hgv","ProductColorId":"","ProductConfigurationId":"","ProductSizeId":"","ProductStyleId":""}</t>
  </si>
  <si>
    <t>{"ItemNumber":"57490","ProductName":"F270 PL MTS Kip Chili 450g V2","InventoryWarehouseId":"EP","OnHandQuantity":12475.26,"TotalAvailableQuantity":12475.26,"AvailableOnHandQuantity":12475.26,"InventorySiteId":"VEN","dataAreaId":"hgv","ProductColorId":"","ProductConfigurationId":"","ProductSizeId":"","ProductStyleId":""}</t>
  </si>
  <si>
    <t>{"ItemNumber":"57491","ProductName":"F270 PL MTS Quinoa Noten 200g V3","InventoryWarehouseId":"EP","OnHandQuantity":5443.5,"TotalAvailableQuantity":5443.5,"AvailableOnHandQuantity":5443.5,"InventorySiteId":"VEN","dataAreaId":"hgv","ProductColorId":"","ProductConfigurationId":"","ProductSizeId":"","ProductStyleId":""}</t>
  </si>
  <si>
    <t>{"ItemNumber":"57492","ProductName":"F350 PL Fijne ijsbergsla 200g PLP","InventoryWarehouseId":"EP","OnHandQuantity":30000,"TotalAvailableQuantity":30000,"AvailableOnHandQuantity":30000,"InventorySiteId":"VEN","dataAreaId":"hgv","ProductColorId":"","ProductConfigurationId":"","ProductSizeId":"","ProductStyleId":""}</t>
  </si>
  <si>
    <t>{"ItemNumber":"57494","ProductName":"JU MTS Libanees vegetarisch 400g OE V2","InventoryWarehouseId":"EP","OnHandQuantity":10277,"TotalAvailableQuantity":10277,"AvailableOnHandQuantity":10277,"InventorySiteId":"VEN","dataAreaId":"hgv","ProductColorId":"","ProductConfigurationId":"","ProductSizeId":"","ProductStyleId":""}</t>
  </si>
  <si>
    <t>{"ItemNumber":"57497","ProductName":"PL KS Couscous Hummus 200g Veggie OE V2","InventoryWarehouseId":"EP","OnHandQuantity":22643,"TotalAvailableQuantity":22643,"AvailableOnHandQuantity":22643,"InventorySiteId":"VEN","dataAreaId":"hgv","ProductColorId":"","ProductConfigurationId":"","ProductSizeId":"","ProductStyleId":""}</t>
  </si>
  <si>
    <t>{"ItemNumber":"57498","ProductName":"PL MTS Kip Chili 400g BL1* K1 OE V2","InventoryWarehouseId":"EP","OnHandQuantity":31718,"TotalAvailableQuantity":31718,"AvailableOnHandQuantity":31718,"InventorySiteId":"VEN","dataAreaId":"hgv","ProductColorId":"","ProductConfigurationId":"","ProductSizeId":"","ProductStyleId":""}</t>
  </si>
  <si>
    <t>{"ItemNumber":"57499","ProductName":"F530 PL Kropsla 100g P0 PLP","InventoryWarehouseId":"EP","OnHandQuantity":20000,"TotalAvailableQuantity":20000,"AvailableOnHandQuantity":20000,"InventorySiteId":"VEN","dataAreaId":"hgv","ProductColorId":"","ProductConfigurationId":"","ProductSizeId":"","ProductStyleId":""}</t>
  </si>
  <si>
    <t>{"ItemNumber":"57501","ProductName":"F470 PL Veldsla 85g P0 PLP","InventoryWarehouseId":"EP","OnHandQuantity":26300,"TotalAvailableQuantity":26300,"AvailableOnHandQuantity":26300,"InventorySiteId":"VEN","dataAreaId":"hgv","ProductColorId":"","ProductConfigurationId":"","ProductSizeId":"","ProductStyleId":""}</t>
  </si>
  <si>
    <t>{"ItemNumber":"57502","ProductName":"F470 PL Rucola 85g P0 PLP","InventoryWarehouseId":"EP","OnHandQuantity":112841.52,"TotalAvailableQuantity":112841.52,"AvailableOnHandQuantity":112841.52,"InventorySiteId":"VEN","dataAreaId":"hgv","ProductColorId":"","ProductConfigurationId":"","ProductSizeId":"","ProductStyleId":""}</t>
  </si>
  <si>
    <t>{"ItemNumber":"57503","ProductName":"F530 PL Veldsla 150g P0 PLP","InventoryWarehouseId":"EP","OnHandQuantity":7000,"TotalAvailableQuantity":7000,"AvailableOnHandQuantity":7000,"InventorySiteId":"VEN","dataAreaId":"hgv","ProductColorId":"","ProductConfigurationId":"","ProductSizeId":"","ProductStyleId":""}</t>
  </si>
  <si>
    <t>{"ItemNumber":"57504","ProductName":"F530 PL Rucola 150g P0 PLP","InventoryWarehouseId":"EP","OnHandQuantity":32290,"TotalAvailableQuantity":32290,"AvailableOnHandQuantity":32290,"InventorySiteId":"VEN","dataAreaId":"hgv","ProductColorId":"","ProductConfigurationId":"","ProductSizeId":"","ProductStyleId":""}</t>
  </si>
  <si>
    <t>{"ItemNumber":"57505","ProductName":"F470 PL Ijsbergsla naturel 400g P0 PLP","InventoryWarehouseId":"EP","OnHandQuantity":22500,"TotalAvailableQuantity":22500,"AvailableOnHandQuantity":22500,"InventorySiteId":"VEN","dataAreaId":"hgv","ProductColorId":"","ProductConfigurationId":"","ProductSizeId":"","ProductStyleId":""}</t>
  </si>
  <si>
    <t>{"ItemNumber":"57506","ProductName":"F350 PL Ijsbergmelange 100g P0 PLP","InventoryWarehouseId":"EP","OnHandQuantity":17332.47,"TotalAvailableQuantity":17332.47,"AvailableOnHandQuantity":17332.47,"InventorySiteId":"VEN","dataAreaId":"hgv","ProductColorId":"","ProductConfigurationId":"","ProductSizeId":"","ProductStyleId":""}</t>
  </si>
  <si>
    <t>{"ItemNumber":"57507","ProductName":"F390 PL Ijsbergmelange 200g P0 PLP","InventoryWarehouseId":"EP","OnHandQuantity":50731.6,"TotalAvailableQuantity":50731.6,"AvailableOnHandQuantity":50731.6,"InventorySiteId":"VEN","dataAreaId":"hgv","ProductColorId":"","ProductConfigurationId":"","ProductSizeId":"","ProductStyleId":""}</t>
  </si>
  <si>
    <t>{"ItemNumber":"57508","ProductName":"F470 PL Ijsbergmelange 400g P0 PLP","InventoryWarehouseId":"EP","OnHandQuantity":28120,"TotalAvailableQuantity":28120,"AvailableOnHandQuantity":28120,"InventorySiteId":"VEN","dataAreaId":"hgv","ProductColorId":"","ProductConfigurationId":"","ProductSizeId":"","ProductStyleId":""}</t>
  </si>
  <si>
    <t>{"ItemNumber":"57515","ProductName":"F350 PL Ijsbergsla fijn 100g P0 PLP","InventoryWarehouseId":"EP","OnHandQuantity":76590,"TotalAvailableQuantity":76590,"AvailableOnHandQuantity":76590,"InventorySiteId":"VEN","dataAreaId":"hgv","ProductColorId":"","ProductConfigurationId":"","ProductSizeId":"","ProductStyleId":""}</t>
  </si>
  <si>
    <t>{"ItemNumber":"57516","ProductName":"F390 PL Ijsbergsla naturel 200g P0 PLP","InventoryWarehouseId":"EP","OnHandQuantity":58500,"TotalAvailableQuantity":58500,"AvailableOnHandQuantity":58500,"InventorySiteId":"VEN","dataAreaId":"hgv","ProductColorId":"","ProductConfigurationId":"","ProductSizeId":"","ProductStyleId":""}</t>
  </si>
  <si>
    <t>{"ItemNumber":"57519","ProductName":"McD Sla in Zak 100g NL/FR 76x55 BE","InventoryWarehouseId":"EP","OnHandQuantity":8000,"TotalAvailableQuantity":8000,"AvailableOnHandQuantity":8000,"InventorySiteId":"VEN","dataAreaId":"hgv","ProductColorId":"","ProductConfigurationId":"","ProductSizeId":"","ProductStyleId":""}</t>
  </si>
  <si>
    <t>{"ItemNumber":"57526","ProductName":"Deksel Kraft bowl Ø 190","InventoryWarehouseId":"EP","OnHandQuantity":102600,"TotalAvailableQuantity":102600,"AvailableOnHandQuantity":102600,"InventorySiteId":"VEN","dataAreaId":"hgv","ProductColorId":"","ProductConfigurationId":"","ProductSizeId":"","ProductStyleId":""}</t>
  </si>
  <si>
    <t>{"ItemNumber":"57527","ProductName":"JU Pokebowl Zalm ASC 400g C-label","InventoryWarehouseId":"EP","OnHandQuantity":13580,"TotalAvailableQuantity":30380,"AvailableOnHandQuantity":13580,"InventorySiteId":"VEN","dataAreaId":"hgv","ProductColorId":"","ProductConfigurationId":"","ProductSizeId":"","ProductStyleId":""}</t>
  </si>
  <si>
    <t>{"ItemNumber":"57528","ProductName":"JU Pokebowl Garnaal ASC 400g C-label","InventoryWarehouseId":"EP","OnHandQuantity":13330,"TotalAvailableQuantity":13330,"AvailableOnHandQuantity":13330,"InventorySiteId":"VEN","dataAreaId":"hgv","ProductColorId":"","ProductConfigurationId":"","ProductSizeId":"","ProductStyleId":""}</t>
  </si>
  <si>
    <t>{"ItemNumber":"57529","ProductName":"JU Pokebowl Tonijn MSC 400g C-label","InventoryWarehouseId":"EP","OnHandQuantity":8310,"TotalAvailableQuantity":8310,"AvailableOnHandQuantity":8310,"InventorySiteId":"VEN","dataAreaId":"hgv","ProductColorId":"","ProductConfigurationId":"","ProductSizeId":"","ProductStyleId":""}</t>
  </si>
  <si>
    <t>{"ItemNumber":"57530","ProductName":"JU Pokebowl Kip Teriyaki BLK 400g C-label","InventoryWarehouseId":"EP","OnHandQuantity":40790,"TotalAvailableQuantity":40790,"AvailableOnHandQuantity":40790,"InventorySiteId":"VEN","dataAreaId":"hgv","ProductColorId":"","ProductConfigurationId":"","ProductSizeId":"","ProductStyleId":""}</t>
  </si>
  <si>
    <t>{"ItemNumber":"57531","ProductName":"JU Pokebowl Spicy Chicken BLK 400g C-label","InventoryWarehouseId":"EP","OnHandQuantity":4790,"TotalAvailableQuantity":21590,"AvailableOnHandQuantity":4790,"InventorySiteId":"VEN","dataAreaId":"hgv","ProductColorId":"","ProductConfigurationId":"","ProductSizeId":"","ProductStyleId":""}</t>
  </si>
  <si>
    <t>{"ItemNumber":"57532","ProductName":"JU Pokebowl Mango Vegetarisch 400g C-label","InventoryWarehouseId":"EP","OnHandQuantity":16640,"TotalAvailableQuantity":16640,"AvailableOnHandQuantity":16640,"InventorySiteId":"VEN","dataAreaId":"hgv","ProductColorId":"","ProductConfigurationId":"","ProductSizeId":"","ProductStyleId":""}</t>
  </si>
  <si>
    <t>{"ItemNumber":"57534","ProductName":"PL Rucola Bio 40g BE","InventoryWarehouseId":"EP","OnHandQuantity":21000,"TotalAvailableQuantity":21000,"AvailableOnHandQuantity":21000,"InventorySiteId":"VEN","dataAreaId":"hgv","ProductColorId":"","ProductConfigurationId":"","ProductSizeId":"","ProductStyleId":""}</t>
  </si>
  <si>
    <t>{"ItemNumber":"57535","ProductName":"F390 PL Salademix 300g","InventoryWarehouseId":"EP","OnHandQuantity":61490,"TotalAvailableQuantity":61490,"AvailableOnHandQuantity":61490,"InventorySiteId":"VEN","dataAreaId":"hgv","ProductColorId":"","ProductConfigurationId":"","ProductSizeId":"","ProductStyleId":""}</t>
  </si>
  <si>
    <t>{"ItemNumber":"57536","ProductName":"F390 PL Salademix 150g P100","InventoryWarehouseId":"EP","OnHandQuantity":66270,"TotalAvailableQuantity":66270,"AvailableOnHandQuantity":66270,"InventorySiteId":"VEN","dataAreaId":"hgv","ProductColorId":"","ProductConfigurationId":"","ProductSizeId":"","ProductStyleId":""}</t>
  </si>
  <si>
    <t>{"ItemNumber":"57539","ProductName":"Plano Lidl roerbakgroenten 30x20x17","InventoryWarehouseId":"EP","OnHandQuantity":32400,"TotalAvailableQuantity":52650,"AvailableOnHandQuantity":32400,"InventorySiteId":"VEN","dataAreaId":"hgv","ProductColorId":"","ProductConfigurationId":"","ProductSizeId":"","ProductStyleId":""}</t>
  </si>
  <si>
    <t>{"ItemNumber":"57540","ProductName":"PL MTS Quinoa Noten 400g OE V2","InventoryWarehouseId":"EP","OnHandQuantity":4526,"TotalAvailableQuantity":4526,"AvailableOnHandQuantity":4526,"InventorySiteId":"VEN","dataAreaId":"hgv","ProductColorId":"","ProductConfigurationId":"","ProductSizeId":"","ProductStyleId":""}</t>
  </si>
  <si>
    <t>{"ItemNumber":"57548","ProductName":"Bijplak PL 'MTS 2 voor 8' 32x32mm","InventoryWarehouseId":"EP","OnHandQuantity":160484,"TotalAvailableQuantity":160484,"AvailableOnHandQuantity":160484,"InventorySiteId":"VEN","dataAreaId":"hgv","ProductColorId":"","ProductConfigurationId":"","ProductSizeId":"","ProductStyleId":""}</t>
  </si>
  <si>
    <t>{"ItemNumber":"57549","ProductName":"PL Gourmetschotel 450g BE V3","InventoryWarehouseId":"EP","OnHandQuantity":7000,"TotalAvailableQuantity":7000,"AvailableOnHandQuantity":7000,"InventorySiteId":"VEN","dataAreaId":"hgv","ProductColorId":"","ProductConfigurationId":"","ProductSizeId":"","ProductStyleId":""}</t>
  </si>
  <si>
    <t>{"ItemNumber":"57550","ProductName":"FQ Grillmix 400g KE Globus","InventoryWarehouseId":"EP","OnHandQuantity":6000,"TotalAvailableQuantity":6000,"AvailableOnHandQuantity":6000,"InventorySiteId":"VEN","dataAreaId":"hgv","ProductColorId":"","ProductConfigurationId":"","ProductSizeId":"","ProductStyleId":""}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</si>
  <si>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{"ItemNumber":"57554","ProductName":"CAR SS Tomaat Komkommer 330g BE","InventoryWarehouseId":"EP","OnHandQuantity":600,"TotalAvailableQuantity":600,"AvailableOnHandQuantity":600,"InventorySiteId":"VEN","dataAreaId":"hgv","ProductColorId":"","ProductConfigurationId":"","ProductSizeId":"","ProductStyleId":""}</t>
  </si>
  <si>
    <t>{"ItemNumber":"57555","ProductName":"CAR SS Tomaat Komkommer 330g OE","InventoryWarehouseId":"EP","OnHandQuantity":12000,"TotalAvailableQuantity":12000,"AvailableOnHandQuantity":12000,"InventorySiteId":"VEN","dataAreaId":"hgv","ProductColorId":"","ProductConfigurationId":"","ProductSizeId":"","ProductStyleId":""}</t>
  </si>
  <si>
    <t>{"ItemNumber":"57556","ProductName":"CAR SS Italiaans 250g BE","InventoryWarehouseId":"EP","OnHandQuantity":9000,"TotalAvailableQuantity":9000,"AvailableOnHandQuantity":9000,"InventorySiteId":"VEN","dataAreaId":"hgv","ProductColorId":"","ProductConfigurationId":"","ProductSizeId":"","ProductStyleId":""}</t>
  </si>
  <si>
    <t>{"ItemNumber":"57557","ProductName":"CAR SS Italiaans 250g OE","InventoryWarehouseId":"EP","OnHandQuantity":24000,"TotalAvailableQuantity":24000,"AvailableOnHandQuantity":24000,"InventorySiteId":"VEN","dataAreaId":"hgv","ProductColorId":"","ProductConfigurationId":"","ProductSizeId":"","ProductStyleId":""}</t>
  </si>
  <si>
    <t>{"ItemNumber":"57558","ProductName":"CAR SS Rauwkost 275g BE","InventoryWarehouseId":"EP","OnHandQuantity":6000,"TotalAvailableQuantity":6000,"AvailableOnHandQuantity":6000,"InventorySiteId":"VEN","dataAreaId":"hgv","ProductColorId":"","ProductConfigurationId":"","ProductSizeId":"","ProductStyleId":""}</t>
  </si>
  <si>
    <t>{"ItemNumber":"57559","ProductName":"CAR SS Rauwkost 275g OE","InventoryWarehouseId":"EP","OnHandQuantity":7500,"TotalAvailableQuantity":7500,"AvailableOnHandQuantity":7500,"InventorySiteId":"VEN","dataAreaId":"hgv","ProductColorId":"","ProductConfigurationId":"","ProductSizeId":"","ProductStyleId":""}</t>
  </si>
  <si>
    <t>{"ItemNumber":"57560","ProductName":"CAR SS Caesar 285g BE","InventoryWarehouseId":"EP","OnHandQuantity":4000,"TotalAvailableQuantity":4000,"AvailableOnHandQuantity":4000,"InventorySiteId":"VEN","dataAreaId":"hgv","ProductColorId":"","ProductConfigurationId":"","ProductSizeId":"","ProductStyleId":""}</t>
  </si>
  <si>
    <t>{"ItemNumber":"57561","ProductName":"CAR SS Caesar 285g OE","InventoryWarehouseId":"EP","OnHandQuantity":15000,"TotalAvailableQuantity":15000,"AvailableOnHandQuantity":15000,"InventorySiteId":"VEN","dataAreaId":"hgv","ProductColorId":"","ProductConfigurationId":"","ProductSizeId":"","ProductStyleId":""}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</si>
  <si>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{"ItemNumber":"57562","ProductName":"F470 JU Basis Ijsberg 400g P0 V2","InventoryWarehouseId":"EP","OnHandQuantity":65750,"TotalAvailableQuantity":65750,"AvailableOnHandQuantity":65750,"InventorySiteId":"VEN","dataAreaId":"hgv","ProductColorId":"","ProductConfigurationId":"","ProductSizeId":"","ProductStyleId":""}</t>
  </si>
  <si>
    <t>{"ItemNumber":"57563","ProductName":"INK BE 162135 tbv Rucola 500g 211167","InventoryWarehouseId":"EP","OnHandQuantity":8750,"TotalAvailableQuantity":8750,"AvailableOnHandQuantity":8750,"InventorySiteId":"VEN","dataAreaId":"hgv","ProductColorId":"","ProductConfigurationId":"","ProductSizeId":"","ProductStyleId":""}</t>
  </si>
  <si>
    <t>{"ItemNumber":"57565","ProductName":"INK BE 162133 tbv Mesclun melange 500g 211165","InventoryWarehouseId":"EP","OnHandQuantity":5000,"TotalAvailableQuantity":5000,"AvailableOnHandQuantity":5000,"InventorySiteId":"VEN","dataAreaId":"hgv","ProductColorId":"","ProductConfigurationId":"","ProductSizeId":"","ProductStyleId":""}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</si>
  <si>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{"ItemNumber":"57566","ProductName":"INK BE 162134 tbv Mesclun melange 250g 211166","InventoryWarehouseId":"EP","OnHandQuantity":5000,"TotalAvailableQuantity":5000,"AvailableOnHandQuantity":5000,"InventorySiteId":"VEN","dataAreaId":"hgv","ProductColorId":"","ProductConfigurationId":"","ProductSizeId":"","ProductStyleId":""}</t>
  </si>
  <si>
    <t>{"ItemNumber":"57568","ProductName":"F470 PL Crispy slamelange waterteelt 75g PLP V2","InventoryWarehouseId":"EP","OnHandQuantity":11877.12,"TotalAvailableQuantity":11877.12,"AvailableOnHandQuantity":11877.12,"InventorySiteId":"VEN","dataAreaId":"hgv","ProductColorId":"","ProductConfigurationId":"","ProductSizeId":"","ProductStyleId":""}</t>
  </si>
  <si>
    <t>{"ItemNumber":"57569","ProductName":"F470 PL Zachte slamelange 75g PLP V2","InventoryWarehouseId":"EP","OnHandQuantity":11700,"TotalAvailableQuantity":11700,"AvailableOnHandQuantity":11700,"InventorySiteId":"VEN","dataAreaId":"hgv","ProductColorId":"","ProductConfigurationId":"","ProductSizeId":"","ProductStyleId":""}</t>
  </si>
  <si>
    <t>{"ItemNumber":"57570","ProductName":"F390 PL Macaroni Spaghetti 450g P160 V2","InventoryWarehouseId":"EP","OnHandQuantity":59250,"TotalAvailableQuantity":59250,"AvailableOnHandQuantity":59250,"InventorySiteId":"VEN","dataAreaId":"hgv","ProductColorId":"","ProductConfigurationId":"","ProductSizeId":"","ProductStyleId":""}</t>
  </si>
  <si>
    <t>{"ItemNumber":"57571","ProductName":"F390 SU Boerensoepgroenten 350g P160","InventoryWarehouseId":"EP","OnHandQuantity":29330.83,"TotalAvailableQuantity":29330.83,"AvailableOnHandQuantity":29330.83,"InventorySiteId":"VEN","dataAreaId":"hgv","ProductColorId":"","ProductConfigurationId":"","ProductSizeId":"","ProductStyleId":""}</t>
  </si>
  <si>
    <t>{"ItemNumber":"57572","ProductName":"F470 SU Erwtensoepgroenten 500g P160","InventoryWarehouseId":"EP","OnHandQuantity":30789.94,"TotalAvailableQuantity":30789.94,"AvailableOnHandQuantity":30789.94,"InventorySiteId":"VEN","dataAreaId":"hgv","ProductColorId":"","ProductConfigurationId":"","ProductSizeId":"","ProductStyleId":""}</t>
  </si>
  <si>
    <t>{"ItemNumber":"57577","ProductName":"F390 SU Soepgroenten fijn 250g P160","InventoryWarehouseId":"EP","OnHandQuantity":22000.3,"TotalAvailableQuantity":22000.3,"AvailableOnHandQuantity":22000.3,"InventorySiteId":"VEN","dataAreaId":"hgv","ProductColorId":"","ProductConfigurationId":"","ProductSizeId":"","ProductStyleId":""}</t>
  </si>
  <si>
    <t>{"ItemNumber":"57578","ProductName":"F390 SU Soepgroenten fijn 400g P160","InventoryWarehouseId":"EP","OnHandQuantity":22500,"TotalAvailableQuantity":22500,"AvailableOnHandQuantity":22500,"InventorySiteId":"VEN","dataAreaId":"hgv","ProductColorId":"","ProductConfigurationId":"","ProductSizeId":"","ProductStyleId":""}</t>
  </si>
  <si>
    <t>{"ItemNumber":"57579","ProductName":"F390 SU Soepgroenten basis 400g P120","InventoryWarehouseId":"EP","OnHandQuantity":25085.83,"TotalAvailableQuantity":25085.83,"AvailableOnHandQuantity":25085.83,"InventorySiteId":"VEN","dataAreaId":"hgv","ProductColorId":"","ProductConfigurationId":"","ProductSizeId":"","ProductStyleId":""}</t>
  </si>
  <si>
    <t>{"ItemNumber":"57580","ProductName":"F530 SU Boerenkool fijn 500g P80","InventoryWarehouseId":"EP","OnHandQuantity":52184.48,"TotalAvailableQuantity":52184.48,"AvailableOnHandQuantity":52184.48,"InventorySiteId":"VEN","dataAreaId":"hgv","ProductColorId":"","ProductConfigurationId":"","ProductSizeId":"","ProductStyleId":""}</t>
  </si>
  <si>
    <t>{"ItemNumber":"57581","ProductName":"F530 SU Boerenkool grof 300g P80","InventoryWarehouseId":"EP","OnHandQuantity":22500,"TotalAvailableQuantity":22500,"AvailableOnHandQuantity":22500,"InventorySiteId":"VEN","dataAreaId":"hgv","ProductColorId":"","ProductConfigurationId":"","ProductSizeId":"","ProductStyleId":""}</t>
  </si>
  <si>
    <t>{"ItemNumber":"57582","ProductName":"F390 SU Hutspot 500g P160","InventoryWarehouseId":"EP","OnHandQuantity":17861.6,"TotalAvailableQuantity":17861.6,"AvailableOnHandQuantity":17861.6,"InventorySiteId":"VEN","dataAreaId":"hgv","ProductColorId":"","ProductConfigurationId":"","ProductSizeId":"","ProductStyleId":""}</t>
  </si>
  <si>
    <t>{"ItemNumber":"57583","ProductName":"F390 SU Koolraap 400g P0","InventoryWarehouseId":"EP","OnHandQuantity":20816.48,"TotalAvailableQuantity":20816.48,"AvailableOnHandQuantity":20816.48,"InventorySiteId":"VEN","dataAreaId":"hgv","ProductColorId":"","ProductConfigurationId":"","ProductSizeId":"","ProductStyleId":""}</t>
  </si>
  <si>
    <t>{"ItemNumber":"57584","ProductName":"F390 SU Rode kool 400g P0","InventoryWarehouseId":"EP","OnHandQuantity":14830.12,"TotalAvailableQuantity":14830.12,"AvailableOnHandQuantity":14830.12,"InventorySiteId":"VEN","dataAreaId":"hgv","ProductColorId":"","ProductConfigurationId":"","ProductSizeId":"","ProductStyleId":""}</t>
  </si>
  <si>
    <t>{"ItemNumber":"57585","ProductName":"F390 SU Spruiten 350g P0","InventoryWarehouseId":"EP","OnHandQuantity":22646.01,"TotalAvailableQuantity":22646.01,"AvailableOnHandQuantity":22646.01,"InventorySiteId":"VEN","dataAreaId":"hgv","ProductColorId":"","ProductConfigurationId":"","ProductSizeId":"","ProductStyleId":""}</t>
  </si>
  <si>
    <t>{"ItemNumber":"57587","ProductName":"F470 SU Hutspot 1000g P160","InventoryWarehouseId":"EP","OnHandQuantity":39986.87,"TotalAvailableQuantity":39986.87,"AvailableOnHandQuantity":39986.87,"InventorySiteId":"VEN","dataAreaId":"hgv","ProductColorId":"","ProductConfigurationId":"","ProductSizeId":"","ProductStyleId":""}</t>
  </si>
  <si>
    <t>{"ItemNumber":"57591","ProductName":"REWE Butternut 400g KE","InventoryWarehouseId":"EP","OnHandQuantity":14388,"TotalAvailableQuantity":14388,"AvailableOnHandQuantity":14388,"InventorySiteId":"VEN","dataAreaId":"hgv","ProductColorId":"","ProductConfigurationId":"","ProductSizeId":"","ProductStyleId":""}</t>
  </si>
  <si>
    <t>{"ItemNumber":"57592","ProductName":"REWE Butternut 400g BE","InventoryWarehouseId":"EP","OnHandQuantity":114677,"TotalAvailableQuantity":114677,"AvailableOnHandQuantity":114677,"InventorySiteId":"VEN","dataAreaId":"hgv","ProductColorId":"","ProductConfigurationId":"","ProductSizeId":"","ProductStyleId":""}</t>
  </si>
  <si>
    <t>{"ItemNumber":"57593","ProductName":"NEMT SS Ceasar 285g BE V2","InventoryWarehouseId":"EP","OnHandQuantity":28500,"TotalAvailableQuantity":28500,"AvailableOnHandQuantity":28500,"InventorySiteId":"VEN","dataAreaId":"hgv","ProductColorId":"","ProductConfigurationId":"","ProductSizeId":"","ProductStyleId":""}</t>
  </si>
  <si>
    <t>{"ItemNumber":"57594","ProductName":"NEMT SS Caesar 285g OE V2","InventoryWarehouseId":"EP","OnHandQuantity":27500,"TotalAvailableQuantity":27500,"AvailableOnHandQuantity":27500,"InventorySiteId":"VEN","dataAreaId":"hgv","ProductColorId":"","ProductConfigurationId":"","ProductSizeId":"","ProductStyleId":""}</t>
  </si>
  <si>
    <t>{"ItemNumber":"57595","ProductName":"NEMT SS Point.Cabb 320g BE V2","InventoryWarehouseId":"EP","OnHandQuantity":14381,"TotalAvailableQuantity":38381,"AvailableOnHandQuantity":14381,"InventorySiteId":"VEN","dataAreaId":"hgv","ProductColorId":"","ProductConfigurationId":"","ProductSizeId":"","ProductStyleId":""}</t>
  </si>
  <si>
    <t>{"ItemNumber":"57596","ProductName":"NEMT SS Point.Cabb 320g OE V2","InventoryWarehouseId":"EP","OnHandQuantity":31744,"TotalAvailableQuantity":31744,"AvailableOnHandQuantity":31744,"InventorySiteId":"VEN","dataAreaId":"hgv","ProductColorId":"","ProductConfigurationId":"","ProductSizeId":"","ProductStyleId":""}</t>
  </si>
  <si>
    <t>{"ItemNumber":"57597","ProductName":"NEMT SD CaulifOrient 300g BE V2","InventoryWarehouseId":"EP","OnHandQuantity":16725,"TotalAvailableQuantity":40725,"AvailableOnHandQuantity":16725,"InventorySiteId":"VEN","dataAreaId":"hgv","ProductColorId":"","ProductConfigurationId":"","ProductSizeId":"","ProductStyleId":""}</t>
  </si>
  <si>
    <t>{"ItemNumber":"57598","ProductName":"NEMT SD CaulifOrient 300g OE V2","InventoryWarehouseId":"EP","OnHandQuantity":13731,"TotalAvailableQuantity":43731,"AvailableOnHandQuantity":13731,"InventorySiteId":"VEN","dataAreaId":"hgv","ProductColorId":"","ProductConfigurationId":"","ProductSizeId":"","ProductStyleId":""}</t>
  </si>
  <si>
    <t>{"ItemNumber":"57599","ProductName":"NEMT SS Nordic Coleslaw 350g BE V2","InventoryWarehouseId":"EP","OnHandQuantity":44920,"TotalAvailableQuantity":44920,"AvailableOnHandQuantity":44920,"InventorySiteId":"VEN","dataAreaId":"hgv","ProductColorId":"","ProductConfigurationId":"","ProductSizeId":"","ProductStyleId":""}</t>
  </si>
  <si>
    <t>{"ItemNumber":"57600","ProductName":"NEMT SS Nordic Coleslaw 350g OE V2","InventoryWarehouseId":"EP","OnHandQuantity":13845,"TotalAvailableQuantity":13845,"AvailableOnHandQuantity":13845,"InventorySiteId":"VEN","dataAreaId":"hgv","ProductColorId":"","ProductConfigurationId":"","ProductSizeId":"","ProductStyleId":""}</t>
  </si>
  <si>
    <t>{"ItemNumber":"57601","ProductName":"NEMT SS Coleslaw 400g BE V2","InventoryWarehouseId":"EP","OnHandQuantity":57733,"TotalAvailableQuantity":57733,"AvailableOnHandQuantity":57733,"InventorySiteId":"VEN","dataAreaId":"hgv","ProductColorId":"","ProductConfigurationId":"","ProductSizeId":"","ProductStyleId":""}</t>
  </si>
  <si>
    <t>{"ItemNumber":"57602","ProductName":"NEMT SS Coleslaw 400g OE V2","InventoryWarehouseId":"EP","OnHandQuantity":75422,"TotalAvailableQuantity":75422,"AvailableOnHandQuantity":75422,"InventorySiteId":"VEN","dataAreaId":"hgv","ProductColorId":"","ProductConfigurationId":"","ProductSizeId":"","ProductStyleId":""}</t>
  </si>
  <si>
    <t>{"ItemNumber":"57603","ProductName":"NEMT SD Quinoa wNuts 300g BE V2","InventoryWarehouseId":"EP","OnHandQuantity":10080,"TotalAvailableQuantity":10080,"AvailableOnHandQuantity":10080,"InventorySiteId":"VEN","dataAreaId":"hgv","ProductColorId":"","ProductConfigurationId":"","ProductSizeId":"","ProductStyleId":""}</t>
  </si>
  <si>
    <t>{"ItemNumber":"57604","ProductName":"NEMT SD Quinoa wNuts 300g OE V2","InventoryWarehouseId":"EP","OnHandQuantity":15003,"TotalAvailableQuantity":15003,"AvailableOnHandQuantity":15003,"InventorySiteId":"VEN","dataAreaId":"hgv","ProductColorId":"","ProductConfigurationId":"","ProductSizeId":"","ProductStyleId":""}</t>
  </si>
  <si>
    <t>{"ItemNumber":"57606","ProductName":"NEMT SS Salatblanding 300g OE V3","InventoryWarehouseId":"EP","OnHandQuantity":28935,"TotalAvailableQuantity":28935,"AvailableOnHandQuantity":28935,"InventorySiteId":"VEN","dataAreaId":"hgv","ProductColorId":"","ProductConfigurationId":"","ProductSizeId":"","ProductStyleId":""}</t>
  </si>
  <si>
    <t>{"ItemNumber":"57609","ProductName":"SAL SD red pointed cabbage rasp. dressing 300g BE V2","InventoryWarehouseId":"EP","OnHandQuantity":42724,"TotalAvailableQuantity":42724,"AvailableOnHandQuantity":42724,"InventorySiteId":"VEN","dataAreaId":"hgv","ProductColorId":"","ProductConfigurationId":"","ProductSizeId":"","ProductStyleId":""}</t>
  </si>
  <si>
    <t>{"ItemNumber":"57610","ProductName":"SAL SD red pointed cabbage rasp. dressing 300g OE V2","InventoryWarehouseId":"EP","OnHandQuantity":28728,"TotalAvailableQuantity":28728,"AvailableOnHandQuantity":28728,"InventorySiteId":"VEN","dataAreaId":"hgv","ProductColorId":"","ProductConfigurationId":"","ProductSizeId":"","ProductStyleId":""}</t>
  </si>
  <si>
    <t>{"ItemNumber":"57622","ProductName":"F390 SAL Leek grof 200g LP1D10 BF","InventoryWarehouseId":"EP","OnHandQuantity":15000,"TotalAvailableQuantity":15000,"AvailableOnHandQuantity":15000,"InventorySiteId":"VEN","dataAreaId":"hgv","ProductColorId":"","ProductConfigurationId":"","ProductSizeId":"","ProductStyleId":""}</t>
  </si>
  <si>
    <t>{"ItemNumber":"57623","ProductName":"F390 SAL Pumpkin 200g LP1D10 BF","InventoryWarehouseId":"EP","OnHandQuantity":11361.99,"TotalAvailableQuantity":11361.99,"AvailableOnHandQuantity":11361.99,"InventorySiteId":"VEN","dataAreaId":"hgv","ProductColorId":"","ProductConfigurationId":"","ProductSizeId":"","ProductStyleId":""}</t>
  </si>
  <si>
    <t>{"ItemNumber":"57625","ProductName":"F390 SAL WokMix Japanese 200g LP1D10 BF","InventoryWarehouseId":"EP","OnHandQuantity":20666.46,"TotalAvailableQuantity":20666.46,"AvailableOnHandQuantity":20666.46,"InventorySiteId":"VEN","dataAreaId":"hgv","ProductColorId":"","ProductConfigurationId":"","ProductSizeId":"","ProductStyleId":""}</t>
  </si>
  <si>
    <t>{"ItemNumber":"57626","ProductName":"F390 SAL WokMix Chinese 200g LP1D10 BF","InventoryWarehouseId":"EP","OnHandQuantity":12288.05,"TotalAvailableQuantity":12288.05,"AvailableOnHandQuantity":12288.05,"InventorySiteId":"VEN","dataAreaId":"hgv","ProductColorId":"","ProductConfigurationId":"","ProductSizeId":"","ProductStyleId":""}</t>
  </si>
  <si>
    <t>{"ItemNumber":"57627","ProductName":"F390 SAL RBG Mexican 250g LP1D10 BF","InventoryWarehouseId":"EP","OnHandQuantity":13279.16,"TotalAvailableQuantity":13279.16,"AvailableOnHandQuantity":13279.16,"InventorySiteId":"VEN","dataAreaId":"hgv","ProductColorId":"","ProductConfigurationId":"","ProductSizeId":"","ProductStyleId":""}</t>
  </si>
  <si>
    <t>{"ItemNumber":"57632","ProductName":"F270 MTS Caesar m/kylling 450g NEMT V2","InventoryWarehouseId":"EP","OnHandQuantity":34600,"TotalAvailableQuantity":34600,"AvailableOnHandQuantity":34600,"InventorySiteId":"VEN","dataAreaId":"hgv","ProductColorId":"","ProductConfigurationId":"","ProductSizeId":"","ProductStyleId":""}</t>
  </si>
  <si>
    <t>{"ItemNumber":"57633","ProductName":"MTS Caesar Kip 450g OE NEMT V2","InventoryWarehouseId":"EP","OnHandQuantity":30000,"TotalAvailableQuantity":30000,"AvailableOnHandQuantity":30000,"InventorySiteId":"VEN","dataAreaId":"hgv","ProductColorId":"","ProductConfigurationId":"","ProductSizeId":"","ProductStyleId":""}</t>
  </si>
  <si>
    <t>{"ItemNumber":"57636","ProductName":"F270 MTS Grillet kyll. m/yoghurtdress 450g NEMT V2","InventoryWarehouseId":"EP","OnHandQuantity":24800,"TotalAvailableQuantity":24800,"AvailableOnHandQuantity":24800,"InventorySiteId":"VEN","dataAreaId":"hgv","ProductColorId":"","ProductConfigurationId":"","ProductSizeId":"","ProductStyleId":""}</t>
  </si>
  <si>
    <t>{"ItemNumber":"57637","ProductName":"MTS Gegr. Kip Yoghurt 450g OE NEMT V2","InventoryWarehouseId":"EP","OnHandQuantity":48000,"TotalAvailableQuantity":48000,"AvailableOnHandQuantity":48000,"InventorySiteId":"VEN","dataAreaId":"hgv","ProductColorId":"","ProductConfigurationId":"","ProductSizeId":"","ProductStyleId":""}</t>
  </si>
  <si>
    <t>{"ItemNumber":"57638","ProductName":"F270 MTS Oosterse Garnaal 400g NEMT","InventoryWarehouseId":"EP","OnHandQuantity":16000,"TotalAvailableQuantity":16000,"AvailableOnHandQuantity":16000,"InventorySiteId":"VEN","dataAreaId":"hgv","ProductColorId":"","ProductConfigurationId":"","ProductSizeId":"","ProductStyleId":""}</t>
  </si>
  <si>
    <t>{"ItemNumber":"57639","ProductName":"MTS Oosterse Garnaal 400g OE NEMT V2","InventoryWarehouseId":"EP","OnHandQuantity":36000,"TotalAvailableQuantity":36000,"AvailableOnHandQuantity":36000,"InventorySiteId":"VEN","dataAreaId":"hgv","ProductColorId":"","ProductConfigurationId":"","ProductSizeId":"","ProductStyleId":""}</t>
  </si>
  <si>
    <t>{"ItemNumber":"57640","ProductName":"F270 MTS Kylling og Honn-sennepsdress 400g NEMT V2","InventoryWarehouseId":"EP","OnHandQuantity":16516.14,"TotalAvailableQuantity":16516.14,"AvailableOnHandQuantity":16516.14,"InventorySiteId":"VEN","dataAreaId":"hgv","ProductColorId":"","ProductConfigurationId":"","ProductSizeId":"","ProductStyleId":""}</t>
  </si>
  <si>
    <t>{"ItemNumber":"57641","ProductName":"MTS Kip Honing Mosterd 400g OE NEMT V2","InventoryWarehouseId":"EP","OnHandQuantity":17743,"TotalAvailableQuantity":38743,"AvailableOnHandQuantity":17743,"InventorySiteId":"VEN","dataAreaId":"hgv","ProductColorId":"","ProductConfigurationId":"","ProductSizeId":"","ProductStyleId":""}</t>
  </si>
  <si>
    <t>{"ItemNumber":"57644","ProductName":"NEMT SS Santa Fe 300g BE V2","InventoryWarehouseId":"EP","OnHandQuantity":44988,"TotalAvailableQuantity":44988,"AvailableOnHandQuantity":44988,"InventorySiteId":"VEN","dataAreaId":"hgv","ProductColorId":"","ProductConfigurationId":"","ProductSizeId":"","ProductStyleId":""}</t>
  </si>
  <si>
    <t>{"ItemNumber":"57645","ProductName":"SS Santa Fe 300g OE NEMT V2","InventoryWarehouseId":"EP","OnHandQuantity":42508,"TotalAvailableQuantity":42508,"AvailableOnHandQuantity":42508,"InventorySiteId":"VEN","dataAreaId":"hgv","ProductColorId":"","ProductConfigurationId":"","ProductSizeId":"","ProductStyleId":""}</t>
  </si>
  <si>
    <t>{"ItemNumber":"57656","ProductName":"Globus Soepgroenten 150g KE","InventoryWarehouseId":"EP","OnHandQuantity":7430,"TotalAvailableQuantity":7430,"AvailableOnHandQuantity":7430,"InventorySiteId":"VEN","dataAreaId":"hgv","ProductColorId":"","ProductConfigurationId":"","ProductSizeId":"","ProductStyleId":""}</t>
  </si>
  <si>
    <t>{"ItemNumber":"57657","ProductName":"GLOBUS Uien Ring 5*300g KE","InventoryWarehouseId":"EP","OnHandQuantity":10000,"TotalAvailableQuantity":10000,"AvailableOnHandQuantity":10000,"InventorySiteId":"VEN","dataAreaId":"hgv","ProductColorId":"","ProductConfigurationId":"","ProductSizeId":"","ProductStyleId":""}</t>
  </si>
  <si>
    <t>{"ItemNumber":"57658","ProductName":"GLOBUS Soepgroenten 150g BE","InventoryWarehouseId":"EP","OnHandQuantity":20590,"TotalAvailableQuantity":20590,"AvailableOnHandQuantity":20590,"InventorySiteId":"VEN","dataAreaId":"hgv","ProductColorId":"","ProductConfigurationId":"","ProductSizeId":"","ProductStyleId":""}</t>
  </si>
  <si>
    <t>{"ItemNumber":"57659","ProductName":"F390 JU Snijbonen gesneden 600g V2 LP1D10","InventoryWarehouseId":"EP","OnHandQuantity":17800,"TotalAvailableQuantity":17800,"AvailableOnHandQuantity":17800,"InventorySiteId":"VEN","dataAreaId":"hgv","ProductColorId":"","ProductConfigurationId":"","ProductSizeId":"","ProductStyleId":""}</t>
  </si>
  <si>
    <t>{"ItemNumber":"57661","ProductName":"F390 PL Sperziebonen gesneden 600g P120","InventoryWarehouseId":"EP","OnHandQuantity":32208.75,"TotalAvailableQuantity":32208.75,"AvailableOnHandQuantity":32208.75,"InventorySiteId":"VEN","dataAreaId":"hgv","ProductColorId":"","ProductConfigurationId":"","ProductSizeId":"","ProductStyleId":""}</t>
  </si>
  <si>
    <t>{"ItemNumber":"57662","ProductName":"F530 JU Boerenkool fijn 500g HN3FN5","InventoryWarehouseId":"EP","OnHandQuantity":76160,"TotalAvailableQuantity":76160,"AvailableOnHandQuantity":76160,"InventorySiteId":"VEN","dataAreaId":"hgv","ProductColorId":"","ProductConfigurationId":"","ProductSizeId":"","ProductStyleId":""}</t>
  </si>
  <si>
    <t>{"ItemNumber":"57663","ProductName":"F530 PL Boerenkool fijn 500g HN3FN5","InventoryWarehouseId":"EP","OnHandQuantity":114700,"TotalAvailableQuantity":114700,"AvailableOnHandQuantity":114700,"InventorySiteId":"VEN","dataAreaId":"hgv","ProductColorId":"","ProductConfigurationId":"","ProductSizeId":"","ProductStyleId":""}</t>
  </si>
  <si>
    <t>{"ItemNumber":"57664","ProductName":"F305 PL Sojaboontjes 150g","InventoryWarehouseId":"EP","OnHandQuantity":11008.48,"TotalAvailableQuantity":11008.48,"AvailableOnHandQuantity":11008.48,"InventorySiteId":"VEN","dataAreaId":"hgv","ProductColorId":"","ProductConfigurationId":"","ProductSizeId":"","ProductStyleId":""}</t>
  </si>
  <si>
    <t>{"ItemNumber":"57665","ProductName":"JU SS Boer Ui BL1-V1-Z3 OE V2","InventoryWarehouseId":"EP","OnHandQuantity":92247,"TotalAvailableQuantity":92247,"AvailableOnHandQuantity":92247,"InventorySiteId":"VEN","dataAreaId":"hgv","ProductColorId":"","ProductConfigurationId":"","ProductSizeId":"","ProductStyleId":""}</t>
  </si>
  <si>
    <t>{"ItemNumber":"57672","ProductName":"FQ Salatschale Schinken Käse 300g OE V2","InventoryWarehouseId":"EP","OnHandQuantity":45876,"TotalAvailableQuantity":45876,"AvailableOnHandQuantity":45876,"InventorySiteId":"VEN","dataAreaId":"hgv","ProductColorId":"","ProductConfigurationId":"","ProductSizeId":"","ProductStyleId":""}</t>
  </si>
  <si>
    <t>{"ItemNumber":"57673","ProductName":"FQ Pasta Salat Thunfisch 350g OE V2","InventoryWarehouseId":"EP","OnHandQuantity":7881,"TotalAvailableQuantity":22881,"AvailableOnHandQuantity":7881,"InventorySiteId":"VEN","dataAreaId":"hgv","ProductColorId":"","ProductConfigurationId":"","ProductSizeId":"","ProductStyleId":""}</t>
  </si>
  <si>
    <t>{"ItemNumber":"57674","ProductName":"F390 PL Wortel julienne 300g P160","InventoryWarehouseId":"EP","OnHandQuantity":44321.8,"TotalAvailableQuantity":44321.8,"AvailableOnHandQuantity":44321.8,"InventorySiteId":"VEN","dataAreaId":"hgv","ProductColorId":"","ProductConfigurationId":"","ProductSizeId":"","ProductStyleId":""}</t>
  </si>
  <si>
    <t>{"ItemNumber":"57675","ProductName":"FQ Pasta Salat Käse 350g OE V2","InventoryWarehouseId":"EP","OnHandQuantity":12298,"TotalAvailableQuantity":12298,"AvailableOnHandQuantity":12298,"InventorySiteId":"VEN","dataAreaId":"hgv","ProductColorId":"","ProductConfigurationId":"","ProductSizeId":"","ProductStyleId":""}</t>
  </si>
  <si>
    <t>{"ItemNumber":"57676","ProductName":"FQ Salat Hirtenkäse 325g OE V2","InventoryWarehouseId":"EP","OnHandQuantity":12516,"TotalAvailableQuantity":12516,"AvailableOnHandQuantity":12516,"InventorySiteId":"VEN","dataAreaId":"hgv","ProductColorId":"","ProductConfigurationId":"","ProductSizeId":"","ProductStyleId":""}</t>
  </si>
  <si>
    <t>{"ItemNumber":"57677","ProductName":"FQ Salatschale Hänchen Senf 300g OE V2","InventoryWarehouseId":"EP","OnHandQuantity":68400,"TotalAvailableQuantity":68400,"AvailableOnHandQuantity":68400,"InventorySiteId":"VEN","dataAreaId":"hgv","ProductColorId":"","ProductConfigurationId":"","ProductSizeId":"","ProductStyleId":""}</t>
  </si>
  <si>
    <t>{"ItemNumber":"57678","ProductName":"FQ Pasta Salat Tomate-Mozzarella 350g OE V2","InventoryWarehouseId":"EP","OnHandQuantity":11229,"TotalAvailableQuantity":11229,"AvailableOnHandQuantity":11229,"InventorySiteId":"VEN","dataAreaId":"hgv","ProductColorId":"","ProductConfigurationId":"","ProductSizeId":"","ProductStyleId":""}</t>
  </si>
  <si>
    <t>{"ItemNumber":"57679","ProductName":"FQ Salatschale Caesar 300g OE V2","InventoryWarehouseId":"EP","OnHandQuantity":66814,"TotalAvailableQuantity":66314,"AvailableOnHandQuantity":66314,"InventorySiteId":"VEN","dataAreaId":"hgv","ProductColorId":"","ProductConfigurationId":"","ProductSizeId":"","ProductStyleId":""}</t>
  </si>
  <si>
    <t>{"ItemNumber":"57680","ProductName":"F270 JU MTS Kip Marokkaans BLK 450g","InventoryWarehouseId":"EP","OnHandQuantity":18235.31,"TotalAvailableQuantity":18235.31,"AvailableOnHandQuantity":18235.31,"InventorySiteId":"VEN","dataAreaId":"hgv","ProductColorId":"","ProductConfigurationId":"","ProductSizeId":"","ProductStyleId":""}</t>
  </si>
  <si>
    <t>{"ItemNumber":"57681","ProductName":"JU MTS Kip Marokkaans BLK 450g OE","InventoryWarehouseId":"EP","OnHandQuantity":41321,"TotalAvailableQuantity":41321,"AvailableOnHandQuantity":41321,"InventorySiteId":"VEN","dataAreaId":"hgv","ProductColorId":"","ProductConfigurationId":"","ProductSizeId":"","ProductStyleId":""}</t>
  </si>
  <si>
    <t>{"ItemNumber":"57688","ProductName":"Bijplak 'Lekker met gele curry' 40x40mm wik 6","InventoryWarehouseId":"EP","OnHandQuantity":45000,"TotalAvailableQuantity":45000,"AvailableOnHandQuantity":45000,"InventorySiteId":"VEN","dataAreaId":"hgv","ProductColorId":"","ProductConfigurationId":"","ProductSizeId":"","ProductStyleId":""}</t>
  </si>
  <si>
    <t>{"ItemNumber":"57689","ProductName":"Bijplak 'Lekker met groene curry' 40x40mm wik 6","InventoryWarehouseId":"EP","OnHandQuantity":87000,"TotalAvailableQuantity":87000,"AvailableOnHandQuantity":87000,"InventorySiteId":"VEN","dataAreaId":"hgv","ProductColorId":"","ProductConfigurationId":"","ProductSizeId":"","ProductStyleId":""}</t>
  </si>
  <si>
    <t>{"ItemNumber":"57691","ProductName":"F305 SU Rwk Komkommer 150g P120","InventoryWarehouseId":"EP","OnHandQuantity":9960,"TotalAvailableQuantity":9960,"AvailableOnHandQuantity":9960,"InventorySiteId":"VEN","dataAreaId":"hgv","ProductColorId":"","ProductConfigurationId":"","ProductSizeId":"","ProductStyleId":""}</t>
  </si>
  <si>
    <t>{"ItemNumber":"57692","ProductName":"F305 SU Rwk Radijs 150g P120","InventoryWarehouseId":"EP","OnHandQuantity":14985.88,"TotalAvailableQuantity":14985.88,"AvailableOnHandQuantity":14985.88,"InventorySiteId":"VEN","dataAreaId":"hgv","ProductColorId":"","ProductConfigurationId":"","ProductSizeId":"","ProductStyleId":""}</t>
  </si>
  <si>
    <t>{"ItemNumber":"57693","ProductName":"F350 SU Wortel julienne 150g P160","InventoryWarehouseId":"EP","OnHandQuantity":11233.87,"TotalAvailableQuantity":11233.87,"AvailableOnHandQuantity":11233.87,"InventorySiteId":"VEN","dataAreaId":"hgv","ProductColorId":"","ProductConfigurationId":"","ProductSizeId":"","ProductStyleId":""}</t>
  </si>
  <si>
    <t>{"ItemNumber":"57694","ProductName":"F305 SU Snackworteltjes 150g P120","InventoryWarehouseId":"EP","OnHandQuantity":10206,"TotalAvailableQuantity":10206,"AvailableOnHandQuantity":10206,"InventorySiteId":"VEN","dataAreaId":"hgv","ProductColorId":"","ProductConfigurationId":"","ProductSizeId":"","ProductStyleId":""}</t>
  </si>
  <si>
    <t>{"ItemNumber":"57695","ProductName":"F305 SU Snackworteltjes 350g P120","InventoryWarehouseId":"EP","OnHandQuantity":15560,"TotalAvailableQuantity":15560,"AvailableOnHandQuantity":15560,"InventorySiteId":"VEN","dataAreaId":"hgv","ProductColorId":"","ProductConfigurationId":"","ProductSizeId":"","ProductStyleId":""}</t>
  </si>
  <si>
    <t>{"ItemNumber":"57697","ProductName":"F390 SU Bami/Nasi zak 450g P160","InventoryWarehouseId":"EP","OnHandQuantity":22481.85,"TotalAvailableQuantity":22481.85,"AvailableOnHandQuantity":22481.85,"InventorySiteId":"VEN","dataAreaId":"hgv","ProductColorId":"","ProductConfigurationId":"","ProductSizeId":"","ProductStyleId":""}</t>
  </si>
  <si>
    <t>{"ItemNumber":"57698","ProductName":"F390 SU Bami/Nasi zak 250g P160","InventoryWarehouseId":"EP","OnHandQuantity":11250,"TotalAvailableQuantity":11250,"AvailableOnHandQuantity":11250,"InventorySiteId":"VEN","dataAreaId":"hgv","ProductColorId":"","ProductConfigurationId":"","ProductSizeId":"","ProductStyleId":""}</t>
  </si>
  <si>
    <t>{"ItemNumber":"57699","ProductName":"F390 SU Mac/Spagh zak 450g P160","InventoryWarehouseId":"EP","OnHandQuantity":21707.57,"TotalAvailableQuantity":21707.57,"AvailableOnHandQuantity":21707.57,"InventorySiteId":"VEN","dataAreaId":"hgv","ProductColorId":"","ProductConfigurationId":"","ProductSizeId":"","ProductStyleId":""}</t>
  </si>
  <si>
    <t>{"ItemNumber":"57700","ProductName":"F390 SU Mac/Spagh zak 250g P160","InventoryWarehouseId":"EP","OnHandQuantity":12486.36,"TotalAvailableQuantity":12486.36,"AvailableOnHandQuantity":12486.36,"InventorySiteId":"VEN","dataAreaId":"hgv","ProductColorId":"","ProductConfigurationId":"","ProductSizeId":"","ProductStyleId":""}</t>
  </si>
  <si>
    <t>{"ItemNumber":"57701","ProductName":"F390 PL Bami/Nasi zak 450g P160","InventoryWarehouseId":"EP","OnHandQuantity":41231.86,"TotalAvailableQuantity":91231.86,"AvailableOnHandQuantity":41231.86,"InventorySiteId":"VEN","dataAreaId":"hgv","ProductColorId":"","ProductConfigurationId":"","ProductSizeId":"","ProductStyleId":""}</t>
  </si>
  <si>
    <t>{"ItemNumber":"57702","ProductName":"F390 PL Mac/Spagh zak 450g P160","InventoryWarehouseId":"EP","OnHandQuantity":40844.57,"TotalAvailableQuantity":90844.57,"AvailableOnHandQuantity":40844.57,"InventorySiteId":"VEN","dataAreaId":"hgv","ProductColorId":"","ProductConfigurationId":"","ProductSizeId":"","ProductStyleId":""}</t>
  </si>
  <si>
    <t>{"ItemNumber":"57703","ProductName":"F390 PL Mac/Spagh zak 250g P160","InventoryWarehouseId":"EP","OnHandQuantity":20997.18,"TotalAvailableQuantity":50997.18,"AvailableOnHandQuantity":20997.18,"InventorySiteId":"VEN","dataAreaId":"hgv","ProductColorId":"","ProductConfigurationId":"","ProductSizeId":"","ProductStyleId":""}</t>
  </si>
  <si>
    <t>{"ItemNumber":"57705","ProductName":"Heeren/Sligro Blanco Etiket 72x79mm PLP","InventoryWarehouseId":"EP","OnHandQuantity":50000,"TotalAvailableQuantity":50000,"AvailableOnHandQuantity":50000,"InventorySiteId":"VEN","dataAreaId":"hgv","ProductColorId":"","ProductConfigurationId":"","ProductSizeId":"","ProductStyleId":""}</t>
  </si>
  <si>
    <t>{"ItemNumber":"57706","ProductName":"FQ Gourmetschotel 250g BE","InventoryWarehouseId":"EP","OnHandQuantity":5090,"TotalAvailableQuantity":5090,"AvailableOnHandQuantity":5090,"InventorySiteId":"VEN","dataAreaId":"hgv","ProductColorId":"","ProductConfigurationId":"","ProductSizeId":"","ProductStyleId":""}</t>
  </si>
  <si>
    <t>{"ItemNumber":"57707","ProductName":"Doelnummerplaat GEEL klein 40x25mm","InventoryWarehouseId":"EP","OnHandQuantity":13500,"TotalAvailableQuantity":13500,"AvailableOnHandQuantity":13500,"InventorySiteId":"VEN","dataAreaId":"hgv","ProductColorId":"","ProductConfigurationId":"","ProductSizeId":"","ProductStyleId":""}</t>
  </si>
  <si>
    <t>{"ItemNumber":"57708","ProductName":"Doelnummerplaat GEEL groot 100x80mm","InventoryWarehouseId":"EP","OnHandQuantity":7500,"TotalAvailableQuantity":7500,"AvailableOnHandQuantity":7500,"InventorySiteId":"VEN","dataAreaId":"hgv","ProductColorId":"","ProductConfigurationId":"","ProductSizeId":"","ProductStyleId":""}</t>
  </si>
  <si>
    <t>{"ItemNumber":"57720","ProductName":"SAL MTS Salmon 450g OE","InventoryWarehouseId":"EP","OnHandQuantity":11340,"TotalAvailableQuantity":11340,"AvailableOnHandQuantity":11340,"InventorySiteId":"VEN","dataAreaId":"hgv","ProductColorId":"","ProductConfigurationId":"","ProductSizeId":"","ProductStyleId":""}</t>
  </si>
  <si>
    <t>{"ItemNumber":"57721","ProductName":"F270 SAL MTS Salmon 450g","InventoryWarehouseId":"EP","OnHandQuantity":7825.28,"TotalAvailableQuantity":7825.28,"AvailableOnHandQuantity":7825.28,"InventorySiteId":"VEN","dataAreaId":"hgv","ProductColorId":"","ProductConfigurationId":"","ProductSizeId":"","ProductStyleId":""}</t>
  </si>
  <si>
    <t>{"ItemNumber":"57722","ProductName":"SAL MTS Chicken Yoghurt 400g OE","InventoryWarehouseId":"EP","OnHandQuantity":11106,"TotalAvailableQuantity":11106,"AvailableOnHandQuantity":11106,"InventorySiteId":"VEN","dataAreaId":"hgv","ProductColorId":"","ProductConfigurationId":"","ProductSizeId":"","ProductStyleId":""}</t>
  </si>
  <si>
    <t>{"ItemNumber":"57723","ProductName":"F270 SAL MTS Chicken Yoghurt 400g","InventoryWarehouseId":"EP","OnHandQuantity":11916.13,"TotalAvailableQuantity":11916.13,"AvailableOnHandQuantity":11916.13,"InventorySiteId":"VEN","dataAreaId":"hgv","ProductColorId":"","ProductConfigurationId":"","ProductSizeId":"","ProductStyleId":""}</t>
  </si>
  <si>
    <t>{"ItemNumber":"57724","ProductName":"SAL MTS Caesar 400g OE","InventoryWarehouseId":"EP","OnHandQuantity":10733,"TotalAvailableQuantity":10733,"AvailableOnHandQuantity":10733,"InventorySiteId":"VEN","dataAreaId":"hgv","ProductColorId":"","ProductConfigurationId":"","ProductSizeId":"","ProductStyleId":""}</t>
  </si>
  <si>
    <t>{"ItemNumber":"57725","ProductName":"F270 SAL MTS Caesar 400g","InventoryWarehouseId":"EP","OnHandQuantity":12078.52,"TotalAvailableQuantity":12078.52,"AvailableOnHandQuantity":12078.52,"InventorySiteId":"VEN","dataAreaId":"hgv","ProductColorId":"","ProductConfigurationId":"","ProductSizeId":"","ProductStyleId":""}</t>
  </si>
  <si>
    <t>{"ItemNumber":"57728","ProductName":"SAL MTS Shrimp Oriental 400g OE","InventoryWarehouseId":"EP","OnHandQuantity":11103,"TotalAvailableQuantity":11103,"AvailableOnHandQuantity":11103,"InventorySiteId":"VEN","dataAreaId":"hgv","ProductColorId":"","ProductConfigurationId":"","ProductSizeId":"","ProductStyleId":""}</t>
  </si>
  <si>
    <t>{"ItemNumber":"57729","ProductName":"F270 SAL MTS Shrimp Oriental 400g","InventoryWarehouseId":"EP","OnHandQuantity":7762.38,"TotalAvailableQuantity":7762.38,"AvailableOnHandQuantity":7762.38,"InventorySiteId":"VEN","dataAreaId":"hgv","ProductColorId":"","ProductConfigurationId":"","ProductSizeId":"","ProductStyleId":""}</t>
  </si>
  <si>
    <t>{"ItemNumber":"57730","ProductName":"JU Bijplakker proefkorting 25 procent pokebowls","InventoryWarehouseId":"EP","OnHandQuantity":12500,"TotalAvailableQuantity":12500,"AvailableOnHandQuantity":12500,"InventorySiteId":"VEN","dataAreaId":"hgv","ProductColorId":"","ProductConfigurationId":"","ProductSizeId":"","ProductStyleId":""}</t>
  </si>
  <si>
    <t>{"ItemNumber":"57731","ProductName":"Rewe Boerenkool 300g KE","InventoryWarehouseId":"EP","OnHandQuantity":32076,"TotalAvailableQuantity":32076,"AvailableOnHandQuantity":32076,"InventorySiteId":"VEN","dataAreaId":"hgv","ProductColorId":"","ProductConfigurationId":"","ProductSizeId":"","ProductStyleId":""}</t>
  </si>
  <si>
    <t>{"ItemNumber":"57732","ProductName":"Rewe Boerenkool 300g BE","InventoryWarehouseId":"EP","OnHandQuantity":28707,"TotalAvailableQuantity":28707,"AvailableOnHandQuantity":28707,"InventorySiteId":"VEN","dataAreaId":"hgv","ProductColorId":"","ProductConfigurationId":"","ProductSizeId":"","ProductStyleId":""}</t>
  </si>
  <si>
    <t>{"ItemNumber":"57733","ProductName":"F390 PL Bami Nasi zak 250g V2","InventoryWarehouseId":"EP","OnHandQuantity":21870,"TotalAvailableQuantity":21870,"AvailableOnHandQuantity":21870,"InventorySiteId":"VEN","dataAreaId":"hgv","ProductColorId":"","ProductConfigurationId":"","ProductSizeId":"","ProductStyleId":""}</t>
  </si>
  <si>
    <t>{"ItemNumber":"57740","ProductName":"F530 PL Kropsla mix 100g PLP V2","InventoryWarehouseId":"EP","OnHandQuantity":0,"TotalAvailableQuantity":40000,"AvailableOnHandQuantity":0,"InventorySiteId":"VEN","dataAreaId":"hgv","ProductColorId":"","ProductConfigurationId":"","ProductSizeId":"","ProductStyleId":""}</t>
  </si>
  <si>
    <t>{"ItemNumber":"57741","ProductName":"F470 PL Rucola melange 150g PLP V2","InventoryWarehouseId":"EP","OnHandQuantity":0,"TotalAvailableQuantity":40000,"AvailableOnHandQuantity":0,"InventorySiteId":"VEN","dataAreaId":"hgv","ProductColorId":"","ProductConfigurationId":"","ProductSizeId":"","ProductStyleId":""}</t>
  </si>
  <si>
    <t>{"ItemNumber":"57742","ProductName":"F470 PL Eikenblad melange 100g PLP V2","InventoryWarehouseId":"EP","OnHandQuantity":0,"TotalAvailableQuantity":60000,"AvailableOnHandQuantity":0,"InventorySiteId":"VEN","dataAreaId":"hgv","ProductColorId":"","ProductConfigurationId":"","ProductSizeId":"","ProductStyleId":""}</t>
  </si>
  <si>
    <t>{"ItemNumber":"57743","ProductName":"F470 PL Rucola melange 75g PLP V2","InventoryWarehouseId":"EP","OnHandQuantity":0,"TotalAvailableQuantity":60000,"AvailableOnHandQuantity":0,"InventorySiteId":"VEN","dataAreaId":"hgv","ProductColorId":"","ProductConfigurationId":"","ProductSizeId":"","ProductStyleId":""}</t>
  </si>
  <si>
    <t>{"ItemNumber":"57744","ProductName":"F530 PL Jonge bladsla veldsla 100g PLP V2","InventoryWarehouseId":"EP","OnHandQuantity":0,"TotalAvailableQuantity":40000,"AvailableOnHandQuantity":0,"InventorySiteId":"VEN","dataAreaId":"hgv","ProductColorId":"","ProductConfigurationId":"","ProductSizeId":"","ProductStyleId":""}</t>
  </si>
  <si>
    <t>{"ItemNumber":"57745","ProductName":"F470 PL Krulsla melange 100g PLP V2","InventoryWarehouseId":"EP","OnHandQuantity":0,"TotalAvailableQuantity":40000,"AvailableOnHandQuantity":0,"InventorySiteId":"VEN","dataAreaId":"hgv","ProductColorId":"","ProductConfigurationId":"","ProductSizeId":"","ProductStyleId":""}</t>
  </si>
  <si>
    <t>{"ItemNumber":"57746","ProductName":"F470 PL Gemengde sla 125g PLP V2","InventoryWarehouseId":"EP","OnHandQuantity":0,"TotalAvailableQuantity":30000,"AvailableOnHandQuantity":0,"InventorySiteId":"VEN","dataAreaId":"hgv","ProductColorId":"","ProductConfigurationId":"","ProductSizeId":"","ProductStyleId":""}</t>
  </si>
  <si>
    <t>{"ItemNumber":"57747","ProductName":"F305 PL Uienmix 125g PLP V2","InventoryWarehouseId":"EP","OnHandQuantity":0,"TotalAvailableQuantity":5000,"AvailableOnHandQuantity":0,"InventorySiteId":"VEN","dataAreaId":"hgv","ProductColorId":"","ProductConfigurationId":"","ProductSizeId":"","ProductStyleId":""}</t>
  </si>
  <si>
    <t>{"ItemNumber":"57748","ProductName":"F470 PL Broccoli wortel bloemkool 400g PLP V2","InventoryWarehouseId":"EP","OnHandQuantity":0,"TotalAvailableQuantity":20000,"AvailableOnHandQuantity":0,"InventorySiteId":"VEN","dataAreaId":"hgv","ProductColorId":"","ProductConfigurationId":"","ProductSizeId":"","ProductStyleId":""}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</si>
  <si>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{"ItemNumber":"57749","ProductName":"F470 PL Bloemkool broccoli 400g PLP V2","InventoryWarehouseId":"EP","OnHandQuantity":0,"TotalAvailableQuantity":10000,"AvailableOnHandQuantity":0,"InventorySiteId":"VEN","dataAreaId":"hgv","ProductColorId":"","ProductConfigurationId":"","ProductSizeId":"","ProductStyleId":""}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</si>
  <si>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{"ItemNumber":"57750","ProductName":"F350 PL Bloemkool broccoli 200g PLP V2","InventoryWarehouseId":"EP","OnHandQuantity":0,"TotalAvailableQuantity":10000,"AvailableOnHandQuantity":0,"InventorySiteId":"VEN","dataAreaId":"hgv","ProductColorId":"","ProductConfigurationId":"","ProductSizeId":"","ProductStyleId":""}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</si>
  <si>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{"ItemNumber":"57751","ProductName":"F470 PL Hutspot 1000g PLP V2","InventoryWarehouseId":"EP","OnHandQuantity":0,"TotalAvailableQuantity":20000,"AvailableOnHandQuantity":0,"InventorySiteId":"VEN","dataAreaId":"hgv","ProductColorId":"","ProductConfigurationId":"","ProductSizeId":"","ProductStyleId":""}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</si>
  <si>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{"ItemNumber":"57752","ProductName":"F390 PL Hutspot 500g PLP V2","InventoryWarehouseId":"EP","OnHandQuantity":0,"TotalAvailableQuantity":40000,"AvailableOnHandQuantity":0,"InventorySiteId":"VEN","dataAreaId":"hgv","ProductColorId":"","ProductConfigurationId":"","ProductSizeId":"","ProductStyleId":""}</t>
  </si>
  <si>
    <t>{"ItemNumber":"57753","ProductName":"F305 PL Rwk komkommer zak 150g V2","InventoryWarehouseId":"EP","OnHandQuantity":0,"TotalAvailableQuantity":10000,"AvailableOnHandQuantity":0,"InventorySiteId":"VEN","dataAreaId":"hgv","ProductColorId":"","ProductConfigurationId":"","ProductSizeId":"","ProductStyleId":""}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</si>
  <si>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{"ItemNumber":"57754","ProductName":"F305 PL Rwk radijs zak 150g V2","InventoryWarehouseId":"EP","OnHandQuantity":0,"TotalAvailableQuantity":5000,"AvailableOnHandQuantity":0,"InventorySiteId":"VEN","dataAreaId":"hgv","ProductColorId":"","ProductConfigurationId":"","ProductSizeId":"","ProductStyleId":""}</t>
  </si>
  <si>
    <t>{"ItemNumber":"57755","ProductName":"F390 PL OG Zoete aardappel rode paprika 600g V2","InventoryWarehouseId":"EP","OnHandQuantity":0,"TotalAvailableQuantity":10000,"AvailableOnHandQuantity":0,"InventorySiteId":"VEN","dataAreaId":"hgv","ProductColorId":"","ProductConfigurationId":"","ProductSizeId":"","ProductStyleId":""}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</si>
  <si>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{"ItemNumber":"57756","ProductName":"F470 PL OG Prei peen kastanje champignon 600g V2","InventoryWarehouseId":"EP","OnHandQuantity":0,"TotalAvailableQuantity":10000,"AvailableOnHandQuantity":0,"InventorySiteId":"VEN","dataAreaId":"hgv","ProductColorId":"","ProductConfigurationId":"","ProductSizeId":"","ProductStyleId":""}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</si>
  <si>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{"ItemNumber":"57757","ProductName":"HF/GC Neutraal etiket 90x75","InventoryWarehouseId":"EP","OnHandQuantity":301230,"TotalAvailableQuantity":298730,"AvailableOnHandQuantity":301230,"InventorySiteId":"VEN","dataAreaId":"hgv","ProductColorId":"","ProductConfigurationId":"","ProductSizeId":"","ProductStyleId":""}</t>
  </si>
  <si>
    <t>{"ItemNumber":"57758","ProductName":"F470 SU Spitskool 400g PLP","InventoryWarehouseId":"EP","OnHandQuantity":0,"TotalAvailableQuantity":10000,"AvailableOnHandQuantity":0,"InventorySiteId":"VEN","dataAreaId":"hgv","ProductColorId":"","ProductConfigurationId":"","ProductSizeId":"","ProductStyleId":""}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</si>
  <si>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{"ItemNumber":"57760","ProductName":"F350 SU Snijbonen 200g LP1C10","InventoryWarehouseId":"EP","OnHandQuantity":0,"TotalAvailableQuantity":10000,"AvailableOnHandQuantity":0,"InventorySiteId":"VEN","dataAreaId":"hgv","ProductColorId":"","ProductConfigurationId":"","ProductSizeId":"","ProductStyleId":""}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</si>
  <si>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{"ItemNumber":"57761","ProductName":"F390 SU Sperziebonen 400g LP1D16","InventoryWarehouseId":"EP","OnHandQuantity":0,"TotalAvailableQuantity":20000,"AvailableOnHandQuantity":0,"InventorySiteId":"VEN","dataAreaId":"hgv","ProductColorId":"","ProductConfigurationId":"","ProductSizeId":"","ProductStyleId":""}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</si>
  <si>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{"ItemNumber":"57762","ProductName":"F350 SU Sperziebonen 200g LP1C16","InventoryWarehouseId":"EP","OnHandQuantity":0,"TotalAvailableQuantity":10000,"AvailableOnHandQuantity":0,"InventorySiteId":"VEN","dataAreaId":"hgv","ProductColorId":"","ProductConfigurationId":"","ProductSizeId":"","ProductStyleId":""}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</si>
  <si>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{"ItemNumber":"57763","ProductName":"F350 SU Snijbonen 400g LP1C10","InventoryWarehouseId":"EP","OnHandQuantity":0,"TotalAvailableQuantity":20000,"AvailableOnHandQuantity":0,"InventorySiteId":"VEN","dataAreaId":"hgv","ProductColorId":"","ProductConfigurationId":"","ProductSizeId":"","ProductStyleId":""}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</si>
  <si>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{"ItemNumber":"57764","ProductName":"F530 SU Spinazie 200g LP1F16 PLP","InventoryWarehouseId":"EP","OnHandQuantity":0,"TotalAvailableQuantity":60000,"AvailableOnHandQuantity":0,"InventorySiteId":"VEN","dataAreaId":"hgv","ProductColorId":"","ProductConfigurationId":"","ProductSizeId":"","ProductStyleId":""}</t>
  </si>
  <si>
    <t>{"ItemNumber":"57765","ProductName":"F670 SU Spinazie 600g LP1H16 PLP","InventoryWarehouseId":"EP","OnHandQuantity":0,"TotalAvailableQuantity":30000,"AvailableOnHandQuantity":0,"InventorySiteId":"VEN","dataAreaId":"hgv","ProductColorId":"","ProductConfigurationId":"","ProductSizeId":"","ProductStyleId":""}</t>
  </si>
  <si>
    <t>{"ItemNumber":"57767","ProductName":"F620 SU Spinazie 400g LP1G16 PLP","InventoryWarehouseId":"EP","OnHandQuantity":0,"TotalAvailableQuantity":10000,"AvailableOnHandQuantity":0,"InventorySiteId":"VEN","dataAreaId":"hgv","ProductColorId":"","ProductConfigurationId":"","ProductSizeId":"","ProductStyleId":""}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</si>
  <si>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{"ItemNumber":"57769","ProductName":"F390 SU Prei fijn 200g LP1C26 PLP","InventoryWarehouseId":"EP","OnHandQuantity":0,"TotalAvailableQuantity":10000,"AvailableOnHandQuantity":0,"InventorySiteId":"VEN","dataAreaId":"hgv","ProductColorId":"","ProductConfigurationId":"","ProductSizeId":"","ProductStyleId":""}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</si>
  <si>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{"ItemNumber":"57770","ProductName":"F390 SU Pompoen naturel 400g LP1D26","InventoryWarehouseId":"EP","OnHandQuantity":0,"TotalAvailableQuantity":10000,"AvailableOnHandQuantity":0,"InventorySiteId":"VEN","dataAreaId":"hgv","ProductColorId":"","ProductConfigurationId":"","ProductSizeId":"","ProductStyleId":""}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</si>
  <si>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{"ItemNumber":"57771","ProductName":"F470 SU Broccoliroosjes 400g LP1E26 PLP","InventoryWarehouseId":"EP","OnHandQuantity":0,"TotalAvailableQuantity":10000,"AvailableOnHandQuantity":0,"InventorySiteId":"VEN","dataAreaId":"hgv","ProductColorId":"","ProductConfigurationId":"","ProductSizeId":"","ProductStyleId":""}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</si>
  <si>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{"ItemNumber":"57772","ProductName":"F470 SU Andijvie fijn 250g LP1E50 PLP","InventoryWarehouseId":"EP","OnHandQuantity":0,"TotalAvailableQuantity":30000,"AvailableOnHandQuantity":0,"InventorySiteId":"VEN","dataAreaId":"hgv","ProductColorId":"","ProductConfigurationId":"","ProductSizeId":"","ProductStyleId":""}</t>
  </si>
  <si>
    <t>{"ItemNumber":"57773","ProductName":"F530 SU Andijvie fijn 500g LP1F50 PLP","InventoryWarehouseId":"EP","OnHandQuantity":0,"TotalAvailableQuantity":20000,"AvailableOnHandQuantity":0,"InventorySiteId":"VEN","dataAreaId":"hgv","ProductColorId":"","ProductConfigurationId":"","ProductSizeId":"","ProductStyleId":""}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</si>
  <si>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{"ItemNumber":"57774","ProductName":"F530 SU Andijvie grof 400g LP1F50 PLP","InventoryWarehouseId":"EP","OnHandQuantity":0,"TotalAvailableQuantity":20000,"AvailableOnHandQuantity":0,"InventorySiteId":"VEN","dataAreaId":"hgv","ProductColorId":"","ProductConfigurationId":"","ProductSizeId":"","ProductStyleId":""}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</si>
  <si>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{"ItemNumber":"57775","ProductName":"F470 SU Bloemkoolroosjes 400g LP1E26 PLP","InventoryWarehouseId":"EP","OnHandQuantity":0,"TotalAvailableQuantity":10000,"AvailableOnHandQuantity":0,"InventorySiteId":"VEN","dataAreaId":"hgv","ProductColorId":"","ProductConfigurationId":"","ProductSizeId":"","ProductStyleId":""}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</si>
  <si>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{"ItemNumber":"57776","ProductName":"F350 SU Bloemkoolrijst 400g LP1C20 PLP","InventoryWarehouseId":"EP","OnHandQuantity":0,"TotalAvailableQuantity":5000,"AvailableOnHandQuantity":0,"InventorySiteId":"VEN","dataAreaId":"hgv","ProductColorId":"","ProductConfigurationId":"","ProductSizeId":"","ProductStyleId":""}</t>
  </si>
  <si>
    <t>{"ItemNumber":"57777","ProductName":"F390 SU Wortelen 300g 40LM LP1C26 PLP","InventoryWarehouseId":"EP","OnHandQuantity":0,"TotalAvailableQuantity":20000,"AvailableOnHandQuantity":0,"InventorySiteId":"VEN","dataAreaId":"hgv","ProductColorId":"","ProductConfigurationId":"","ProductSizeId":"","ProductStyleId":""}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</si>
  <si>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{"ItemNumber":"57778","ProductName":"F390 SU Wortelen 500g 40LM LP1D26 PLP","InventoryWarehouseId":"EP","OnHandQuantity":0,"TotalAvailableQuantity":20000,"AvailableOnHandQuantity":0,"InventorySiteId":"VEN","dataAreaId":"hgv","ProductColorId":"","ProductConfigurationId":"","ProductSizeId":"","ProductStyleId":""}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</si>
  <si>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{"ItemNumber":"57779","ProductName":"FQ Pfannengemüse italienisch 400g BE V2","InventoryWarehouseId":"EP","OnHandQuantity":29186,"TotalAvailableQuantity":29186,"AvailableOnHandQuantity":29186,"InventorySiteId":"VEN","dataAreaId":"hgv","ProductColorId":"","ProductConfigurationId":"","ProductSizeId":"","ProductStyleId":""}</t>
  </si>
  <si>
    <t>{"ItemNumber":"57782","ProductName":"FQ Pfannengemüse Thai-Art 400g BE V2","InventoryWarehouseId":"EP","OnHandQuantity":5354,"TotalAvailableQuantity":5354,"AvailableOnHandQuantity":5354,"InventorySiteId":"VEN","dataAreaId":"hgv","ProductColorId":"","ProductConfigurationId":"","ProductSizeId":"","ProductStyleId":""}</t>
  </si>
  <si>
    <t>{"ItemNumber":"57785","ProductName":"FQ Suppengemüse fein 250g BE V2","InventoryWarehouseId":"EP","OnHandQuantity":12326,"TotalAvailableQuantity":12326,"AvailableOnHandQuantity":12326,"InventorySiteId":"VEN","dataAreaId":"hgv","ProductColorId":"","ProductConfigurationId":"","ProductSizeId":"","ProductStyleId":""}</t>
  </si>
  <si>
    <t>{"ItemNumber":"57802","ProductName":"F390 PL Zoete Aardappel 400g P90","InventoryWarehouseId":"EP","OnHandQuantity":0,"TotalAvailableQuantity":10000,"AvailableOnHandQuantity":0,"InventorySiteId":"VEN","dataAreaId":"hgv","ProductColorId":"","ProductConfigurationId":"","ProductSizeId":"","ProductStyleId":""}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</si>
  <si>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{"ItemNumber":"57803","ProductName":"F390 PL Zoet Aard Friet 400g P160","InventoryWarehouseId":"EP","OnHandQuantity":0,"TotalAvailableQuantity":10000,"AvailableOnHandQuantity":0,"InventorySiteId":"VEN","dataAreaId":"hgv","ProductColorId":"","ProductConfigurationId":"","ProductSizeId":"","ProductStyleId":""}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</si>
  <si>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{"ItemNumber":"57804","ProductName":"F390 Plus Soepgroenten basis 400g LPE10-100 PLP","InventoryWarehouseId":"EP","OnHandQuantity":0,"TotalAvailableQuantity":60000,"AvailableOnHandQuantity":0,"InventorySiteId":"VEN","dataAreaId":"hgv","ProductColorId":"","ProductConfigurationId":"","ProductSizeId":"","ProductStyleId":""}</t>
  </si>
  <si>
    <t>{"ItemNumber":"57805","ProductName":"F390 Plus Soepgroenten fijn 400g PLP LP1D26","InventoryWarehouseId":"EP","OnHandQuantity":0,"TotalAvailableQuantity":40000,"AvailableOnHandQuantity":0,"InventorySiteId":"VEN","dataAreaId":"hgv","ProductColorId":"","ProductConfigurationId":"","ProductSizeId":"","ProductStyleId":""}</t>
  </si>
  <si>
    <t>{"ItemNumber":"57806","ProductName":"F390 Plus Boerensoepgroenten 350g PLP LP1D26","InventoryWarehouseId":"EP","OnHandQuantity":0,"TotalAvailableQuantity":20000,"AvailableOnHandQuantity":0,"InventorySiteId":"VEN","dataAreaId":"hgv","ProductColorId":"","ProductConfigurationId":"","ProductSizeId":"","ProductStyleId":""}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</si>
  <si>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{"ItemNumber":"57807","ProductName":"F390 PL RBG Italiaans zUi 400g P160","InventoryWarehouseId":"EP","OnHandQuantity":0,"TotalAvailableQuantity":40000,"AvailableOnHandQuantity":0,"InventorySiteId":"VEN","dataAreaId":"hgv","ProductColorId":"","ProductConfigurationId":"","ProductSizeId":"","ProductStyleId":""}</t>
  </si>
  <si>
    <t>{"ItemNumber":"57808","ProductName":"F390 PL RBG Italiaans 250g P160","InventoryWarehouseId":"EP","OnHandQuantity":0,"TotalAvailableQuantity":20000,"AvailableOnHandQuantity":0,"InventorySiteId":"VEN","dataAreaId":"hgv","ProductColorId":"","ProductConfigurationId":"","ProductSizeId":"","ProductStyleId":""}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</si>
  <si>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{"ItemNumber":"57809","ProductName":"F390 PL RBG Italiaans 400g P160","InventoryWarehouseId":"EP","OnHandQuantity":0,"TotalAvailableQuantity":60000,"AvailableOnHandQuantity":0,"InventorySiteId":"VEN","dataAreaId":"hgv","ProductColorId":"","ProductConfigurationId":"","ProductSizeId":"","ProductStyleId":""}</t>
  </si>
  <si>
    <t>{"ItemNumber":"57810","ProductName":"F390 PL RBG Chinees 250g P160","InventoryWarehouseId":"EP","OnHandQuantity":0,"TotalAvailableQuantity":20000,"AvailableOnHandQuantity":0,"InventorySiteId":"VEN","dataAreaId":"hgv","ProductColorId":"","ProductConfigurationId":"","ProductSizeId":"","ProductStyleId":""}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</si>
  <si>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{"ItemNumber":"57811","ProductName":"F470 PL RBG Chinees 600g p160","InventoryWarehouseId":"EP","OnHandQuantity":0,"TotalAvailableQuantity":10000,"AvailableOnHandQuantity":0,"InventorySiteId":"VEN","dataAreaId":"hgv","ProductColorId":"","ProductConfigurationId":"","ProductSizeId":"","ProductStyleId":""}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</si>
  <si>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{"ItemNumber":"57812","ProductName":"F390 PL RBG Thais 250g P160","InventoryWarehouseId":"EP","OnHandQuantity":0,"TotalAvailableQuantity":10000,"AvailableOnHandQuantity":0,"InventorySiteId":"VEN","dataAreaId":"hgv","ProductColorId":"","ProductConfigurationId":"","ProductSizeId":"","ProductStyleId":""}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</si>
  <si>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{"ItemNumber":"57813","ProductName":"F390 PL RBG Thais 400g P160","InventoryWarehouseId":"EP","OnHandQuantity":0,"TotalAvailableQuantity":30000,"AvailableOnHandQuantity":0,"InventorySiteId":"VEN","dataAreaId":"hgv","ProductColorId":"","ProductConfigurationId":"","ProductSizeId":"","ProductStyleId":""}</t>
  </si>
  <si>
    <t>{"ItemNumber":"57814","ProductName":"F390 PL RBG Champignons 400g LPE10-100 PLP","InventoryWarehouseId":"EP","OnHandQuantity":0,"TotalAvailableQuantity":30000,"AvailableOnHandQuantity":0,"InventorySiteId":"VEN","dataAreaId":"hgv","ProductColorId":"","ProductConfigurationId":"","ProductSizeId":"","ProductStyleId":""}</t>
  </si>
  <si>
    <t>{"ItemNumber":"57815","ProductName":"F390 PL RBG Mexicaans 400g P160","InventoryWarehouseId":"EP","OnHandQuantity":0,"TotalAvailableQuantity":30000,"AvailableOnHandQuantity":0,"InventorySiteId":"VEN","dataAreaId":"hgv","ProductColorId":"","ProductConfigurationId":"","ProductSizeId":"","ProductStyleId":""}</t>
  </si>
  <si>
    <t>{"ItemNumber":"57816","ProductName":"F390 PL Wok japans 400g P160","InventoryWarehouseId":"EP","OnHandQuantity":0,"TotalAvailableQuantity":30000,"AvailableOnHandQuantity":0,"InventorySiteId":"VEN","dataAreaId":"hgv","ProductColorId":"","ProductConfigurationId":"","ProductSizeId":"","ProductStyleId":""}</t>
  </si>
  <si>
    <t>{"ItemNumber":"57817","ProductName":"F390 PL RBG Hollands 400g P160","InventoryWarehouseId":"EP","OnHandQuantity":0,"TotalAvailableQuantity":20000,"AvailableOnHandQuantity":0,"InventorySiteId":"VEN","dataAreaId":"hgv","ProductColorId":"","ProductConfigurationId":"","ProductSizeId":"","ProductStyleId":""}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</si>
  <si>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{"ItemNumber":"57818","ProductName":"F390 PL RBG Chinees 400g P160","InventoryWarehouseId":"EP","OnHandQuantity":0,"TotalAvailableQuantity":60000,"AvailableOnHandQuantity":0,"InventorySiteId":"VEN","dataAreaId":"hgv","ProductColorId":"","ProductConfigurationId":"","ProductSizeId":"","ProductStyleId":""}</t>
  </si>
  <si>
    <t>{"ItemNumber":"57819","ProductName":"F390 PL Soepgroenten fijn 250g PLP LP1D26","InventoryWarehouseId":"EP","OnHandQuantity":0,"TotalAvailableQuantity":40000,"AvailableOnHandQuantity":0,"InventorySiteId":"VEN","dataAreaId":"hgv","ProductColorId":"","ProductConfigurationId":"","ProductSizeId":"","ProductStyleId":""}</t>
  </si>
  <si>
    <t>{"ItemNumber":"57824","ProductName":"F220 PL SS Witlof 335g","InventoryWarehouseId":"EP","OnHandQuantity":0,"TotalAvailableQuantity":10000,"AvailableOnHandQuantity":0,"InventorySiteId":"VEN","dataAreaId":"hgv","ProductColorId":"","ProductConfigurationId":"","ProductSizeId":"","ProductStyleId":""}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</si>
  <si>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{"ItemNumber":"57826","ProductName":"F220 PL SS Hollands 275g veggie","InventoryWarehouseId":"EP","OnHandQuantity":0,"TotalAvailableQuantity":5000,"AvailableOnHandQuantity":0,"InventorySiteId":"VEN","dataAreaId":"hgv","ProductColorId":"","ProductConfigurationId":"","ProductSizeId":"","ProductStyleId":""}</t>
  </si>
  <si>
    <t>{"ItemNumber":"57829","ProductName":"F390 JU Wortel julienne 300gP160 V2","InventoryWarehouseId":"EP","OnHandQuantity":13760.8,"TotalAvailableQuantity":13760.8,"AvailableOnHandQuantity":13760.8,"InventorySiteId":"VEN","dataAreaId":"hgv","ProductColorId":"","ProductConfigurationId":"","ProductSizeId":"","ProductStyleId":""}</t>
  </si>
  <si>
    <t>{"ItemNumber":"57839","ProductName":"F390 PL Luxe wok Japans 400g P160","InventoryWarehouseId":"EP","OnHandQuantity":0,"TotalAvailableQuantity":10000,"AvailableOnHandQuantity":0,"InventorySiteId":"VEN","dataAreaId":"hgv","ProductColorId":"","ProductConfigurationId":"","ProductSizeId":"","ProductStyleId":""}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</si>
  <si>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{"ItemNumber":"57840","ProductName":"F390 PL Luxewok Sugarsnaps 400g p160","InventoryWarehouseId":"EP","OnHandQuantity":0,"TotalAvailableQuantity":20000,"AvailableOnHandQuantity":0,"InventorySiteId":"VEN","dataAreaId":"hgv","ProductColorId":"","ProductConfigurationId":"","ProductSizeId":"","ProductStyleId":""}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</si>
  <si>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{"ItemNumber":"57841","ProductName":"F390 PL Luxewok Rode Curry 500g P160","InventoryWarehouseId":"EP","OnHandQuantity":0,"TotalAvailableQuantity":10000,"AvailableOnHandQuantity":0,"InventorySiteId":"VEN","dataAreaId":"hgv","ProductColorId":"","ProductConfigurationId":"","ProductSizeId":"","ProductStyleId":""}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</si>
  <si>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{"ItemNumber":"57842","ProductName":"F390 PL Luxewok Groene Curry 500g LPE10-100 PLP","InventoryWarehouseId":"EP","OnHandQuantity":0,"TotalAvailableQuantity":10000,"AvailableOnHandQuantity":0,"InventorySiteId":"VEN","dataAreaId":"hgv","ProductColorId":"","ProductConfigurationId":"","ProductSizeId":"","ProductStyleId":""}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</si>
  <si>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{"ItemNumber":"57855","ProductName":"Bijplak etiket Go tan wok oyster garlic 40x40 wik 6","InventoryWarehouseId":"EP","OnHandQuantity":75000,"TotalAvailableQuantity":75000,"AvailableOnHandQuantity":75000,"InventorySiteId":"VEN","dataAreaId":"hgv","ProductColorId":"","ProductConfigurationId":"","ProductSizeId":"","ProductStyleId":""}</t>
  </si>
  <si>
    <t>{"ItemNumber":"57857","ProductName":"Bijplak Gratis calve tafelsaus 30Ø","InventoryWarehouseId":"EP","OnHandQuantity":35510,"TotalAvailableQuantity":35510,"AvailableOnHandQuantity":35510,"InventorySiteId":"VEN","dataAreaId":"hgv","ProductColorId":"","ProductConfigurationId":"","ProductSizeId":"","ProductStyleId":""}</t>
  </si>
  <si>
    <t>{"ItemNumber":"57864","ProductName":"Bijplak etiket Go tan wok ketjap sesam 40x40 wik 6","InventoryWarehouseId":"EP","OnHandQuantity":70000,"TotalAvailableQuantity":70000,"AvailableOnHandQuantity":70000,"InventorySiteId":"VEN","dataAreaId":"hgv","ProductColorId":"","ProductConfigurationId":"","ProductSizeId":"","ProductStyleId":""}</t>
  </si>
  <si>
    <t>{"ItemNumber":"57866","ProductName":"F470 PL RBG Italiaans 600g P160","InventoryWarehouseId":"EP","OnHandQuantity":0,"TotalAvailableQuantity":20000,"AvailableOnHandQuantity":0,"InventorySiteId":"VEN","dataAreaId":"hgv","ProductColorId":"","ProductConfigurationId":"","ProductSizeId":"","ProductStyleId":""}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</si>
  <si>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{"ItemNumber":"57867","ProductName":"F390 PL RBG Champignons 250g LPE10-100 PLP","InventoryWarehouseId":"EP","OnHandQuantity":0,"TotalAvailableQuantity":20000,"AvailableOnHandQuantity":0,"InventorySiteId":"VEN","dataAreaId":"hgv","ProductColorId":"","ProductConfigurationId":"","ProductSizeId":"","ProductStyleId":""}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</si>
  <si>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{"ItemNumber":"57869","ProductName":"McD Sla in Zak 100g NL/FR 76x55 BE V2","InventoryWarehouseId":"EP","OnHandQuantity":72000,"TotalAvailableQuantity":72000,"AvailableOnHandQuantity":72000,"InventorySiteId":"VEN","dataAreaId":"hgv","ProductColorId":"","ProductConfigurationId":"","ProductSizeId":"","ProductStyleId":""}</t>
  </si>
  <si>
    <t>{"ItemNumber":"57870","ProductName":"McD Sla in Zak 60g NL/FR 76x55 BE V2","InventoryWarehouseId":"EP","OnHandQuantity":58249,"TotalAvailableQuantity":58249,"AvailableOnHandQuantity":58249,"InventorySiteId":"VEN","dataAreaId":"hgv","ProductColorId":"","ProductConfigurationId":"","ProductSizeId":"","ProductStyleId":""}</t>
  </si>
  <si>
    <t>{"ItemNumber":"57876","ProductName":"F220 PL SS Caesar 275g Vegetarisch","InventoryWarehouseId":"EP","OnHandQuantity":0,"TotalAvailableQuantity":20000,"AvailableOnHandQuantity":0,"InventorySiteId":"VEN","dataAreaId":"hgv","ProductColorId":"","ProductConfigurationId":"","ProductSizeId":"","ProductStyleId":""}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</si>
  <si>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{"ItemNumber":"57878","ProductName":"F220 PL SS Italiaans 240g Vegetarisch","InventoryWarehouseId":"EP","OnHandQuantity":0,"TotalAvailableQuantity":20000,"AvailableOnHandQuantity":0,"InventorySiteId":"VEN","dataAreaId":"hgv","ProductColorId":"","ProductConfigurationId":"","ProductSizeId":"","ProductStyleId":""}</t>
  </si>
  <si>
    <t>{"ItemNumber":"57880","ProductName":"F220 PL SS Boeren 280g","InventoryWarehouseId":"EP","OnHandQuantity":0,"TotalAvailableQuantity":10000,"AvailableOnHandQuantity":0,"InventorySiteId":"VEN","dataAreaId":"hgv","ProductColorId":"","ProductConfigurationId":"","ProductSizeId":"","ProductStyleId":""}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</si>
  <si>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{"ItemNumber":"57882","ProductName":"F220 PL SS Tomaat Komkommer 340g Vegetarisch","InventoryWarehouseId":"EP","OnHandQuantity":0,"TotalAvailableQuantity":10000,"AvailableOnHandQuantity":0,"InventorySiteId":"VEN","dataAreaId":"hgv","ProductColorId":"","ProductConfigurationId":"","ProductSizeId":"","ProductStyleId":""}</t>
  </si>
  <si>
    <t>{"ItemNumber":"57884","ProductName":"F220 SS Rauwkost 315g Vegetarisch","InventoryWarehouseId":"EP","OnHandQuantity":0,"TotalAvailableQuantity":5000,"AvailableOnHandQuantity":0,"InventorySiteId":"VEN","dataAreaId":"hgv","ProductColorId":"","ProductConfigurationId":"","ProductSizeId":"","ProductStyleId":""}</t>
  </si>
  <si>
    <t>{"ItemNumber":"57888","ProductName":"F220 PL SS Grieks 255g Vegetarisch","InventoryWarehouseId":"EP","OnHandQuantity":0,"TotalAvailableQuantity":5000,"AvailableOnHandQuantity":0,"InventorySiteId":"VEN","dataAreaId":"hgv","ProductColorId":"","ProductConfigurationId":"","ProductSizeId":"","ProductStyleId":""}</t>
  </si>
  <si>
    <t>{"ItemNumber":"57903","ProductName":"FQ Butternut 400g BE","InventoryWarehouseId":"EP","OnHandQuantity":11802,"TotalAvailableQuantity":11802,"AvailableOnHandQuantity":11802,"InventorySiteId":"VEN","dataAreaId":"hgv","ProductColorId":"","ProductConfigurationId":"","ProductSizeId":"","ProductStyleId":""}</t>
  </si>
  <si>
    <t>{"ItemNumber":"57904","ProductName":"FQ Boerenkool 300g BE","InventoryWarehouseId":"EP","OnHandQuantity":18000,"TotalAvailableQuantity":18000,"AvailableOnHandQuantity":18000,"InventorySiteId":"VEN","dataAreaId":"hgv","ProductColorId":"","ProductConfigurationId":"","ProductSizeId":"","ProductStyleId":""}</t>
  </si>
  <si>
    <t>{"ItemNumber":"58032","ProductName":"Rewe Suppengemüse 250g BE V2","InventoryWarehouseId":"EP","OnHandQuantity":135000,"TotalAvailableQuantity":135000,"AvailableOnHandQuantity":135000,"InventorySiteId":"VEN","dataAreaId":"hgv","ProductColorId":"","ProductConfigurationId":"","ProductSizeId":"","ProductStyleId":""}</t>
  </si>
  <si>
    <t>{"ItemNumber":"58040","ProductName":"F530 PE Blauw McD","InventoryWarehouseId":"EP","OnHandQuantity":1000,"TotalAvailableQuantity":1000,"AvailableOnHandQuantity":1000,"InventorySiteId":"VEN","dataAreaId":"hgv","ProductColorId":"","ProductConfigurationId":"","ProductSizeId":"","ProductStyleId":""}</t>
  </si>
  <si>
    <t>{"ItemNumber":"58045","ProductName":"JU Bijplakker 'Tafelzuren' Ø45mm","InventoryWarehouseId":"EP","OnHandQuantity":52843,"TotalAvailableQuantity":52843,"AvailableOnHandQuantity":52843,"InventorySiteId":"VEN","dataAreaId":"hgv","ProductColorId":"","ProductConfigurationId":"","ProductSizeId":"","ProductStyleId":""}</t>
  </si>
  <si>
    <t>{"ItemNumber":"58048","ProductName":"JU Bijplakker 'Kookhulp' Ø45mm","InventoryWarehouseId":"EP","OnHandQuantity":0,"TotalAvailableQuantity":162000,"AvailableOnHandQuantity":0,"InventorySiteId":"VEN","dataAreaId":"hgv","ProductColorId":"","ProductConfigurationId":"","ProductSizeId":"","ProductStyleId":""}</t>
  </si>
  <si>
    <t>{"ItemNumber":"58051","ProductName":"JU Bijplakker 'Smaakboters' Ø45mm","InventoryWarehouseId":"EP","OnHandQuantity":8049,"TotalAvailableQuantity":8049,"AvailableOnHandQuantity":8049,"InventorySiteId":"VEN","dataAreaId":"hgv","ProductColorId":"","ProductConfigurationId":"","ProductSizeId":"","ProductStyleId":""}</t>
  </si>
  <si>
    <t>{"ItemNumber":"58080","ProductName":"MTS schaal 77H-BLISTON","InventoryWarehouseId":"EP","OnHandQuantity":117553,"TotalAvailableQuantity":117553,"AvailableOnHandQuantity":117553,"InventorySiteId":"VEN","dataAreaId":"hgv","ProductColorId":"","ProductConfigurationId":"","ProductSizeId":"","ProductStyleId":""}</t>
  </si>
  <si>
    <t>{"ItemNumber":"602","ProductName":"Kooi Hordijk","InventoryWarehouseId":"EMB3","OnHandQuantity":100,"TotalAvailableQuantity":100,"AvailableOnHandQuantity":100,"InventorySiteId":"VEN","dataAreaId":"hgv","ProductColorId":"","ProductConfigurationId":"","ProductSizeId":"","ProductStyleId":""}</t>
  </si>
  <si>
    <t>{"ItemNumber":"602","ProductName":"Kooi Hordijk","InventoryWarehouseId":"EP","OnHandQuantity":112,"TotalAvailableQuantity":112,"AvailableOnHandQuantity":112,"InventorySiteId":"VEN","dataAreaId":"hgv","ProductColorId":"","ProductConfigurationId":"","ProductSizeId":"","ProductStyleId":""}</t>
  </si>
  <si>
    <t>{"ItemNumber":"603","ProductName":"Container Mayonaise","InventoryWarehouseId":"GR","OnHandQuantity":11,"TotalAvailableQuantity":11,"AvailableOnHandQuantity":11,"InventorySiteId":"VEN","dataAreaId":"hgv","ProductColorId":"","ProductConfigurationId":"","ProductSizeId":"","ProductStyleId":""}</t>
  </si>
  <si>
    <t>{"ItemNumber":"607","ProductName":"Kooi Bliston","InventoryWarehouseId":"EMB3","OnHandQuantity":0,"TotalAvailableQuantity":0,"AvailableOnHandQuantity":0,"InventorySiteId":"VEN","dataAreaId":"hgv","ProductColorId":"","ProductConfigurationId":"","ProductSizeId":"","ProductStyleId":""}</t>
  </si>
  <si>
    <t>{"ItemNumber":"607","ProductName":"Kooi Bliston","InventoryWarehouseId":"EP","OnHandQuantity":131,"TotalAvailableQuantity":131,"AvailableOnHandQuantity":131,"InventorySiteId":"VEN","dataAreaId":"hgv","ProductColorId":"","ProductConfigurationId":"","ProductSizeId":"","ProductStyleId":""}</t>
  </si>
  <si>
    <t>{"ItemNumber":"610","ProductName":"Kooi Hordijk Klap","InventoryWarehouseId":"EMB3","OnHandQuantity":4,"TotalAvailableQuantity":4,"AvailableOnHandQuantity":4,"InventorySiteId":"VEN","dataAreaId":"hgv","ProductColorId":"","ProductConfigurationId":"","ProductSizeId":"","ProductStyleId":""}</t>
  </si>
  <si>
    <t>{"ItemNumber":"610","ProductName":"Kooi Hordijk Klap","InventoryWarehouseId":"EP","OnHandQuantity":17,"TotalAvailableQuantity":17,"AvailableOnHandQuantity":17,"InventorySiteId":"VEN","dataAreaId":"hgv","ProductColorId":"","ProductConfigurationId":"","ProductSizeId":"","ProductStyleId":""}</t>
  </si>
  <si>
    <t>{"ItemNumber":"701","ProductName":"Box Hessing","InventoryWarehouseId":"EMB3","OnHandQuantity":78,"TotalAvailableQuantity":78,"AvailableOnHandQuantity":78,"InventorySiteId":"VEN","dataAreaId":"hgv","ProductColorId":"","ProductConfigurationId":"","ProductSizeId":"","ProductStyleId":""}</t>
  </si>
  <si>
    <t>{"ItemNumber":"701","ProductName":"Box Hessing","InventoryWarehouseId":"EP","OnHandQuantity":3,"TotalAvailableQuantity":3,"AvailableOnHandQuantity":3,"InventorySiteId":"VEN","dataAreaId":"hgv","ProductColorId":"","ProductConfigurationId":"","ProductSizeId":"","ProductStyleId":""}</t>
  </si>
  <si>
    <t>{"ItemNumber":"701","ProductName":"Box Hessing","InventoryWarehouseId":"GR","OnHandQuantity":940,"TotalAvailableQuantity":340,"AvailableOnHandQuantity":940,"InventorySiteId":"VEN","dataAreaId":"hgv","ProductColorId":"","ProductConfigurationId":"","ProductSizeId":"","ProductStyleId":""}</t>
  </si>
  <si>
    <t>{"ItemNumber":"701","ProductName":"Box Hessing","InventoryWarehouseId":"RL","OnHandQuantity":163,"TotalAvailableQuantity":163,"AvailableOnHandQuantity":163,"InventorySiteId":"VEN","dataAreaId":"hgv","ProductColorId":"","ProductConfigurationId":"","ProductSizeId":"","ProductStyleId":""}</t>
  </si>
  <si>
    <t>{"ItemNumber":"702","ProductName":"Box Hessing Geel Intern","InventoryWarehouseId":"GR","OnHandQuantity":58,"TotalAvailableQuantity":58,"AvailableOnHandQuantity":58,"InventorySiteId":"VEN","dataAreaId":"hgv","ProductColorId":"","ProductConfigurationId":"","ProductSizeId":"","ProductStyleId":""}</t>
  </si>
  <si>
    <t>{"ItemNumber":"703","ProductName":"Box Rood Intern","InventoryWarehouseId":"EP","OnHandQuantity":1,"TotalAvailableQuantity":1,"AvailableOnHandQuantity":1,"InventorySiteId":"VEN","dataAreaId":"hgv","ProductColorId":"","ProductConfigurationId":"","ProductSizeId":"","ProductStyleId":""}</t>
  </si>
  <si>
    <t>{"ItemNumber":"703","ProductName":"Box Rood Intern","InventoryWarehouseId":"GR","OnHandQuantity":-316,"TotalAvailableQuantity":-316,"AvailableOnHandQuantity":-316,"InventorySiteId":"VEN","dataAreaId":"hgv","ProductColorId":"","ProductConfigurationId":"","ProductSizeId":"","ProductStyleId":""}</t>
  </si>
  <si>
    <t>{"ItemNumber":"706","ProductName":"Box Grijs Intern","InventoryWarehouseId":"EP","OnHandQuantity":8,"TotalAvailableQuantity":8,"AvailableOnHandQuantity":8,"InventorySiteId":"VEN","dataAreaId":"hgv","ProductColorId":"","ProductConfigurationId":"","ProductSizeId":"","ProductStyleId":""}</t>
  </si>
  <si>
    <t>{"ItemNumber":"706","ProductName":"Box Grijs Intern","InventoryWarehouseId":"GR","OnHandQuantity":36,"TotalAvailableQuantity":36,"AvailableOnHandQuantity":36,"InventorySiteId":"VEN","dataAreaId":"hgv","ProductColorId":"","ProductConfigurationId":"","ProductSizeId":"","ProductStyleId":""}</t>
  </si>
  <si>
    <t>{"ItemNumber":"713","ProductName":"Box Vezet","InventoryWarehouseId":"EP","OnHandQuantity":4,"TotalAvailableQuantity":4,"AvailableOnHandQuantity":4,"InventorySiteId":"VEN","dataAreaId":"hgv","ProductColorId":"","ProductConfigurationId":"","ProductSizeId":"","ProductStyleId":""}</t>
  </si>
  <si>
    <t>{"ItemNumber":"713","ProductName":"Box Vezet","InventoryWarehouseId":"GR","OnHandQuantity":20,"TotalAvailableQuantity":20,"AvailableOnHandQuantity":20,"InventorySiteId":"VEN","dataAreaId":"hgv","ProductColorId":"","ProductConfigurationId":"","ProductSizeId":"","ProductStyleId":""}</t>
  </si>
  <si>
    <t>{"ItemNumber":"715","ProductName":"Box Scana Nolico","InventoryWarehouseId":"EP","OnHandQuantity":8,"TotalAvailableQuantity":8,"AvailableOnHandQuantity":8,"InventorySiteId":"VEN","dataAreaId":"hgv","ProductColorId":"","ProductConfigurationId":"","ProductSizeId":"","ProductStyleId":""}</t>
  </si>
  <si>
    <t>{"ItemNumber":"715","ProductName":"Box Scana Nolico","InventoryWarehouseId":"GR","OnHandQuantity":-43,"TotalAvailableQuantity":-43,"AvailableOnHandQuantity":-43,"InventorySiteId":"VEN","dataAreaId":"hgv","ProductColorId":"","ProductConfigurationId":"","ProductSizeId":"","ProductStyleId":""}</t>
  </si>
  <si>
    <t>{"ItemNumber":"717","ProductName":"Box Pap","InventoryWarehouseId":"GR","OnHandQuantity":69,"TotalAvailableQuantity":69,"AvailableOnHandQuantity":69,"InventorySiteId":"VEN","dataAreaId":"hgv","ProductColorId":"","ProductConfigurationId":"","ProductSizeId":"","ProductStyleId":""}</t>
  </si>
  <si>
    <t>{"ItemNumber":"721","ProductName":"Box Halffabricaat Blauw","InventoryWarehouseId":"EP","OnHandQuantity":3,"TotalAvailableQuantity":3,"AvailableOnHandQuantity":3,"InventorySiteId":"VEN","dataAreaId":"hgv","ProductColorId":"","ProductConfigurationId":"","ProductSizeId":"","ProductStyleId":""}</t>
  </si>
  <si>
    <t>{"ItemNumber":"721","ProductName":"Box Halffabricaat Blauw","InventoryWarehouseId":"GR","OnHandQuantity":4,"TotalAvailableQuantity":4,"AvailableOnHandQuantity":4,"InventorySiteId":"VEN","dataAreaId":"hgv","ProductColorId":"","ProductConfigurationId":"","ProductSizeId":"","ProductStyleId":""}</t>
  </si>
  <si>
    <t>{"ItemNumber":"723","ProductName":"Box Hennes Ei","InventoryWarehouseId":"EP","OnHandQuantity":1,"TotalAvailableQuantity":1,"AvailableOnHandQuantity":1,"InventorySiteId":"VEN","dataAreaId":"hgv","ProductColorId":"","ProductConfigurationId":"","ProductSizeId":"","ProductStyleId":""}</t>
  </si>
  <si>
    <t>{"ItemNumber":"723","ProductName":"Box Hennes Ei","InventoryWarehouseId":"GR","OnHandQuantity":-39,"TotalAvailableQuantity":-39,"AvailableOnHandQuantity":-39,"InventorySiteId":"VEN","dataAreaId":"hgv","ProductColorId":"","ProductConfigurationId":"","ProductSizeId":"","ProductStyleId":""}</t>
  </si>
  <si>
    <t>{"ItemNumber":"725","ProductName":"Box Klap Versland Zwart","InventoryWarehouseId":"GR","OnHandQuantity":21,"TotalAvailableQuantity":21,"AvailableOnHandQuantity":21,"InventorySiteId":"VEN","dataAreaId":"hgv","ProductColorId":"","ProductConfigurationId":"","ProductSizeId":"","ProductStyleId":""}</t>
  </si>
  <si>
    <t>{"ItemNumber":"726","ProductName":"Box VDG grijs","InventoryWarehouseId":"EP","OnHandQuantity":2,"TotalAvailableQuantity":2,"AvailableOnHandQuantity":2,"InventorySiteId":"VEN","dataAreaId":"hgv","ProductColorId":"","ProductConfigurationId":"","ProductSizeId":"","ProductStyleId":""}</t>
  </si>
  <si>
    <t>{"ItemNumber":"726","ProductName":"Box VDG grijs","InventoryWarehouseId":"GR","OnHandQuantity":221,"TotalAvailableQuantity":221,"AvailableOnHandQuantity":221,"InventorySiteId":"VEN","dataAreaId":"hgv","ProductColorId":"","ProductConfigurationId":"","ProductSizeId":"","ProductStyleId":""}</t>
  </si>
  <si>
    <t>{"ItemNumber":"728","ProductName":"Box Tolpoort","InventoryWarehouseId":"GR","OnHandQuantity":0,"TotalAvailableQuantity":0,"AvailableOnHandQuantity":0,"InventorySiteId":"VEN","dataAreaId":"hgv","ProductColorId":"","ProductConfigurationId":"","ProductSizeId":"","ProductStyleId":""}</t>
  </si>
  <si>
    <t>{"ItemNumber":"729","ProductName":"Box Tielen Grijs","InventoryWarehouseId":"GR","OnHandQuantity":62,"TotalAvailableQuantity":62,"AvailableOnHandQuantity":62,"InventorySiteId":"VEN","dataAreaId":"hgv","ProductColorId":"","ProductConfigurationId":"","ProductSizeId":"","ProductStyleId":""}</t>
  </si>
  <si>
    <t>{"ItemNumber":"802","ProductName":"1144 Doos bruin 40x30x17cm","InventoryWarehouseId":"EP","OnHandQuantity":6,"TotalAvailableQuantity":6,"AvailableOnHandQuantity":6,"InventorySiteId":"VEN","dataAreaId":"hgv","ProductColorId":"","ProductConfigurationId":"","ProductSizeId":"","ProductStyleId":""}</t>
  </si>
  <si>
    <t>{"ItemNumber":"857","ProductName":"xxDoos 702016 Salat2+ lager","InventoryWarehouseId":"EP","OnHandQuantity":0,"TotalAvailableQuantity":0,"AvailableOnHandQuantity":0,"InventorySiteId":"VEN","dataAreaId":"hgv","ProductColorId":"","ProductConfigurationId":"","ProductSizeId":"","ProductStyleId":""}</t>
  </si>
  <si>
    <t>{"ItemNumber":"869","ProductName":"Lidl Stamppotgroenten Doos 30x20x17","InventoryWarehouseId":"EP","OnHandQuantity":2496,"TotalAvailableQuantity":2496,"AvailableOnHandQuantity":2496,"InventorySiteId":"VEN","dataAreaId":"hgv","ProductColorId":"","ProductConfigurationId":"","ProductSizeId":"","ProductStyleId":""}</t>
  </si>
  <si>
    <t>{"ItemNumber":"872","ProductName":"xxDoos Salat 5 400x300x160mm","InventoryWarehouseId":"EP","OnHandQuantity":0,"TotalAvailableQuantity":0,"AvailableOnHandQuantity":0,"InventorySiteId":"VEN","dataAreaId":"hgv","ProductColorId":"","ProductConfigurationId":"","ProductSizeId":"","ProductStyleId":""}</t>
  </si>
  <si>
    <t>{"ItemNumber":"873","ProductName":"xxDoos bruin 38x19x9","InventoryWarehouseId":"EP","OnHandQuantity":0,"TotalAvailableQuantity":0,"AvailableOnHandQuantity":0,"InventorySiteId":"VEN","dataAreaId":"hgv","ProductColorId":"","ProductConfigurationId":"","ProductSizeId":"","ProductStyleId":""}</t>
  </si>
  <si>
    <t>{"ItemNumber":"874","ProductName":"Twinbox Netto MD 395x195x110","InventoryWarehouseId":"EP","OnHandQuantity":54470,"TotalAvailableQuantity":89517,"AvailableOnHandQuantity":54470,"InventorySiteId":"VEN","dataAreaId":"hgv","ProductColorId":"","ProductConfigurationId":"","ProductSizeId":"","ProductStyleId":""}</t>
  </si>
  <si>
    <t>{"ItemNumber":"875","ProductName":"Lidl bedrukt 40x20x17","InventoryWarehouseId":"EP","OnHandQuantity":780,"TotalAvailableQuantity":780,"AvailableOnHandQuantity":780,"InventorySiteId":"VEN","dataAreaId":"hgv","ProductColorId":"","ProductConfigurationId":"","ProductSizeId":"","ProductStyleId":""}</t>
  </si>
  <si>
    <t>{"ItemNumber":"876","ProductName":"Doos bruin 38x19x9","InventoryWarehouseId":"EP","OnHandQuantity":7729,"TotalAvailableQuantity":19609,"AvailableOnHandQuantity":7729,"InventorySiteId":"VEN","dataAreaId":"hgv","ProductColorId":"","ProductConfigurationId":"","ProductSizeId":"","ProductStyleId":""}</t>
  </si>
  <si>
    <t>{"ItemNumber":"877","ProductName":"Doos Salat 5 400x300x160mm","InventoryWarehouseId":"EP","OnHandQuantity":22476,"TotalAvailableQuantity":28010,"AvailableOnHandQuantity":17276,"InventorySiteId":"VEN","dataAreaId":"hgv","ProductColorId":"","ProductConfigurationId":"","ProductSizeId":"","ProductStyleId":""}</t>
  </si>
  <si>
    <t>{"ItemNumber":"878","ProductName":"Doos 702016 Salat2+ lager","InventoryWarehouseId":"EP","OnHandQuantity":105342,"TotalAvailableQuantity":156702,"AvailableOnHandQuantity":105342,"InventorySiteId":"VEN","dataAreaId":"hgv","ProductColorId":"","ProductConfigurationId":"","ProductSizeId":"","ProductStyleId":""}</t>
  </si>
  <si>
    <t>{"ItemNumber":"879","ProductName":"703049 Penny Ready Salatbeutel 292x191x210mm","InventoryWarehouseId":"EP","OnHandQuantity":5760,"TotalAvailableQuantity":5760,"AvailableOnHandQuantity":5760,"InventorySiteId":"VEN","dataAreaId":"hgv","ProductColorId":"","ProductConfigurationId":"","ProductSizeId":"","ProductStyleId":""}</t>
  </si>
  <si>
    <t>{"ItemNumber":"881","ProductName":"703042 Penny Ready Snacksalat 1 Euro doos","InventoryWarehouseId":"EP","OnHandQuantity":1440,"TotalAvailableQuantity":1440,"AvailableOnHandQuantity":1440,"InventorySiteId":"VEN","dataAreaId":"hgv","ProductColorId":"","ProductConfigurationId":"","ProductSizeId":"","ProductStyleId":""}</t>
  </si>
  <si>
    <t>{"ItemNumber":"882","ProductName":"702021 - Faltkiste mit Steckboden Bowl 2","InventoryWarehouseId":"EP","OnHandQuantity":20935,"TotalAvailableQuantity":20935,"AvailableOnHandQuantity":20935,"InventorySiteId":"VEN","dataAreaId":"hgv","ProductColorId":"","ProductConfigurationId":"","ProductSizeId":"","ProductStyleId":""}</t>
  </si>
  <si>
    <t>{"ItemNumber":"883","ProductName":"8449 Doos BC-KK 264*165*124mm","InventoryWarehouseId":"EP","OnHandQuantity":4200,"TotalAvailableQuantity":-6,"AvailableOnHandQuantity":4200,"InventorySiteId":"VEN","dataAreaId":"hgv","ProductColorId":"","ProductConfigurationId":"","ProductSizeId":"","ProductStyleId":""}</t>
  </si>
  <si>
    <t>{"ItemNumber":"884","ProductName":"5566 Doos Obst 2 280x140x130","InventoryWarehouseId":"EP","OnHandQuantity":51081,"TotalAvailableQuantity":83481,"AvailableOnHandQuantity":51081,"InventorySiteId":"VEN","dataAreaId":"hgv","ProductColorId":"","ProductConfigurationId":"","ProductSizeId":"","ProductStyleId":""}</t>
  </si>
  <si>
    <t>{"ItemNumber":"885","ProductName":"4377 Doos AVD LS Pijl 35x23x14","InventoryWarehouseId":"EP","OnHandQuantity":0,"TotalAvailableQuantity":0,"AvailableOnHandQuantity":0,"InventorySiteId":"VEN","dataAreaId":"hgv","ProductColorId":"","ProductConfigurationId":"","ProductSizeId":"","ProductStyleId":""}</t>
  </si>
  <si>
    <t>{"ItemNumber":"886","ProductName":"DS bruin Tacken 495x295x178","InventoryWarehouseId":"EP","OnHandQuantity":15761,"TotalAvailableQuantity":15761,"AvailableOnHandQuantity":15761,"InventorySiteId":"VEN","dataAreaId":"hgv","ProductColorId":"","ProductConfigurationId":"","ProductSizeId":"","ProductStyleId":""}</t>
  </si>
  <si>
    <t>{"ItemNumber":"887","ProductName":"Doos Lidl DE roerbakgroenten 40x30x16","InventoryWarehouseId":"EP","OnHandQuantity":672,"TotalAvailableQuantity":672,"AvailableOnHandQuantity":672,"InventorySiteId":"VEN","dataAreaId":"hgv","ProductColorId":"","ProductConfigurationId":"","ProductSizeId":"","ProductStyleId":""}</t>
  </si>
  <si>
    <t>{"ItemNumber":"888","ProductName":"Doos Salat 2 tbv SS 380x190x144","InventoryWarehouseId":"EP","OnHandQuantity":18736,"TotalAvailableQuantity":34936,"AvailableOnHandQuantity":18736,"InventorySiteId":"VEN","dataAreaId":"hgv","ProductColorId":"","ProductConfigurationId":"","ProductSizeId":"","ProductStyleId":""}</t>
  </si>
  <si>
    <t>Salatschale Schinken &amp; Käse 4*300g</t>
  </si>
  <si>
    <t>Salatschale Caesar 4*300g</t>
  </si>
  <si>
    <t>Salatschale Hänchensalat mit Senf-Dressing 4*300g</t>
  </si>
  <si>
    <t>Salatbeutel Mix 1 6er Netto MD</t>
  </si>
  <si>
    <t>Salatbeutel Mix 2 6er Netto MD</t>
  </si>
  <si>
    <t>Mixkarton Rbg Chin en Ital NETTO 4*400g</t>
  </si>
  <si>
    <t xml:space="preserve">Pastasalat Mixkarton 4*350g Netto MD    </t>
  </si>
  <si>
    <t>EP</t>
  </si>
  <si>
    <t>PP</t>
  </si>
  <si>
    <t>TOTAL:</t>
  </si>
  <si>
    <t>Netto Ganderkesee</t>
  </si>
  <si>
    <t>Netto Henstedt-Ulzburg</t>
  </si>
  <si>
    <t>Netto Hodenhagen</t>
  </si>
  <si>
    <t>Salatschale Hänchensalat mit Sylter-ArtDressing 4*300g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</si>
</sst>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4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0" fillId="6" borderId="0" xfId="0" applyFill="1"/>
    <xf numFmtId="16" fontId="0" fillId="0" borderId="0" xfId="0" applyNumberFormat="1"/>
    <xf numFmtId="0" fontId="5" fillId="0" borderId="0" xfId="0" applyFont="1"/>
    <xf numFmtId="1" fontId="0" fillId="0" borderId="0" xfId="0" applyNumberFormat="1"/>
    <xf numFmtId="0" fontId="1" fillId="0" borderId="2" xfId="0" applyFont="1" applyBorder="1"/>
    <xf numFmtId="2" fontId="0" fillId="0" borderId="0" xfId="0" applyNumberFormat="1" applyAlignment="1">
      <alignment horizontal="left"/>
    </xf>
    <xf numFmtId="0" fontId="3" fillId="0" borderId="2" xfId="0" applyFont="1" applyBorder="1" applyAlignment="1">
      <alignment vertical="center"/>
    </xf>
    <xf numFmtId="0" fontId="2" fillId="0" borderId="2" xfId="0" applyFont="1" applyBorder="1"/>
    <xf numFmtId="0" fontId="1" fillId="2" borderId="2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" fillId="0" borderId="0" xfId="0" applyFont="1"/>
    <xf numFmtId="0" fontId="6" fillId="7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4" fontId="9" fillId="12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4" fontId="0" fillId="0" borderId="0" xfId="0" applyNumberFormat="1"/>
    <xf numFmtId="0" fontId="1" fillId="13" borderId="2" xfId="0" applyFont="1" applyFill="1" applyBorder="1" applyAlignment="1">
      <alignment vertical="center"/>
    </xf>
    <xf numFmtId="0" fontId="11" fillId="14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2" fillId="6" borderId="2" xfId="0" applyFont="1" applyFill="1" applyBorder="1" applyAlignment="1">
      <alignment horizontal="center" vertical="center"/>
    </xf>
    <xf numFmtId="1" fontId="2" fillId="6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/>
    </xf>
    <xf numFmtId="0" fontId="3" fillId="0" borderId="3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4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AA0970-815B-48A4-9392-53FE1CF98578}" name="DataCacheKeyTable" displayName="DataCacheKeyTable" ref="A2:B3" totalsRowShown="0">
  <autoFilter ref="A2:B3" xr:uid="{F8AA0970-815B-48A4-9392-53FE1CF98578}"/>
  <tableColumns count="2">
    <tableColumn id="1" xr3:uid="{4DFA2395-3EAA-4BFA-BEA8-BCC829AB4AE6}" name="Column1"/>
    <tableColumn id="2" xr3:uid="{7CDFCEA3-B9EC-47A0-9154-5EFF232FC3CF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001B57-4F02-4B79-992A-8EC6C02E1AF1}" name="DataCacheDataTable" displayName="DataCacheDataTable" ref="D2:D3527" totalsRowShown="0">
  <autoFilter ref="D2:D3527" xr:uid="{06001B57-4F02-4B79-992A-8EC6C02E1AF1}"/>
  <tableColumns count="1">
    <tableColumn id="1" xr3:uid="{E1CA6663-B270-444C-80F0-F4E536B87F8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A6FCBB-8184-4FB2-9680-E6DB263F0014}">
  <we:reference id="wa104379629" version="1.3.0.0" store="en-US" storeType="OMEX"/>
  <we:alternateReferences>
    <we:reference id="WA104379629" version="1.3.0.0" store="WA104379629" storeType="OMEX"/>
  </we:alternateReferences>
  <we:properties>
    <we:property name="Features" value="{&quot;LogDomEvents&quot;:false,&quot;LogTelemetry&quot;:false,&quot;ResourceHeadersRefresh&quot;:true}"/>
    <we:property name="RuntimeConfig" value="{&quot;HostName&quot;:&quot;https://hessing.operations.eu.dynamics.com&quot;,&quot;Applets&quot;:{&quot;Microsoft.Dynamics.Platform.Integration.Office.DataConnectorApplet&quot;:{&quot;DataOptions&quot;:{&quot;AutoSizeColumns&quot;:true,&quot;RefreshOnOpen&quot;:true,&quot;CellRefreshLimit&quot;:1000000,&quot;ConfirmPublishOnCreate&quot;:false,&quot;ConfirmPublishOnUpdate&quot;:false,&quot;ConfirmPublishOnDelete&quot;:true,&quot;PublishSequentially&quot;:true,&quot;EnableDesign&quot;:true,&quot;EnablePublishOrder&quot;:false,&quot;EnvironmentPublishBatchLimit&quot;:100,&quot;WorkbookPublishBatchLimit&quot;:100},&quot;Bindings&quot;:[],&quot;SectionBindings&quot;:[],&quot;LabelBindings&quot;:[],&quot;ValueBindings&quot;:[],&quot;Entities&quot;:[],&quot;UnboundLabelBindings&quot;:[]}},&quot;ActiveAppletId&quot;:&quot;Microsoft.Dynamics.Platform.Integration.Office.DataConnectorApplet&quot;,&quot;Language&quot;:&quot;EN&quot;,&quot;DocumentId&quot;:&quot;11ad693d-cb08-45be-9345-f87f3858a02a&quot;,&quot;DateCreated&quot;:&quot;2025-01-22T17:13:34.435Z&quot;,&quot;GenerationActivityId&quot;:&quot;&quot;,&quot;Headers&quot;:{}}"/>
  </we:properties>
  <we:bindings>
    <we:binding id="DataCacheKey" type="table" appref="{E2A057DE-FC01-4408-9A12-28B98A3F5ED7}"/>
    <we:binding id="DataCacheData" type="table" appref="{FD5D4730-1D62-41F8-B74D-07C424178589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Q94"/>
  <sheetViews>
    <sheetView tabSelected="1" zoomScale="120" zoomScaleNormal="120" workbookViewId="0">
      <pane ySplit="1" topLeftCell="A2" activePane="bottomLeft" state="frozen"/>
      <selection pane="bottomLeft" activeCell="M16" sqref="M16"/>
    </sheetView>
  </sheetViews>
  <sheetFormatPr defaultColWidth="11.44140625" defaultRowHeight="23.4" x14ac:dyDescent="0.3"/>
  <cols>
    <col min="2" max="2" width="4.6640625" style="1" bestFit="1" customWidth="1"/>
    <col min="3" max="3" width="9.88671875" bestFit="1" customWidth="1"/>
    <col min="4" max="4" width="71.33203125" bestFit="1" customWidth="1"/>
    <col min="5" max="5" width="10" bestFit="1" customWidth="1"/>
    <col min="6" max="7" width="6.109375" bestFit="1" customWidth="1"/>
    <col min="8" max="8" width="6.6640625" bestFit="1" customWidth="1"/>
    <col min="9" max="11" width="6.109375" bestFit="1" customWidth="1"/>
    <col min="13" max="13" width="17" customWidth="1"/>
    <col min="14" max="14" width="20.6640625" customWidth="1"/>
    <col min="15" max="15" width="16.88671875" customWidth="1"/>
    <col min="16" max="16" width="12.109375" bestFit="1" customWidth="1"/>
    <col min="17" max="17" width="13.6640625" bestFit="1" customWidth="1"/>
  </cols>
  <sheetData>
    <row r="1" spans="2:17" ht="24" thickBot="1" x14ac:dyDescent="0.4">
      <c r="B1" s="8"/>
      <c r="C1" s="6" t="s">
        <v>0</v>
      </c>
      <c r="D1" s="6" t="s">
        <v>1</v>
      </c>
      <c r="E1" s="6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Q1" t="s">
        <v>21</v>
      </c>
    </row>
    <row r="2" spans="2:17" ht="20.25" customHeight="1" thickBot="1" x14ac:dyDescent="0.4">
      <c r="B2" s="46" t="s">
        <v>11</v>
      </c>
      <c r="C2" s="9"/>
      <c r="D2" s="9"/>
      <c r="E2" s="37"/>
      <c r="F2" s="40">
        <f>IF(E2&gt;=234,(234),(E2))</f>
        <v>0</v>
      </c>
      <c r="G2" s="40">
        <f>IF(E2&gt;=2*234,(234),(E2-F2))</f>
        <v>0</v>
      </c>
      <c r="H2" s="41">
        <f>IF(E2&gt;=3*234,(234),(E2-F2-G2))</f>
        <v>0</v>
      </c>
      <c r="I2" s="40">
        <f>IF(E2&gt;=4*234,(234),(E2-F2-G2-H2))</f>
        <v>0</v>
      </c>
      <c r="J2" s="40">
        <f>IF(E2&gt;=5*234,(234),(E2-F2-G2-H2-I2))</f>
        <v>0</v>
      </c>
      <c r="K2" s="40">
        <f t="shared" ref="K2" si="0">E2-F2-G2-H2-I2-J2</f>
        <v>0</v>
      </c>
      <c r="L2" s="3"/>
      <c r="M2" s="3"/>
      <c r="P2" s="14">
        <v>322042</v>
      </c>
      <c r="Q2" s="14">
        <f>SUM(E3,E14,E25,E36)</f>
        <v>0</v>
      </c>
    </row>
    <row r="3" spans="2:17" ht="18.600000000000001" thickBot="1" x14ac:dyDescent="0.35">
      <c r="B3" s="46"/>
      <c r="C3" s="11">
        <v>322042</v>
      </c>
      <c r="D3" s="28" t="s">
        <v>3564</v>
      </c>
      <c r="E3" s="37"/>
      <c r="F3" s="40">
        <f t="shared" ref="F3:F43" si="1">IF(E3&gt;=120,(120),(E3))</f>
        <v>0</v>
      </c>
      <c r="G3" s="40">
        <f t="shared" ref="G3:G43" si="2">IF(E3&gt;=2*120,(120),(E3-F3))</f>
        <v>0</v>
      </c>
      <c r="H3" s="41">
        <f t="shared" ref="H3:H43" si="3">IF(E3&gt;=3*120,(120),(E3-F3-G3))</f>
        <v>0</v>
      </c>
      <c r="I3" s="40">
        <f t="shared" ref="I3:I43" si="4">IF(E3&gt;=4*120,(120),(E3-F3-G3-H3))</f>
        <v>0</v>
      </c>
      <c r="J3" s="40">
        <f t="shared" ref="J3:J43" si="5">IF(E3&gt;=5*120,(120),(E3-F3-G3-H3-I3))</f>
        <v>0</v>
      </c>
      <c r="K3" s="40">
        <f t="shared" ref="K3:K43" si="6">E3-F3-G3-H3-I3-J3</f>
        <v>0</v>
      </c>
      <c r="L3" s="3"/>
      <c r="M3" s="3"/>
      <c r="N3" s="5"/>
      <c r="P3" s="14">
        <v>322029</v>
      </c>
      <c r="Q3" s="14">
        <f>SUM(E4,E15,E26,E37,E48)</f>
        <v>0</v>
      </c>
    </row>
    <row r="4" spans="2:17" ht="18.600000000000001" thickBot="1" x14ac:dyDescent="0.35">
      <c r="B4" s="46"/>
      <c r="C4" s="11">
        <v>322029</v>
      </c>
      <c r="D4" s="28" t="s">
        <v>3561</v>
      </c>
      <c r="E4" s="37"/>
      <c r="F4" s="40">
        <f t="shared" si="1"/>
        <v>0</v>
      </c>
      <c r="G4" s="40">
        <f t="shared" si="2"/>
        <v>0</v>
      </c>
      <c r="H4" s="41">
        <f t="shared" si="3"/>
        <v>0</v>
      </c>
      <c r="I4" s="40">
        <f t="shared" si="4"/>
        <v>0</v>
      </c>
      <c r="J4" s="40">
        <f t="shared" si="5"/>
        <v>0</v>
      </c>
      <c r="K4" s="40">
        <f t="shared" si="6"/>
        <v>0</v>
      </c>
      <c r="L4" s="3"/>
      <c r="M4" s="3"/>
      <c r="P4" s="14">
        <v>322030</v>
      </c>
      <c r="Q4" s="14">
        <f>SUM(E5,E16,E27,E38,E49)</f>
        <v>0</v>
      </c>
    </row>
    <row r="5" spans="2:17" ht="18.600000000000001" thickBot="1" x14ac:dyDescent="0.35">
      <c r="B5" s="46"/>
      <c r="C5" s="11">
        <v>322030</v>
      </c>
      <c r="D5" s="28" t="s">
        <v>3562</v>
      </c>
      <c r="E5" s="37"/>
      <c r="F5" s="40">
        <f t="shared" si="1"/>
        <v>0</v>
      </c>
      <c r="G5" s="40">
        <f t="shared" si="2"/>
        <v>0</v>
      </c>
      <c r="H5" s="41">
        <f t="shared" si="3"/>
        <v>0</v>
      </c>
      <c r="I5" s="40">
        <f t="shared" si="4"/>
        <v>0</v>
      </c>
      <c r="J5" s="40">
        <f t="shared" si="5"/>
        <v>0</v>
      </c>
      <c r="K5" s="40">
        <f t="shared" si="6"/>
        <v>0</v>
      </c>
      <c r="L5" s="3"/>
      <c r="M5" s="7"/>
      <c r="P5" s="14">
        <v>322041</v>
      </c>
      <c r="Q5" s="14">
        <f>SUM(E6,E17,E28,E39,E50)</f>
        <v>0</v>
      </c>
    </row>
    <row r="6" spans="2:17" ht="18.600000000000001" thickBot="1" x14ac:dyDescent="0.35">
      <c r="B6" s="46"/>
      <c r="C6" s="11">
        <v>322041</v>
      </c>
      <c r="D6" s="28" t="s">
        <v>3558</v>
      </c>
      <c r="E6" s="37"/>
      <c r="F6" s="40">
        <f t="shared" si="1"/>
        <v>0</v>
      </c>
      <c r="G6" s="40">
        <f t="shared" si="2"/>
        <v>0</v>
      </c>
      <c r="H6" s="41">
        <f t="shared" si="3"/>
        <v>0</v>
      </c>
      <c r="I6" s="40">
        <f t="shared" si="4"/>
        <v>0</v>
      </c>
      <c r="J6" s="40">
        <f t="shared" si="5"/>
        <v>0</v>
      </c>
      <c r="K6" s="40">
        <f t="shared" si="6"/>
        <v>0</v>
      </c>
      <c r="L6" s="3"/>
      <c r="M6" s="3"/>
      <c r="P6" s="14">
        <v>322039</v>
      </c>
      <c r="Q6" s="14">
        <f>SUM(E7,E18,E29,E40,E51)</f>
        <v>0</v>
      </c>
    </row>
    <row r="7" spans="2:17" ht="18.600000000000001" thickBot="1" x14ac:dyDescent="0.35">
      <c r="B7" s="46"/>
      <c r="C7" s="11">
        <v>322039</v>
      </c>
      <c r="D7" s="28" t="s">
        <v>3559</v>
      </c>
      <c r="E7" s="37"/>
      <c r="F7" s="40">
        <f t="shared" si="1"/>
        <v>0</v>
      </c>
      <c r="G7" s="40">
        <f t="shared" si="2"/>
        <v>0</v>
      </c>
      <c r="H7" s="41">
        <f t="shared" si="3"/>
        <v>0</v>
      </c>
      <c r="I7" s="40">
        <f t="shared" si="4"/>
        <v>0</v>
      </c>
      <c r="J7" s="40">
        <f t="shared" si="5"/>
        <v>0</v>
      </c>
      <c r="K7" s="40">
        <f t="shared" si="6"/>
        <v>0</v>
      </c>
      <c r="L7" s="3"/>
      <c r="M7" s="3"/>
      <c r="P7" s="14">
        <v>322040</v>
      </c>
      <c r="Q7" s="14">
        <f>SUM(E8,E19,E30,E41,E52)</f>
        <v>0</v>
      </c>
    </row>
    <row r="8" spans="2:17" ht="18.600000000000001" thickBot="1" x14ac:dyDescent="0.35">
      <c r="B8" s="46"/>
      <c r="C8" s="11">
        <v>322040</v>
      </c>
      <c r="D8" s="28" t="s">
        <v>3560</v>
      </c>
      <c r="E8" s="37"/>
      <c r="F8" s="40">
        <f t="shared" si="1"/>
        <v>0</v>
      </c>
      <c r="G8" s="40">
        <f t="shared" si="2"/>
        <v>0</v>
      </c>
      <c r="H8" s="41">
        <f t="shared" si="3"/>
        <v>0</v>
      </c>
      <c r="I8" s="40">
        <f t="shared" si="4"/>
        <v>0</v>
      </c>
      <c r="J8" s="40">
        <f t="shared" si="5"/>
        <v>0</v>
      </c>
      <c r="K8" s="40">
        <f t="shared" si="6"/>
        <v>0</v>
      </c>
      <c r="L8" s="3"/>
      <c r="M8" s="3"/>
      <c r="P8" s="14">
        <v>322032</v>
      </c>
      <c r="Q8" s="14">
        <f>SUM(E9,E20,E31,E42)</f>
        <v>0</v>
      </c>
    </row>
    <row r="9" spans="2:17" ht="18.600000000000001" thickBot="1" x14ac:dyDescent="0.35">
      <c r="B9" s="46"/>
      <c r="C9" s="11">
        <v>322032</v>
      </c>
      <c r="D9" s="28" t="s">
        <v>3563</v>
      </c>
      <c r="E9" s="37"/>
      <c r="F9" s="40">
        <f t="shared" si="1"/>
        <v>0</v>
      </c>
      <c r="G9" s="40">
        <f t="shared" si="2"/>
        <v>0</v>
      </c>
      <c r="H9" s="41">
        <f t="shared" si="3"/>
        <v>0</v>
      </c>
      <c r="I9" s="40">
        <f t="shared" si="4"/>
        <v>0</v>
      </c>
      <c r="J9" s="40">
        <f t="shared" si="5"/>
        <v>0</v>
      </c>
      <c r="K9" s="40">
        <f t="shared" si="6"/>
        <v>0</v>
      </c>
      <c r="P9" s="14">
        <v>322014</v>
      </c>
      <c r="Q9" s="14">
        <f>SUM(E52,E62,E72)</f>
        <v>0</v>
      </c>
    </row>
    <row r="10" spans="2:17" ht="18.600000000000001" thickBot="1" x14ac:dyDescent="0.35">
      <c r="B10" s="46"/>
      <c r="C10" s="13"/>
      <c r="D10" s="13"/>
      <c r="E10" s="37"/>
      <c r="F10" s="40">
        <f t="shared" si="1"/>
        <v>0</v>
      </c>
      <c r="G10" s="40">
        <f t="shared" si="2"/>
        <v>0</v>
      </c>
      <c r="H10" s="41">
        <f t="shared" si="3"/>
        <v>0</v>
      </c>
      <c r="I10" s="40">
        <f t="shared" si="4"/>
        <v>0</v>
      </c>
      <c r="J10" s="40">
        <f t="shared" si="5"/>
        <v>0</v>
      </c>
      <c r="K10" s="40">
        <f t="shared" si="6"/>
        <v>0</v>
      </c>
      <c r="P10" s="14" t="s">
        <v>20</v>
      </c>
      <c r="Q10" s="14">
        <f>SUM(C12,C23,C34,C45,C54,C64,C74)</f>
        <v>0</v>
      </c>
    </row>
    <row r="11" spans="2:17" ht="24" thickBot="1" x14ac:dyDescent="0.5">
      <c r="B11" s="46"/>
      <c r="C11" s="27"/>
      <c r="D11" s="42" t="s">
        <v>20</v>
      </c>
      <c r="E11" s="42"/>
      <c r="F11" s="42"/>
      <c r="G11" s="42"/>
      <c r="H11" s="42"/>
      <c r="I11" s="42"/>
      <c r="J11" s="42"/>
      <c r="K11" s="42"/>
      <c r="P11" s="14" t="s">
        <v>19</v>
      </c>
      <c r="Q11" s="14">
        <f>SUM(C12,C23,C34,C45,C55,C65,C75)</f>
        <v>0</v>
      </c>
    </row>
    <row r="12" spans="2:17" ht="24" thickBot="1" x14ac:dyDescent="0.5">
      <c r="B12" s="46"/>
      <c r="C12" s="27"/>
      <c r="D12" s="42" t="s">
        <v>19</v>
      </c>
      <c r="E12" s="42"/>
      <c r="F12" s="42"/>
      <c r="G12" s="42"/>
      <c r="H12" s="42"/>
      <c r="I12" s="42"/>
      <c r="J12" s="42"/>
      <c r="K12" s="42"/>
      <c r="N12" s="36"/>
      <c r="P12" s="14"/>
      <c r="Q12" s="14"/>
    </row>
    <row r="13" spans="2:17" ht="20.25" customHeight="1" thickBot="1" x14ac:dyDescent="0.4">
      <c r="B13" s="46" t="s">
        <v>9</v>
      </c>
      <c r="C13" s="11"/>
      <c r="D13" s="9"/>
      <c r="E13" s="37"/>
      <c r="F13" s="11">
        <f>IF(E13&gt;=234,(234),(E13))</f>
        <v>0</v>
      </c>
      <c r="G13" s="11">
        <f>IF(E13&gt;=2*234,(234),(E13-F13))</f>
        <v>0</v>
      </c>
      <c r="H13" s="12">
        <f>IF(E13&gt;=3*234,(234),(E13-F13-G13))</f>
        <v>0</v>
      </c>
      <c r="I13" s="11">
        <f>IF(E13&gt;=4*234,(234),(E13-F13-G13-H13))</f>
        <v>0</v>
      </c>
      <c r="J13" s="11">
        <f>IF(E13&gt;=5*234,(234),(E13-F13-G13-H13-I13))</f>
        <v>0</v>
      </c>
      <c r="K13" s="11">
        <f t="shared" si="6"/>
        <v>0</v>
      </c>
      <c r="L13" s="3"/>
      <c r="M13" s="3"/>
    </row>
    <row r="14" spans="2:17" ht="18.600000000000001" thickBot="1" x14ac:dyDescent="0.35">
      <c r="B14" s="46"/>
      <c r="C14" s="11">
        <v>322042</v>
      </c>
      <c r="D14" s="28" t="s">
        <v>3564</v>
      </c>
      <c r="E14" s="37"/>
      <c r="F14" s="11">
        <f t="shared" si="1"/>
        <v>0</v>
      </c>
      <c r="G14" s="11">
        <f t="shared" si="2"/>
        <v>0</v>
      </c>
      <c r="H14" s="12">
        <f t="shared" si="3"/>
        <v>0</v>
      </c>
      <c r="I14" s="11">
        <f t="shared" si="4"/>
        <v>0</v>
      </c>
      <c r="J14" s="11">
        <f t="shared" si="5"/>
        <v>0</v>
      </c>
      <c r="K14" s="11">
        <f t="shared" si="6"/>
        <v>0</v>
      </c>
      <c r="L14" s="3"/>
      <c r="M14" s="3"/>
    </row>
    <row r="15" spans="2:17" ht="18.600000000000001" thickBot="1" x14ac:dyDescent="0.35">
      <c r="B15" s="46"/>
      <c r="C15" s="11">
        <v>322029</v>
      </c>
      <c r="D15" s="28" t="s">
        <v>3561</v>
      </c>
      <c r="E15" s="37"/>
      <c r="F15" s="11">
        <f t="shared" si="1"/>
        <v>0</v>
      </c>
      <c r="G15" s="11">
        <f t="shared" si="2"/>
        <v>0</v>
      </c>
      <c r="H15" s="12">
        <f t="shared" si="3"/>
        <v>0</v>
      </c>
      <c r="I15" s="11">
        <f t="shared" si="4"/>
        <v>0</v>
      </c>
      <c r="J15" s="11">
        <f t="shared" si="5"/>
        <v>0</v>
      </c>
      <c r="K15" s="11">
        <f t="shared" si="6"/>
        <v>0</v>
      </c>
      <c r="L15" s="3"/>
      <c r="M15" s="3"/>
    </row>
    <row r="16" spans="2:17" ht="20.25" customHeight="1" thickBot="1" x14ac:dyDescent="0.35">
      <c r="B16" s="46"/>
      <c r="C16" s="11">
        <v>322030</v>
      </c>
      <c r="D16" s="28" t="s">
        <v>3562</v>
      </c>
      <c r="E16" s="37"/>
      <c r="F16" s="11">
        <f t="shared" si="1"/>
        <v>0</v>
      </c>
      <c r="G16" s="11">
        <f t="shared" si="2"/>
        <v>0</v>
      </c>
      <c r="H16" s="12">
        <f t="shared" si="3"/>
        <v>0</v>
      </c>
      <c r="I16" s="11">
        <f t="shared" si="4"/>
        <v>0</v>
      </c>
      <c r="J16" s="11">
        <f t="shared" si="5"/>
        <v>0</v>
      </c>
      <c r="K16" s="11">
        <f t="shared" si="6"/>
        <v>0</v>
      </c>
      <c r="L16" s="3"/>
      <c r="M16" s="3"/>
    </row>
    <row r="17" spans="2:13" ht="18.600000000000001" thickBot="1" x14ac:dyDescent="0.35">
      <c r="B17" s="46"/>
      <c r="C17" s="11">
        <v>322041</v>
      </c>
      <c r="D17" s="28" t="s">
        <v>3558</v>
      </c>
      <c r="E17" s="37"/>
      <c r="F17" s="11">
        <f t="shared" si="1"/>
        <v>0</v>
      </c>
      <c r="G17" s="11">
        <f t="shared" si="2"/>
        <v>0</v>
      </c>
      <c r="H17" s="12">
        <f t="shared" si="3"/>
        <v>0</v>
      </c>
      <c r="I17" s="11">
        <f t="shared" si="4"/>
        <v>0</v>
      </c>
      <c r="J17" s="11">
        <f t="shared" si="5"/>
        <v>0</v>
      </c>
      <c r="K17" s="11">
        <f t="shared" si="6"/>
        <v>0</v>
      </c>
      <c r="L17" s="3"/>
      <c r="M17" s="3"/>
    </row>
    <row r="18" spans="2:13" ht="18.600000000000001" thickBot="1" x14ac:dyDescent="0.35">
      <c r="B18" s="46"/>
      <c r="C18" s="11">
        <v>322039</v>
      </c>
      <c r="D18" s="28" t="s">
        <v>3559</v>
      </c>
      <c r="E18" s="37"/>
      <c r="F18" s="11">
        <f t="shared" si="1"/>
        <v>0</v>
      </c>
      <c r="G18" s="11">
        <f t="shared" si="2"/>
        <v>0</v>
      </c>
      <c r="H18" s="12">
        <f t="shared" si="3"/>
        <v>0</v>
      </c>
      <c r="I18" s="11">
        <f t="shared" si="4"/>
        <v>0</v>
      </c>
      <c r="J18" s="11">
        <f t="shared" si="5"/>
        <v>0</v>
      </c>
      <c r="K18" s="11">
        <f t="shared" si="6"/>
        <v>0</v>
      </c>
      <c r="L18" s="3"/>
      <c r="M18" s="3"/>
    </row>
    <row r="19" spans="2:13" ht="18.600000000000001" thickBot="1" x14ac:dyDescent="0.35">
      <c r="B19" s="46"/>
      <c r="C19" s="11">
        <v>322040</v>
      </c>
      <c r="D19" s="28" t="s">
        <v>3560</v>
      </c>
      <c r="E19" s="37"/>
      <c r="F19" s="11">
        <f t="shared" si="1"/>
        <v>0</v>
      </c>
      <c r="G19" s="11">
        <f t="shared" si="2"/>
        <v>0</v>
      </c>
      <c r="H19" s="12">
        <f t="shared" si="3"/>
        <v>0</v>
      </c>
      <c r="I19" s="11">
        <f t="shared" si="4"/>
        <v>0</v>
      </c>
      <c r="J19" s="11">
        <f t="shared" si="5"/>
        <v>0</v>
      </c>
      <c r="K19" s="11">
        <f t="shared" si="6"/>
        <v>0</v>
      </c>
      <c r="L19" s="3"/>
      <c r="M19" s="3"/>
    </row>
    <row r="20" spans="2:13" ht="18.600000000000001" thickBot="1" x14ac:dyDescent="0.35">
      <c r="B20" s="46"/>
      <c r="C20" s="11">
        <v>322032</v>
      </c>
      <c r="D20" s="28" t="s">
        <v>3563</v>
      </c>
      <c r="E20" s="37"/>
      <c r="F20" s="11">
        <f t="shared" si="1"/>
        <v>0</v>
      </c>
      <c r="G20" s="11">
        <f t="shared" si="2"/>
        <v>0</v>
      </c>
      <c r="H20" s="12">
        <f t="shared" si="3"/>
        <v>0</v>
      </c>
      <c r="I20" s="11">
        <f t="shared" si="4"/>
        <v>0</v>
      </c>
      <c r="J20" s="11">
        <f t="shared" si="5"/>
        <v>0</v>
      </c>
      <c r="K20" s="11">
        <f t="shared" si="6"/>
        <v>0</v>
      </c>
      <c r="L20" s="3"/>
      <c r="M20" s="3"/>
    </row>
    <row r="21" spans="2:13" ht="18.600000000000001" thickBot="1" x14ac:dyDescent="0.35">
      <c r="B21" s="46"/>
      <c r="C21" s="13"/>
      <c r="D21" s="13"/>
      <c r="E21" s="37"/>
      <c r="F21" s="11">
        <f t="shared" si="1"/>
        <v>0</v>
      </c>
      <c r="G21" s="11">
        <f t="shared" si="2"/>
        <v>0</v>
      </c>
      <c r="H21" s="12">
        <f t="shared" si="3"/>
        <v>0</v>
      </c>
      <c r="I21" s="11">
        <f t="shared" si="4"/>
        <v>0</v>
      </c>
      <c r="J21" s="11">
        <f t="shared" si="5"/>
        <v>0</v>
      </c>
      <c r="K21" s="11">
        <f t="shared" si="6"/>
        <v>0</v>
      </c>
    </row>
    <row r="22" spans="2:13" ht="24" thickBot="1" x14ac:dyDescent="0.5">
      <c r="B22" s="46"/>
      <c r="C22" s="27"/>
      <c r="D22" s="42" t="s">
        <v>20</v>
      </c>
      <c r="E22" s="42"/>
      <c r="F22" s="42"/>
      <c r="G22" s="42"/>
      <c r="H22" s="42"/>
      <c r="I22" s="42"/>
      <c r="J22" s="42"/>
      <c r="K22" s="42"/>
    </row>
    <row r="23" spans="2:13" ht="24" thickBot="1" x14ac:dyDescent="0.5">
      <c r="B23" s="46"/>
      <c r="C23" s="27"/>
      <c r="D23" s="42" t="s">
        <v>19</v>
      </c>
      <c r="E23" s="42"/>
      <c r="F23" s="42"/>
      <c r="G23" s="42"/>
      <c r="H23" s="42"/>
      <c r="I23" s="42"/>
      <c r="J23" s="42"/>
      <c r="K23" s="42"/>
    </row>
    <row r="24" spans="2:13" ht="20.25" customHeight="1" thickBot="1" x14ac:dyDescent="0.4">
      <c r="B24" s="46" t="s">
        <v>12</v>
      </c>
      <c r="C24" s="9"/>
      <c r="D24" s="9"/>
      <c r="E24" s="37"/>
      <c r="F24" s="11">
        <f>IF(E24&gt;=234,(234),(E24))</f>
        <v>0</v>
      </c>
      <c r="G24" s="11">
        <f>IF(E24&gt;=2*234,(234),(E24-F24))</f>
        <v>0</v>
      </c>
      <c r="H24" s="12">
        <f>IF(E24&gt;=3*234,(234),(E24-F24-G24))</f>
        <v>0</v>
      </c>
      <c r="I24" s="11">
        <f>IF(E24&gt;=4*234,(234),(E24-F24-G24-H24))</f>
        <v>0</v>
      </c>
      <c r="J24" s="11">
        <f>IF(E24&gt;=5*234,(234),(E24-F24-G24-H24-I24))</f>
        <v>0</v>
      </c>
      <c r="K24" s="11">
        <f t="shared" si="6"/>
        <v>0</v>
      </c>
      <c r="L24" s="3"/>
    </row>
    <row r="25" spans="2:13" ht="18.600000000000001" thickBot="1" x14ac:dyDescent="0.35">
      <c r="B25" s="46"/>
      <c r="C25" s="11">
        <v>322042</v>
      </c>
      <c r="D25" s="28" t="s">
        <v>3564</v>
      </c>
      <c r="E25" s="37"/>
      <c r="F25" s="11">
        <f t="shared" si="1"/>
        <v>0</v>
      </c>
      <c r="G25" s="11">
        <f t="shared" si="2"/>
        <v>0</v>
      </c>
      <c r="H25" s="12">
        <f t="shared" si="3"/>
        <v>0</v>
      </c>
      <c r="I25" s="11">
        <f t="shared" si="4"/>
        <v>0</v>
      </c>
      <c r="J25" s="11">
        <f t="shared" si="5"/>
        <v>0</v>
      </c>
      <c r="K25" s="11">
        <f t="shared" si="6"/>
        <v>0</v>
      </c>
      <c r="L25" s="3"/>
    </row>
    <row r="26" spans="2:13" ht="18.600000000000001" thickBot="1" x14ac:dyDescent="0.35">
      <c r="B26" s="46"/>
      <c r="C26" s="11">
        <v>322029</v>
      </c>
      <c r="D26" s="28" t="s">
        <v>3561</v>
      </c>
      <c r="E26" s="37"/>
      <c r="F26" s="11">
        <f t="shared" si="1"/>
        <v>0</v>
      </c>
      <c r="G26" s="11">
        <f t="shared" si="2"/>
        <v>0</v>
      </c>
      <c r="H26" s="12">
        <f t="shared" si="3"/>
        <v>0</v>
      </c>
      <c r="I26" s="11">
        <f t="shared" si="4"/>
        <v>0</v>
      </c>
      <c r="J26" s="11">
        <f t="shared" si="5"/>
        <v>0</v>
      </c>
      <c r="K26" s="11">
        <f t="shared" si="6"/>
        <v>0</v>
      </c>
      <c r="L26" s="3"/>
    </row>
    <row r="27" spans="2:13" ht="18.600000000000001" thickBot="1" x14ac:dyDescent="0.35">
      <c r="B27" s="46"/>
      <c r="C27" s="11">
        <v>322030</v>
      </c>
      <c r="D27" s="28" t="s">
        <v>3562</v>
      </c>
      <c r="E27" s="37"/>
      <c r="F27" s="11">
        <f t="shared" si="1"/>
        <v>0</v>
      </c>
      <c r="G27" s="11">
        <f t="shared" si="2"/>
        <v>0</v>
      </c>
      <c r="H27" s="12">
        <f t="shared" si="3"/>
        <v>0</v>
      </c>
      <c r="I27" s="11">
        <f t="shared" si="4"/>
        <v>0</v>
      </c>
      <c r="J27" s="11">
        <f t="shared" si="5"/>
        <v>0</v>
      </c>
      <c r="K27" s="11">
        <f t="shared" si="6"/>
        <v>0</v>
      </c>
      <c r="L27" s="3"/>
    </row>
    <row r="28" spans="2:13" ht="18.600000000000001" thickBot="1" x14ac:dyDescent="0.35">
      <c r="B28" s="46"/>
      <c r="C28" s="11">
        <v>322041</v>
      </c>
      <c r="D28" s="28" t="s">
        <v>3558</v>
      </c>
      <c r="E28" s="37"/>
      <c r="F28" s="11">
        <f t="shared" si="1"/>
        <v>0</v>
      </c>
      <c r="G28" s="11">
        <f t="shared" si="2"/>
        <v>0</v>
      </c>
      <c r="H28" s="12">
        <f t="shared" si="3"/>
        <v>0</v>
      </c>
      <c r="I28" s="11">
        <f t="shared" si="4"/>
        <v>0</v>
      </c>
      <c r="J28" s="11">
        <f t="shared" si="5"/>
        <v>0</v>
      </c>
      <c r="K28" s="11">
        <f t="shared" si="6"/>
        <v>0</v>
      </c>
      <c r="L28" s="3"/>
    </row>
    <row r="29" spans="2:13" ht="23.25" customHeight="1" thickBot="1" x14ac:dyDescent="0.35">
      <c r="B29" s="46"/>
      <c r="C29" s="11">
        <v>322039</v>
      </c>
      <c r="D29" s="28" t="s">
        <v>3559</v>
      </c>
      <c r="E29" s="37"/>
      <c r="F29" s="11">
        <f t="shared" si="1"/>
        <v>0</v>
      </c>
      <c r="G29" s="11">
        <f t="shared" si="2"/>
        <v>0</v>
      </c>
      <c r="H29" s="12">
        <f t="shared" si="3"/>
        <v>0</v>
      </c>
      <c r="I29" s="11">
        <f t="shared" si="4"/>
        <v>0</v>
      </c>
      <c r="J29" s="11">
        <f t="shared" si="5"/>
        <v>0</v>
      </c>
      <c r="K29" s="11">
        <f t="shared" si="6"/>
        <v>0</v>
      </c>
      <c r="L29" s="3"/>
      <c r="M29" s="36"/>
    </row>
    <row r="30" spans="2:13" ht="18.600000000000001" thickBot="1" x14ac:dyDescent="0.35">
      <c r="B30" s="46"/>
      <c r="C30" s="11">
        <v>322040</v>
      </c>
      <c r="D30" s="28" t="s">
        <v>3560</v>
      </c>
      <c r="E30" s="37"/>
      <c r="F30" s="11">
        <f t="shared" si="1"/>
        <v>0</v>
      </c>
      <c r="G30" s="11">
        <f t="shared" si="2"/>
        <v>0</v>
      </c>
      <c r="H30" s="12">
        <f t="shared" si="3"/>
        <v>0</v>
      </c>
      <c r="I30" s="11">
        <f t="shared" si="4"/>
        <v>0</v>
      </c>
      <c r="J30" s="11">
        <f t="shared" si="5"/>
        <v>0</v>
      </c>
      <c r="K30" s="11">
        <f t="shared" si="6"/>
        <v>0</v>
      </c>
      <c r="L30" s="3"/>
    </row>
    <row r="31" spans="2:13" ht="18.600000000000001" thickBot="1" x14ac:dyDescent="0.35">
      <c r="B31" s="46"/>
      <c r="C31" s="11">
        <v>322032</v>
      </c>
      <c r="D31" s="28" t="s">
        <v>3563</v>
      </c>
      <c r="E31" s="37"/>
      <c r="F31" s="11">
        <f t="shared" si="1"/>
        <v>0</v>
      </c>
      <c r="G31" s="11">
        <f t="shared" si="2"/>
        <v>0</v>
      </c>
      <c r="H31" s="12">
        <f t="shared" si="3"/>
        <v>0</v>
      </c>
      <c r="I31" s="11">
        <f t="shared" si="4"/>
        <v>0</v>
      </c>
      <c r="J31" s="11">
        <f t="shared" si="5"/>
        <v>0</v>
      </c>
      <c r="K31" s="11">
        <f t="shared" si="6"/>
        <v>0</v>
      </c>
    </row>
    <row r="32" spans="2:13" ht="18.600000000000001" thickBot="1" x14ac:dyDescent="0.35">
      <c r="B32" s="46"/>
      <c r="C32" s="13"/>
      <c r="D32" s="13"/>
      <c r="E32" s="37"/>
      <c r="F32" s="11">
        <f t="shared" si="1"/>
        <v>0</v>
      </c>
      <c r="G32" s="11">
        <f t="shared" si="2"/>
        <v>0</v>
      </c>
      <c r="H32" s="12">
        <f t="shared" si="3"/>
        <v>0</v>
      </c>
      <c r="I32" s="11">
        <f t="shared" si="4"/>
        <v>0</v>
      </c>
      <c r="J32" s="11">
        <f t="shared" si="5"/>
        <v>0</v>
      </c>
      <c r="K32" s="11">
        <f t="shared" si="6"/>
        <v>0</v>
      </c>
    </row>
    <row r="33" spans="2:13" ht="24" thickBot="1" x14ac:dyDescent="0.5">
      <c r="B33" s="46"/>
      <c r="C33" s="27"/>
      <c r="D33" s="42" t="s">
        <v>20</v>
      </c>
      <c r="E33" s="42"/>
      <c r="F33" s="42"/>
      <c r="G33" s="42"/>
      <c r="H33" s="42"/>
      <c r="I33" s="42"/>
      <c r="J33" s="42"/>
      <c r="K33" s="42"/>
    </row>
    <row r="34" spans="2:13" ht="24" thickBot="1" x14ac:dyDescent="0.5">
      <c r="B34" s="46"/>
      <c r="C34" s="27"/>
      <c r="D34" s="42" t="s">
        <v>19</v>
      </c>
      <c r="E34" s="42"/>
      <c r="F34" s="42"/>
      <c r="G34" s="42"/>
      <c r="H34" s="42"/>
      <c r="I34" s="42"/>
      <c r="J34" s="42"/>
      <c r="K34" s="42"/>
    </row>
    <row r="35" spans="2:13" ht="20.25" customHeight="1" thickBot="1" x14ac:dyDescent="0.4">
      <c r="B35" s="46" t="s">
        <v>13</v>
      </c>
      <c r="C35" s="9"/>
      <c r="D35" s="9"/>
      <c r="E35" s="37"/>
      <c r="F35" s="11">
        <f>IF(E35&gt;=234,(234),(E35))</f>
        <v>0</v>
      </c>
      <c r="G35" s="11">
        <f>IF(E35&gt;=2*234,(234),(E35-F35))</f>
        <v>0</v>
      </c>
      <c r="H35" s="12">
        <f>IF(E35&gt;=3*234,(234),(E35-F35-G35))</f>
        <v>0</v>
      </c>
      <c r="I35" s="11">
        <f>IF(E35&gt;=4*234,(234),(E35-F35-G35-H35))</f>
        <v>0</v>
      </c>
      <c r="J35" s="11">
        <f>IF(E35&gt;=5*234,(234),(E35-F35-G35-H35-I35))</f>
        <v>0</v>
      </c>
      <c r="K35" s="11">
        <f t="shared" si="6"/>
        <v>0</v>
      </c>
      <c r="L35" s="3"/>
    </row>
    <row r="36" spans="2:13" ht="18.600000000000001" thickBot="1" x14ac:dyDescent="0.35">
      <c r="B36" s="46"/>
      <c r="C36" s="11">
        <v>322042</v>
      </c>
      <c r="D36" s="28" t="s">
        <v>3564</v>
      </c>
      <c r="E36" s="37"/>
      <c r="F36" s="11">
        <f t="shared" si="1"/>
        <v>0</v>
      </c>
      <c r="G36" s="11">
        <f t="shared" si="2"/>
        <v>0</v>
      </c>
      <c r="H36" s="12">
        <f t="shared" si="3"/>
        <v>0</v>
      </c>
      <c r="I36" s="11">
        <f t="shared" si="4"/>
        <v>0</v>
      </c>
      <c r="J36" s="11">
        <f t="shared" si="5"/>
        <v>0</v>
      </c>
      <c r="K36" s="11">
        <f t="shared" si="6"/>
        <v>0</v>
      </c>
      <c r="L36" s="3"/>
    </row>
    <row r="37" spans="2:13" ht="18.600000000000001" thickBot="1" x14ac:dyDescent="0.35">
      <c r="B37" s="46"/>
      <c r="C37" s="11">
        <v>322029</v>
      </c>
      <c r="D37" s="28" t="s">
        <v>3561</v>
      </c>
      <c r="E37" s="37"/>
      <c r="F37" s="11">
        <f t="shared" si="1"/>
        <v>0</v>
      </c>
      <c r="G37" s="11">
        <f t="shared" si="2"/>
        <v>0</v>
      </c>
      <c r="H37" s="12">
        <f t="shared" si="3"/>
        <v>0</v>
      </c>
      <c r="I37" s="11">
        <f t="shared" si="4"/>
        <v>0</v>
      </c>
      <c r="J37" s="11">
        <f t="shared" si="5"/>
        <v>0</v>
      </c>
      <c r="K37" s="11">
        <f t="shared" si="6"/>
        <v>0</v>
      </c>
      <c r="L37" s="3"/>
      <c r="M37" s="3"/>
    </row>
    <row r="38" spans="2:13" ht="18.600000000000001" thickBot="1" x14ac:dyDescent="0.35">
      <c r="B38" s="46"/>
      <c r="C38" s="11">
        <v>322030</v>
      </c>
      <c r="D38" s="28" t="s">
        <v>3562</v>
      </c>
      <c r="E38" s="37"/>
      <c r="F38" s="11">
        <f t="shared" si="1"/>
        <v>0</v>
      </c>
      <c r="G38" s="11">
        <f t="shared" si="2"/>
        <v>0</v>
      </c>
      <c r="H38" s="12">
        <f t="shared" si="3"/>
        <v>0</v>
      </c>
      <c r="I38" s="11">
        <f t="shared" si="4"/>
        <v>0</v>
      </c>
      <c r="J38" s="11">
        <f t="shared" si="5"/>
        <v>0</v>
      </c>
      <c r="K38" s="11">
        <f t="shared" si="6"/>
        <v>0</v>
      </c>
      <c r="L38" s="3"/>
      <c r="M38" s="3"/>
    </row>
    <row r="39" spans="2:13" ht="18.600000000000001" thickBot="1" x14ac:dyDescent="0.35">
      <c r="B39" s="46"/>
      <c r="C39" s="11">
        <v>322041</v>
      </c>
      <c r="D39" s="28" t="s">
        <v>3558</v>
      </c>
      <c r="E39" s="37"/>
      <c r="F39" s="11">
        <f t="shared" si="1"/>
        <v>0</v>
      </c>
      <c r="G39" s="11">
        <f t="shared" si="2"/>
        <v>0</v>
      </c>
      <c r="H39" s="12">
        <f t="shared" si="3"/>
        <v>0</v>
      </c>
      <c r="I39" s="11">
        <f t="shared" si="4"/>
        <v>0</v>
      </c>
      <c r="J39" s="11">
        <f t="shared" si="5"/>
        <v>0</v>
      </c>
      <c r="K39" s="11">
        <f t="shared" si="6"/>
        <v>0</v>
      </c>
      <c r="L39" s="3"/>
    </row>
    <row r="40" spans="2:13" ht="18.600000000000001" thickBot="1" x14ac:dyDescent="0.35">
      <c r="B40" s="46"/>
      <c r="C40" s="11">
        <v>322039</v>
      </c>
      <c r="D40" s="28" t="s">
        <v>3559</v>
      </c>
      <c r="E40" s="37"/>
      <c r="F40" s="11">
        <f t="shared" si="1"/>
        <v>0</v>
      </c>
      <c r="G40" s="11">
        <f t="shared" si="2"/>
        <v>0</v>
      </c>
      <c r="H40" s="12">
        <f t="shared" si="3"/>
        <v>0</v>
      </c>
      <c r="I40" s="11">
        <f t="shared" si="4"/>
        <v>0</v>
      </c>
      <c r="J40" s="11">
        <f t="shared" si="5"/>
        <v>0</v>
      </c>
      <c r="K40" s="11">
        <f t="shared" si="6"/>
        <v>0</v>
      </c>
      <c r="L40" s="3"/>
    </row>
    <row r="41" spans="2:13" ht="18.600000000000001" thickBot="1" x14ac:dyDescent="0.35">
      <c r="B41" s="46"/>
      <c r="C41" s="11">
        <v>322040</v>
      </c>
      <c r="D41" s="28" t="s">
        <v>3560</v>
      </c>
      <c r="E41" s="37"/>
      <c r="F41" s="11">
        <f t="shared" si="1"/>
        <v>0</v>
      </c>
      <c r="G41" s="11">
        <f t="shared" si="2"/>
        <v>0</v>
      </c>
      <c r="H41" s="12">
        <f t="shared" si="3"/>
        <v>0</v>
      </c>
      <c r="I41" s="11">
        <f t="shared" si="4"/>
        <v>0</v>
      </c>
      <c r="J41" s="11">
        <f t="shared" si="5"/>
        <v>0</v>
      </c>
      <c r="K41" s="11">
        <f t="shared" si="6"/>
        <v>0</v>
      </c>
      <c r="L41" s="3"/>
    </row>
    <row r="42" spans="2:13" ht="18.600000000000001" thickBot="1" x14ac:dyDescent="0.35">
      <c r="B42" s="46"/>
      <c r="C42" s="11">
        <v>322032</v>
      </c>
      <c r="D42" s="28" t="s">
        <v>3563</v>
      </c>
      <c r="E42" s="37"/>
      <c r="F42" s="11">
        <f>IF(E42&gt;=120,(120),(E42))</f>
        <v>0</v>
      </c>
      <c r="G42" s="11">
        <f t="shared" si="2"/>
        <v>0</v>
      </c>
      <c r="H42" s="12">
        <f t="shared" si="3"/>
        <v>0</v>
      </c>
      <c r="I42" s="11">
        <f t="shared" si="4"/>
        <v>0</v>
      </c>
      <c r="J42" s="11">
        <f t="shared" si="5"/>
        <v>0</v>
      </c>
      <c r="K42" s="11">
        <f t="shared" si="6"/>
        <v>0</v>
      </c>
      <c r="L42" s="3"/>
      <c r="M42" s="36"/>
    </row>
    <row r="43" spans="2:13" ht="18.600000000000001" thickBot="1" x14ac:dyDescent="0.35">
      <c r="B43" s="46"/>
      <c r="C43" s="13"/>
      <c r="D43" s="13"/>
      <c r="E43" s="37"/>
      <c r="F43" s="11">
        <f t="shared" si="1"/>
        <v>0</v>
      </c>
      <c r="G43" s="11">
        <f t="shared" si="2"/>
        <v>0</v>
      </c>
      <c r="H43" s="12">
        <f t="shared" si="3"/>
        <v>0</v>
      </c>
      <c r="I43" s="11">
        <f t="shared" si="4"/>
        <v>0</v>
      </c>
      <c r="J43" s="11">
        <f t="shared" si="5"/>
        <v>0</v>
      </c>
      <c r="K43" s="11">
        <f t="shared" si="6"/>
        <v>0</v>
      </c>
    </row>
    <row r="44" spans="2:13" ht="24" thickBot="1" x14ac:dyDescent="0.5">
      <c r="B44" s="46"/>
      <c r="C44" s="27"/>
      <c r="D44" s="42" t="s">
        <v>20</v>
      </c>
      <c r="E44" s="42"/>
      <c r="F44" s="42"/>
      <c r="G44" s="42"/>
      <c r="H44" s="42"/>
      <c r="I44" s="42"/>
      <c r="J44" s="42"/>
      <c r="K44" s="42"/>
    </row>
    <row r="45" spans="2:13" ht="24" thickBot="1" x14ac:dyDescent="0.5">
      <c r="B45" s="46"/>
      <c r="C45" s="27"/>
      <c r="D45" s="42" t="s">
        <v>19</v>
      </c>
      <c r="E45" s="42"/>
      <c r="F45" s="42"/>
      <c r="G45" s="42"/>
      <c r="H45" s="42"/>
      <c r="I45" s="42"/>
      <c r="J45" s="42"/>
      <c r="K45" s="42"/>
    </row>
    <row r="46" spans="2:13" ht="19.5" customHeight="1" thickBot="1" x14ac:dyDescent="0.4">
      <c r="B46" s="43" t="s">
        <v>17</v>
      </c>
      <c r="C46" s="9"/>
      <c r="D46" s="9"/>
      <c r="E46" s="10"/>
      <c r="F46" s="11">
        <f>IF(E46&gt;=234,(234),(E46))</f>
        <v>0</v>
      </c>
      <c r="G46" s="11">
        <f>IF(E46&gt;=2*234,(234),(E46-F46))</f>
        <v>0</v>
      </c>
      <c r="H46" s="12">
        <f>IF(E46&gt;=3*234,(234),(E46-F46-G46))</f>
        <v>0</v>
      </c>
      <c r="I46" s="11">
        <f>IF(E46&gt;=4*234,(234),(E46-F46-G46-H46))</f>
        <v>0</v>
      </c>
      <c r="J46" s="11">
        <f>IF(E46&gt;=5*234,(234),(E46-F46-G46-H46-I46))</f>
        <v>0</v>
      </c>
      <c r="K46" s="11">
        <f t="shared" ref="K46:K53" si="7">E46-F46-G46-H46-I46-J46</f>
        <v>0</v>
      </c>
    </row>
    <row r="47" spans="2:13" ht="18.600000000000001" thickBot="1" x14ac:dyDescent="0.35">
      <c r="B47" s="44"/>
      <c r="C47" s="11">
        <v>322042</v>
      </c>
      <c r="D47" s="28" t="s">
        <v>3564</v>
      </c>
      <c r="E47" s="10"/>
      <c r="F47" s="11">
        <f t="shared" ref="F47:F53" si="8">IF(E47&gt;=120,(120),(E47))</f>
        <v>0</v>
      </c>
      <c r="G47" s="11">
        <f t="shared" ref="G47:G53" si="9">IF(E47&gt;=2*120,(120),(E47-F47))</f>
        <v>0</v>
      </c>
      <c r="H47" s="12">
        <f t="shared" ref="H47:H53" si="10">IF(E47&gt;=3*120,(120),(E47-F47-G47))</f>
        <v>0</v>
      </c>
      <c r="I47" s="11">
        <f t="shared" ref="I47:I53" si="11">IF(E47&gt;=4*120,(120),(E47-F47-G47-H47))</f>
        <v>0</v>
      </c>
      <c r="J47" s="11">
        <f t="shared" ref="J47:J53" si="12">IF(E47&gt;=5*120,(120),(E47-F47-G47-H47-I47))</f>
        <v>0</v>
      </c>
      <c r="K47" s="11">
        <f t="shared" si="7"/>
        <v>0</v>
      </c>
    </row>
    <row r="48" spans="2:13" ht="18.600000000000001" thickBot="1" x14ac:dyDescent="0.35">
      <c r="B48" s="44"/>
      <c r="C48" s="11">
        <v>322029</v>
      </c>
      <c r="D48" s="28" t="s">
        <v>3561</v>
      </c>
      <c r="E48" s="10"/>
      <c r="F48" s="11">
        <f t="shared" si="8"/>
        <v>0</v>
      </c>
      <c r="G48" s="11">
        <f t="shared" si="9"/>
        <v>0</v>
      </c>
      <c r="H48" s="12">
        <f t="shared" si="10"/>
        <v>0</v>
      </c>
      <c r="I48" s="11">
        <f t="shared" si="11"/>
        <v>0</v>
      </c>
      <c r="J48" s="11">
        <f t="shared" si="12"/>
        <v>0</v>
      </c>
      <c r="K48" s="11">
        <f t="shared" si="7"/>
        <v>0</v>
      </c>
    </row>
    <row r="49" spans="2:16" ht="18.600000000000001" thickBot="1" x14ac:dyDescent="0.35">
      <c r="B49" s="44"/>
      <c r="C49" s="11">
        <v>322030</v>
      </c>
      <c r="D49" s="28" t="s">
        <v>3562</v>
      </c>
      <c r="E49" s="10"/>
      <c r="F49" s="11">
        <f t="shared" si="8"/>
        <v>0</v>
      </c>
      <c r="G49" s="11">
        <f t="shared" si="9"/>
        <v>0</v>
      </c>
      <c r="H49" s="12">
        <f t="shared" si="10"/>
        <v>0</v>
      </c>
      <c r="I49" s="11">
        <f t="shared" si="11"/>
        <v>0</v>
      </c>
      <c r="J49" s="11">
        <f t="shared" si="12"/>
        <v>0</v>
      </c>
      <c r="K49" s="11">
        <f t="shared" si="7"/>
        <v>0</v>
      </c>
    </row>
    <row r="50" spans="2:16" ht="18.600000000000001" thickBot="1" x14ac:dyDescent="0.35">
      <c r="B50" s="44"/>
      <c r="C50" s="11">
        <v>322041</v>
      </c>
      <c r="D50" s="28" t="s">
        <v>3558</v>
      </c>
      <c r="E50" s="10"/>
      <c r="F50" s="11">
        <f t="shared" si="8"/>
        <v>0</v>
      </c>
      <c r="G50" s="11">
        <f t="shared" si="9"/>
        <v>0</v>
      </c>
      <c r="H50" s="12">
        <f t="shared" si="10"/>
        <v>0</v>
      </c>
      <c r="I50" s="11">
        <f t="shared" si="11"/>
        <v>0</v>
      </c>
      <c r="J50" s="11">
        <f t="shared" si="12"/>
        <v>0</v>
      </c>
      <c r="K50" s="11">
        <f t="shared" si="7"/>
        <v>0</v>
      </c>
    </row>
    <row r="51" spans="2:16" ht="18.600000000000001" thickBot="1" x14ac:dyDescent="0.35">
      <c r="B51" s="44"/>
      <c r="C51" s="11">
        <v>322039</v>
      </c>
      <c r="D51" s="28" t="s">
        <v>3559</v>
      </c>
      <c r="E51" s="10"/>
      <c r="F51" s="11">
        <f t="shared" si="8"/>
        <v>0</v>
      </c>
      <c r="G51" s="11">
        <f t="shared" si="9"/>
        <v>0</v>
      </c>
      <c r="H51" s="12">
        <f t="shared" si="10"/>
        <v>0</v>
      </c>
      <c r="I51" s="11">
        <f t="shared" si="11"/>
        <v>0</v>
      </c>
      <c r="J51" s="11">
        <f t="shared" si="12"/>
        <v>0</v>
      </c>
      <c r="K51" s="11">
        <f t="shared" si="7"/>
        <v>0</v>
      </c>
      <c r="M51" s="15"/>
    </row>
    <row r="52" spans="2:16" ht="18.600000000000001" thickBot="1" x14ac:dyDescent="0.35">
      <c r="B52" s="44"/>
      <c r="C52" s="11">
        <v>322014</v>
      </c>
      <c r="D52" s="28" t="s">
        <v>3571</v>
      </c>
      <c r="E52" s="10"/>
      <c r="F52" s="11">
        <f t="shared" si="8"/>
        <v>0</v>
      </c>
      <c r="G52" s="11">
        <f t="shared" si="9"/>
        <v>0</v>
      </c>
      <c r="H52" s="12">
        <f t="shared" si="10"/>
        <v>0</v>
      </c>
      <c r="I52" s="11">
        <f t="shared" si="11"/>
        <v>0</v>
      </c>
      <c r="J52" s="11">
        <f t="shared" si="12"/>
        <v>0</v>
      </c>
      <c r="K52" s="11">
        <f t="shared" si="7"/>
        <v>0</v>
      </c>
    </row>
    <row r="53" spans="2:16" ht="18.600000000000001" thickBot="1" x14ac:dyDescent="0.35">
      <c r="B53" s="44"/>
      <c r="C53" s="13"/>
      <c r="D53" s="13"/>
      <c r="E53" s="10"/>
      <c r="F53" s="11">
        <f t="shared" si="8"/>
        <v>0</v>
      </c>
      <c r="G53" s="11">
        <f t="shared" si="9"/>
        <v>0</v>
      </c>
      <c r="H53" s="12">
        <f t="shared" si="10"/>
        <v>0</v>
      </c>
      <c r="I53" s="11">
        <f t="shared" si="11"/>
        <v>0</v>
      </c>
      <c r="J53" s="11">
        <f t="shared" si="12"/>
        <v>0</v>
      </c>
      <c r="K53" s="11">
        <f t="shared" si="7"/>
        <v>0</v>
      </c>
    </row>
    <row r="54" spans="2:16" ht="24" thickBot="1" x14ac:dyDescent="0.5">
      <c r="B54" s="44"/>
      <c r="C54" s="27"/>
      <c r="D54" s="42" t="s">
        <v>20</v>
      </c>
      <c r="E54" s="42"/>
      <c r="F54" s="42"/>
      <c r="G54" s="42"/>
      <c r="H54" s="42"/>
      <c r="I54" s="42"/>
      <c r="J54" s="42"/>
      <c r="K54" s="42"/>
    </row>
    <row r="55" spans="2:16" ht="24" thickBot="1" x14ac:dyDescent="0.5">
      <c r="B55" s="45"/>
      <c r="C55" s="27"/>
      <c r="D55" s="42" t="s">
        <v>19</v>
      </c>
      <c r="E55" s="42"/>
      <c r="F55" s="42"/>
      <c r="G55" s="42"/>
      <c r="H55" s="42"/>
      <c r="I55" s="42"/>
      <c r="J55" s="42"/>
      <c r="K55" s="42"/>
    </row>
    <row r="56" spans="2:16" ht="18.600000000000001" thickBot="1" x14ac:dyDescent="0.4">
      <c r="B56" s="43" t="s">
        <v>22</v>
      </c>
      <c r="C56" s="9"/>
      <c r="D56" s="9"/>
      <c r="E56" s="10"/>
      <c r="F56" s="11">
        <f>IF(E56&gt;=234,(234),(E56))</f>
        <v>0</v>
      </c>
      <c r="G56" s="11">
        <f>IF(E56&gt;=2*234,(234),(E56-F56))</f>
        <v>0</v>
      </c>
      <c r="H56" s="12">
        <f>IF(E56&gt;=3*234,(234),(E56-F56-G56))</f>
        <v>0</v>
      </c>
      <c r="I56" s="11">
        <f>IF(E56&gt;=4*234,(234),(E56-F56-G56-H56))</f>
        <v>0</v>
      </c>
      <c r="J56" s="11">
        <f>IF(E56&gt;=5*234,(234),(E56-F56-G56-H56-I56))</f>
        <v>0</v>
      </c>
      <c r="K56" s="11">
        <f t="shared" ref="K56:K63" si="13">E56-F56-G56-H56-I56-J56</f>
        <v>0</v>
      </c>
    </row>
    <row r="57" spans="2:16" ht="18.600000000000001" thickBot="1" x14ac:dyDescent="0.35">
      <c r="B57" s="44"/>
      <c r="C57" s="11">
        <v>322042</v>
      </c>
      <c r="D57" s="28" t="s">
        <v>3564</v>
      </c>
      <c r="E57" s="10"/>
      <c r="F57" s="11">
        <f t="shared" ref="F57:F63" si="14">IF(E57&gt;=120,(120),(E57))</f>
        <v>0</v>
      </c>
      <c r="G57" s="11">
        <f t="shared" ref="G57:G63" si="15">IF(E57&gt;=2*120,(120),(E57-F57))</f>
        <v>0</v>
      </c>
      <c r="H57" s="12">
        <f t="shared" ref="H57:H63" si="16">IF(E57&gt;=3*120,(120),(E57-F57-G57))</f>
        <v>0</v>
      </c>
      <c r="I57" s="11">
        <f t="shared" ref="I57:I63" si="17">IF(E57&gt;=4*120,(120),(E57-F57-G57-H57))</f>
        <v>0</v>
      </c>
      <c r="J57" s="11">
        <f t="shared" ref="J57:J63" si="18">IF(E57&gt;=5*120,(120),(E57-F57-G57-H57-I57))</f>
        <v>0</v>
      </c>
      <c r="K57" s="11">
        <f t="shared" si="13"/>
        <v>0</v>
      </c>
    </row>
    <row r="58" spans="2:16" ht="18.600000000000001" thickBot="1" x14ac:dyDescent="0.35">
      <c r="B58" s="44"/>
      <c r="C58" s="11">
        <v>322029</v>
      </c>
      <c r="D58" s="28" t="s">
        <v>3561</v>
      </c>
      <c r="E58" s="10"/>
      <c r="F58" s="11">
        <f t="shared" si="14"/>
        <v>0</v>
      </c>
      <c r="G58" s="11">
        <f t="shared" si="15"/>
        <v>0</v>
      </c>
      <c r="H58" s="12">
        <f t="shared" si="16"/>
        <v>0</v>
      </c>
      <c r="I58" s="11">
        <f t="shared" si="17"/>
        <v>0</v>
      </c>
      <c r="J58" s="11">
        <f t="shared" si="18"/>
        <v>0</v>
      </c>
      <c r="K58" s="11">
        <f t="shared" si="13"/>
        <v>0</v>
      </c>
    </row>
    <row r="59" spans="2:16" ht="24" thickBot="1" x14ac:dyDescent="0.35">
      <c r="B59" s="44"/>
      <c r="C59" s="11">
        <v>322030</v>
      </c>
      <c r="D59" s="28" t="s">
        <v>3562</v>
      </c>
      <c r="E59" s="10"/>
      <c r="F59" s="11">
        <f t="shared" si="14"/>
        <v>0</v>
      </c>
      <c r="G59" s="11">
        <f t="shared" si="15"/>
        <v>0</v>
      </c>
      <c r="H59" s="12">
        <f t="shared" si="16"/>
        <v>0</v>
      </c>
      <c r="I59" s="11">
        <f t="shared" si="17"/>
        <v>0</v>
      </c>
      <c r="J59" s="11">
        <f t="shared" si="18"/>
        <v>0</v>
      </c>
      <c r="K59" s="11">
        <f t="shared" si="13"/>
        <v>0</v>
      </c>
      <c r="M59" s="1"/>
      <c r="N59" s="1"/>
      <c r="O59" s="1"/>
    </row>
    <row r="60" spans="2:16" ht="18.600000000000001" thickBot="1" x14ac:dyDescent="0.35">
      <c r="B60" s="44"/>
      <c r="C60" s="11">
        <v>322041</v>
      </c>
      <c r="D60" s="28" t="s">
        <v>3558</v>
      </c>
      <c r="E60" s="10"/>
      <c r="F60" s="11">
        <f t="shared" si="14"/>
        <v>0</v>
      </c>
      <c r="G60" s="11">
        <f t="shared" si="15"/>
        <v>0</v>
      </c>
      <c r="H60" s="12">
        <f t="shared" si="16"/>
        <v>0</v>
      </c>
      <c r="I60" s="11">
        <f t="shared" si="17"/>
        <v>0</v>
      </c>
      <c r="J60" s="11">
        <f t="shared" si="18"/>
        <v>0</v>
      </c>
      <c r="K60" s="11">
        <f t="shared" si="13"/>
        <v>0</v>
      </c>
    </row>
    <row r="61" spans="2:16" ht="18.600000000000001" thickBot="1" x14ac:dyDescent="0.35">
      <c r="B61" s="44"/>
      <c r="C61" s="11">
        <v>322039</v>
      </c>
      <c r="D61" s="28" t="s">
        <v>3559</v>
      </c>
      <c r="E61" s="10"/>
      <c r="F61" s="11">
        <f t="shared" si="14"/>
        <v>0</v>
      </c>
      <c r="G61" s="11">
        <f t="shared" si="15"/>
        <v>0</v>
      </c>
      <c r="H61" s="12">
        <f t="shared" si="16"/>
        <v>0</v>
      </c>
      <c r="I61" s="11">
        <f t="shared" si="17"/>
        <v>0</v>
      </c>
      <c r="J61" s="11">
        <f t="shared" si="18"/>
        <v>0</v>
      </c>
      <c r="K61" s="11">
        <f t="shared" si="13"/>
        <v>0</v>
      </c>
    </row>
    <row r="62" spans="2:16" ht="24" thickBot="1" x14ac:dyDescent="0.35">
      <c r="B62" s="44"/>
      <c r="C62" s="11">
        <v>322014</v>
      </c>
      <c r="D62" s="28" t="s">
        <v>3571</v>
      </c>
      <c r="E62" s="10"/>
      <c r="F62" s="11">
        <f t="shared" si="14"/>
        <v>0</v>
      </c>
      <c r="G62" s="11">
        <f t="shared" si="15"/>
        <v>0</v>
      </c>
      <c r="H62" s="12">
        <f t="shared" si="16"/>
        <v>0</v>
      </c>
      <c r="I62" s="11">
        <f t="shared" si="17"/>
        <v>0</v>
      </c>
      <c r="J62" s="11">
        <f t="shared" si="18"/>
        <v>0</v>
      </c>
      <c r="K62" s="11">
        <f t="shared" si="13"/>
        <v>0</v>
      </c>
      <c r="N62" s="1"/>
      <c r="O62" s="1"/>
      <c r="P62" s="1"/>
    </row>
    <row r="63" spans="2:16" ht="18.600000000000001" thickBot="1" x14ac:dyDescent="0.35">
      <c r="B63" s="44"/>
      <c r="C63" s="13"/>
      <c r="D63" s="13"/>
      <c r="E63" s="10"/>
      <c r="F63" s="11">
        <f t="shared" si="14"/>
        <v>0</v>
      </c>
      <c r="G63" s="11">
        <f t="shared" si="15"/>
        <v>0</v>
      </c>
      <c r="H63" s="12">
        <f t="shared" si="16"/>
        <v>0</v>
      </c>
      <c r="I63" s="11">
        <f t="shared" si="17"/>
        <v>0</v>
      </c>
      <c r="J63" s="11">
        <f t="shared" si="18"/>
        <v>0</v>
      </c>
      <c r="K63" s="11">
        <f t="shared" si="13"/>
        <v>0</v>
      </c>
    </row>
    <row r="64" spans="2:16" ht="24" thickBot="1" x14ac:dyDescent="0.5">
      <c r="B64" s="44"/>
      <c r="C64" s="27"/>
      <c r="D64" s="42" t="s">
        <v>20</v>
      </c>
      <c r="E64" s="42"/>
      <c r="F64" s="42"/>
      <c r="G64" s="42"/>
      <c r="H64" s="42"/>
      <c r="I64" s="42"/>
      <c r="J64" s="42"/>
      <c r="K64" s="42"/>
    </row>
    <row r="65" spans="2:16" ht="24" thickBot="1" x14ac:dyDescent="0.5">
      <c r="B65" s="45"/>
      <c r="C65" s="27"/>
      <c r="D65" s="42" t="s">
        <v>19</v>
      </c>
      <c r="E65" s="42"/>
      <c r="F65" s="42"/>
      <c r="G65" s="42"/>
      <c r="H65" s="42"/>
      <c r="I65" s="42"/>
      <c r="J65" s="42"/>
      <c r="K65" s="42"/>
      <c r="N65" s="1"/>
      <c r="O65" s="1"/>
      <c r="P65" s="1"/>
    </row>
    <row r="66" spans="2:16" ht="18.600000000000001" thickBot="1" x14ac:dyDescent="0.4">
      <c r="B66" s="43" t="s">
        <v>18</v>
      </c>
      <c r="C66" s="9"/>
      <c r="D66" s="9"/>
      <c r="E66" s="10"/>
      <c r="F66" s="11">
        <f>IF(E66&gt;=234,(234),(E66))</f>
        <v>0</v>
      </c>
      <c r="G66" s="11">
        <f>IF(E66&gt;=2*234,(234),(E66-F66))</f>
        <v>0</v>
      </c>
      <c r="H66" s="12">
        <f>IF(E66&gt;=3*234,(234),(E66-F66-G66))</f>
        <v>0</v>
      </c>
      <c r="I66" s="11">
        <f>IF(E66&gt;=4*234,(234),(E66-F66-G66-H66))</f>
        <v>0</v>
      </c>
      <c r="J66" s="11">
        <f>IF(E66&gt;=5*234,(234),(E66-F66-G66-H66-I66))</f>
        <v>0</v>
      </c>
      <c r="K66" s="11">
        <f t="shared" ref="K66:K73" si="19">E66-F66-G66-H66-I66-J66</f>
        <v>0</v>
      </c>
    </row>
    <row r="67" spans="2:16" ht="18.600000000000001" thickBot="1" x14ac:dyDescent="0.35">
      <c r="B67" s="44"/>
      <c r="C67" s="11">
        <v>322042</v>
      </c>
      <c r="D67" s="28" t="s">
        <v>3564</v>
      </c>
      <c r="E67" s="10"/>
      <c r="F67" s="11">
        <f t="shared" ref="F67:F73" si="20">IF(E67&gt;=120,(120),(E67))</f>
        <v>0</v>
      </c>
      <c r="G67" s="11">
        <f t="shared" ref="G67:G73" si="21">IF(E67&gt;=2*120,(120),(E67-F67))</f>
        <v>0</v>
      </c>
      <c r="H67" s="12">
        <f t="shared" ref="H67:H73" si="22">IF(E67&gt;=3*120,(120),(E67-F67-G67))</f>
        <v>0</v>
      </c>
      <c r="I67" s="11">
        <f t="shared" ref="I67:I73" si="23">IF(E67&gt;=4*120,(120),(E67-F67-G67-H67))</f>
        <v>0</v>
      </c>
      <c r="J67" s="11">
        <f t="shared" ref="J67:J73" si="24">IF(E67&gt;=5*120,(120),(E67-F67-G67-H67-I67))</f>
        <v>0</v>
      </c>
      <c r="K67" s="11">
        <f t="shared" si="19"/>
        <v>0</v>
      </c>
    </row>
    <row r="68" spans="2:16" ht="24" thickBot="1" x14ac:dyDescent="0.35">
      <c r="B68" s="44"/>
      <c r="C68" s="11">
        <v>322029</v>
      </c>
      <c r="D68" s="28" t="s">
        <v>3561</v>
      </c>
      <c r="E68" s="10"/>
      <c r="F68" s="11">
        <f t="shared" si="20"/>
        <v>0</v>
      </c>
      <c r="G68" s="11">
        <f t="shared" si="21"/>
        <v>0</v>
      </c>
      <c r="H68" s="12">
        <f t="shared" si="22"/>
        <v>0</v>
      </c>
      <c r="I68" s="11">
        <f t="shared" si="23"/>
        <v>0</v>
      </c>
      <c r="J68" s="11">
        <f t="shared" si="24"/>
        <v>0</v>
      </c>
      <c r="K68" s="11">
        <f t="shared" si="19"/>
        <v>0</v>
      </c>
      <c r="N68" s="1"/>
      <c r="O68" s="1"/>
      <c r="P68" s="1"/>
    </row>
    <row r="69" spans="2:16" ht="18.600000000000001" thickBot="1" x14ac:dyDescent="0.35">
      <c r="B69" s="44"/>
      <c r="C69" s="11">
        <v>322030</v>
      </c>
      <c r="D69" s="28" t="s">
        <v>3562</v>
      </c>
      <c r="E69" s="10"/>
      <c r="F69" s="11">
        <f t="shared" si="20"/>
        <v>0</v>
      </c>
      <c r="G69" s="11">
        <f t="shared" si="21"/>
        <v>0</v>
      </c>
      <c r="H69" s="12">
        <f t="shared" si="22"/>
        <v>0</v>
      </c>
      <c r="I69" s="11">
        <f t="shared" si="23"/>
        <v>0</v>
      </c>
      <c r="J69" s="11">
        <f t="shared" si="24"/>
        <v>0</v>
      </c>
      <c r="K69" s="11">
        <f t="shared" si="19"/>
        <v>0</v>
      </c>
    </row>
    <row r="70" spans="2:16" ht="18.600000000000001" thickBot="1" x14ac:dyDescent="0.35">
      <c r="B70" s="44"/>
      <c r="C70" s="11">
        <v>322041</v>
      </c>
      <c r="D70" s="28" t="s">
        <v>3558</v>
      </c>
      <c r="E70" s="10"/>
      <c r="F70" s="11">
        <f t="shared" si="20"/>
        <v>0</v>
      </c>
      <c r="G70" s="11">
        <f t="shared" si="21"/>
        <v>0</v>
      </c>
      <c r="H70" s="12">
        <f t="shared" si="22"/>
        <v>0</v>
      </c>
      <c r="I70" s="11">
        <f t="shared" si="23"/>
        <v>0</v>
      </c>
      <c r="J70" s="11">
        <f t="shared" si="24"/>
        <v>0</v>
      </c>
      <c r="K70" s="11">
        <f t="shared" si="19"/>
        <v>0</v>
      </c>
    </row>
    <row r="71" spans="2:16" ht="18.600000000000001" thickBot="1" x14ac:dyDescent="0.35">
      <c r="B71" s="44"/>
      <c r="C71" s="11">
        <v>322039</v>
      </c>
      <c r="D71" s="28" t="s">
        <v>3559</v>
      </c>
      <c r="E71" s="10"/>
      <c r="F71" s="11">
        <f t="shared" si="20"/>
        <v>0</v>
      </c>
      <c r="G71" s="11">
        <f t="shared" si="21"/>
        <v>0</v>
      </c>
      <c r="H71" s="12">
        <f t="shared" si="22"/>
        <v>0</v>
      </c>
      <c r="I71" s="11">
        <f t="shared" si="23"/>
        <v>0</v>
      </c>
      <c r="J71" s="11">
        <f t="shared" si="24"/>
        <v>0</v>
      </c>
      <c r="K71" s="11">
        <f t="shared" si="19"/>
        <v>0</v>
      </c>
    </row>
    <row r="72" spans="2:16" ht="24" thickBot="1" x14ac:dyDescent="0.35">
      <c r="B72" s="44"/>
      <c r="C72" s="11">
        <v>322014</v>
      </c>
      <c r="D72" s="28" t="s">
        <v>3571</v>
      </c>
      <c r="E72" s="10"/>
      <c r="F72" s="11">
        <f t="shared" si="20"/>
        <v>0</v>
      </c>
      <c r="G72" s="11">
        <f t="shared" si="21"/>
        <v>0</v>
      </c>
      <c r="H72" s="12">
        <f t="shared" si="22"/>
        <v>0</v>
      </c>
      <c r="I72" s="11">
        <f t="shared" si="23"/>
        <v>0</v>
      </c>
      <c r="J72" s="11">
        <f t="shared" si="24"/>
        <v>0</v>
      </c>
      <c r="K72" s="11">
        <f t="shared" si="19"/>
        <v>0</v>
      </c>
      <c r="N72" s="1"/>
      <c r="O72" s="1"/>
      <c r="P72" s="1"/>
    </row>
    <row r="73" spans="2:16" ht="18.600000000000001" thickBot="1" x14ac:dyDescent="0.35">
      <c r="B73" s="44"/>
      <c r="C73" s="13"/>
      <c r="D73" s="13"/>
      <c r="E73" s="10"/>
      <c r="F73" s="11">
        <f t="shared" si="20"/>
        <v>0</v>
      </c>
      <c r="G73" s="11">
        <f t="shared" si="21"/>
        <v>0</v>
      </c>
      <c r="H73" s="12">
        <f t="shared" si="22"/>
        <v>0</v>
      </c>
      <c r="I73" s="11">
        <f t="shared" si="23"/>
        <v>0</v>
      </c>
      <c r="J73" s="11">
        <f t="shared" si="24"/>
        <v>0</v>
      </c>
      <c r="K73" s="11">
        <f t="shared" si="19"/>
        <v>0</v>
      </c>
    </row>
    <row r="74" spans="2:16" ht="24" thickBot="1" x14ac:dyDescent="0.5">
      <c r="B74" s="44"/>
      <c r="C74" s="27"/>
      <c r="D74" s="42" t="s">
        <v>20</v>
      </c>
      <c r="E74" s="42"/>
      <c r="F74" s="42"/>
      <c r="G74" s="42"/>
      <c r="H74" s="42"/>
      <c r="I74" s="42"/>
      <c r="J74" s="42"/>
      <c r="K74" s="42"/>
    </row>
    <row r="75" spans="2:16" ht="24" thickBot="1" x14ac:dyDescent="0.5">
      <c r="B75" s="45"/>
      <c r="C75" s="27"/>
      <c r="D75" s="42" t="s">
        <v>19</v>
      </c>
      <c r="E75" s="42"/>
      <c r="F75" s="42"/>
      <c r="G75" s="42"/>
      <c r="H75" s="42"/>
      <c r="I75" s="42"/>
      <c r="J75" s="42"/>
      <c r="K75" s="42"/>
    </row>
    <row r="76" spans="2:16" ht="14.4" x14ac:dyDescent="0.3">
      <c r="B76" s="3"/>
      <c r="C76" s="3"/>
      <c r="D76" s="3"/>
    </row>
    <row r="77" spans="2:16" ht="14.4" x14ac:dyDescent="0.3">
      <c r="B77"/>
      <c r="C77" s="3"/>
      <c r="D77" s="3"/>
    </row>
    <row r="78" spans="2:16" x14ac:dyDescent="0.3">
      <c r="B78"/>
      <c r="D78" s="1"/>
      <c r="E78" s="1"/>
      <c r="F78" s="1"/>
    </row>
    <row r="79" spans="2:16" ht="14.4" x14ac:dyDescent="0.3">
      <c r="B79" s="3"/>
      <c r="C79" s="3"/>
    </row>
    <row r="80" spans="2:16" ht="14.4" x14ac:dyDescent="0.3">
      <c r="B80" s="3"/>
      <c r="C80" s="3"/>
    </row>
    <row r="81" spans="2:13" x14ac:dyDescent="0.3">
      <c r="B81"/>
      <c r="D81" s="1"/>
      <c r="E81" s="1"/>
      <c r="F81" s="1"/>
    </row>
    <row r="82" spans="2:13" ht="14.4" x14ac:dyDescent="0.3">
      <c r="B82" s="3"/>
    </row>
    <row r="83" spans="2:13" ht="14.4" x14ac:dyDescent="0.3">
      <c r="B83"/>
    </row>
    <row r="84" spans="2:13" ht="14.4" x14ac:dyDescent="0.3">
      <c r="B84"/>
    </row>
    <row r="85" spans="2:13" ht="14.4" x14ac:dyDescent="0.3">
      <c r="B85" s="3"/>
      <c r="C85" s="3"/>
      <c r="D85" s="3"/>
    </row>
    <row r="86" spans="2:13" x14ac:dyDescent="0.3">
      <c r="B86"/>
      <c r="E86" s="1"/>
      <c r="F86" s="1"/>
      <c r="G86" s="1"/>
    </row>
    <row r="87" spans="2:13" x14ac:dyDescent="0.3">
      <c r="B87"/>
      <c r="G87" s="1"/>
      <c r="H87" s="1"/>
      <c r="I87" s="1"/>
    </row>
    <row r="88" spans="2:13" thickBot="1" x14ac:dyDescent="1.1000000000000001">
      <c r="D88" s="4"/>
    </row>
    <row r="94" spans="2:13" ht="20.25" customHeight="1" x14ac:dyDescent="0.3">
      <c r="L94" s="2"/>
      <c r="M94" s="2"/>
    </row>
  </sheetData>
  <mergeCells count="21">
    <mergeCell ref="B56:B65"/>
    <mergeCell ref="D64:K64"/>
    <mergeCell ref="D65:K65"/>
    <mergeCell ref="B66:B75"/>
    <mergeCell ref="D74:K74"/>
    <mergeCell ref="D75:K75"/>
    <mergeCell ref="D11:K11"/>
    <mergeCell ref="D12:K12"/>
    <mergeCell ref="B2:B12"/>
    <mergeCell ref="D44:K44"/>
    <mergeCell ref="D45:K45"/>
    <mergeCell ref="B35:B45"/>
    <mergeCell ref="B13:B23"/>
    <mergeCell ref="D22:K22"/>
    <mergeCell ref="D23:K23"/>
    <mergeCell ref="B24:B34"/>
    <mergeCell ref="D33:K33"/>
    <mergeCell ref="D34:K34"/>
    <mergeCell ref="B46:B55"/>
    <mergeCell ref="D54:K54"/>
    <mergeCell ref="D55:K55"/>
  </mergeCells>
  <conditionalFormatting sqref="B2">
    <cfRule type="cellIs" dxfId="10" priority="69" operator="equal">
      <formula>#REF!</formula>
    </cfRule>
  </conditionalFormatting>
  <conditionalFormatting sqref="B13">
    <cfRule type="cellIs" dxfId="9" priority="68" operator="equal">
      <formula>B10</formula>
    </cfRule>
  </conditionalFormatting>
  <conditionalFormatting sqref="B24">
    <cfRule type="cellIs" dxfId="8" priority="67" operator="equal">
      <formula>B21</formula>
    </cfRule>
  </conditionalFormatting>
  <conditionalFormatting sqref="B35">
    <cfRule type="cellIs" dxfId="7" priority="66" operator="equal">
      <formula>#REF!</formula>
    </cfRule>
  </conditionalFormatting>
  <conditionalFormatting sqref="B46">
    <cfRule type="cellIs" dxfId="6" priority="6" operator="equal">
      <formula>#REF!</formula>
    </cfRule>
  </conditionalFormatting>
  <conditionalFormatting sqref="F2:K10 F66:K73 F56:K63 F46:K53">
    <cfRule type="cellIs" dxfId="5" priority="9" operator="lessThan">
      <formula>1</formula>
    </cfRule>
  </conditionalFormatting>
  <conditionalFormatting sqref="F13:K21">
    <cfRule type="cellIs" dxfId="4" priority="10" operator="lessThan">
      <formula>1</formula>
    </cfRule>
  </conditionalFormatting>
  <conditionalFormatting sqref="F24:K32">
    <cfRule type="cellIs" dxfId="3" priority="12" operator="lessThan">
      <formula>1</formula>
    </cfRule>
  </conditionalFormatting>
  <conditionalFormatting sqref="F35:K43">
    <cfRule type="cellIs" dxfId="2" priority="11" operator="lessThan">
      <formula>1</formula>
    </cfRule>
  </conditionalFormatting>
  <conditionalFormatting sqref="B56">
    <cfRule type="cellIs" dxfId="1" priority="4" operator="equal">
      <formula>#REF!</formula>
    </cfRule>
  </conditionalFormatting>
  <conditionalFormatting sqref="B66">
    <cfRule type="cellIs" dxfId="0" priority="2" operator="equal">
      <formula>#REF!</formula>
    </cfRule>
  </conditionalFormatting>
  <printOptions horizontalCentered="1"/>
  <pageMargins left="0" right="0" top="0" bottom="0" header="0" footer="0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D10"/>
  <sheetViews>
    <sheetView workbookViewId="0">
      <selection activeCell="D15" sqref="D15"/>
    </sheetView>
  </sheetViews>
  <sheetFormatPr defaultColWidth="11.44140625" defaultRowHeight="14.4" x14ac:dyDescent="0.3"/>
  <cols>
    <col min="1" max="1" width="11.44140625" style="29"/>
    <col min="2" max="2" width="69" style="29" bestFit="1" customWidth="1"/>
    <col min="3" max="4" width="28.109375" style="29" customWidth="1"/>
    <col min="5" max="16384" width="11.44140625" style="29"/>
  </cols>
  <sheetData>
    <row r="1" spans="2:4" ht="15" thickBot="1" x14ac:dyDescent="0.35"/>
    <row r="2" spans="2:4" ht="46.8" thickBot="1" x14ac:dyDescent="0.35">
      <c r="B2" s="30">
        <f ca="1">TODAY()</f>
        <v>46108</v>
      </c>
      <c r="C2" s="31" t="s">
        <v>3565</v>
      </c>
      <c r="D2" s="31" t="s">
        <v>3566</v>
      </c>
    </row>
    <row r="3" spans="2:4" ht="46.8" thickBot="1" x14ac:dyDescent="0.35">
      <c r="B3" s="32" t="s">
        <v>14</v>
      </c>
      <c r="C3" s="33">
        <f>COUNTIF(Overview!F2:K10,"&lt;&gt;0")</f>
        <v>0</v>
      </c>
      <c r="D3" s="33">
        <f>ROUNDUP(SUM(Overview!F2:K10)/115,0)</f>
        <v>0</v>
      </c>
    </row>
    <row r="4" spans="2:4" ht="46.8" thickBot="1" x14ac:dyDescent="0.35">
      <c r="B4" s="32" t="s">
        <v>10</v>
      </c>
      <c r="C4" s="33">
        <f>COUNTIF(Overview!F13:'Overview'!F13:K21,"&lt;&gt;0")</f>
        <v>0</v>
      </c>
      <c r="D4" s="33">
        <f>ROUNDUP(SUM(Overview!F13:K21)/115,0)</f>
        <v>0</v>
      </c>
    </row>
    <row r="5" spans="2:4" ht="46.8" thickBot="1" x14ac:dyDescent="0.35">
      <c r="B5" s="32" t="s">
        <v>15</v>
      </c>
      <c r="C5" s="33">
        <f>COUNTIF(Overview!F24:K32,"&lt;&gt;0")</f>
        <v>0</v>
      </c>
      <c r="D5" s="33">
        <f>ROUNDUP(SUM(Overview!F24:K32)/115,0)</f>
        <v>0</v>
      </c>
    </row>
    <row r="6" spans="2:4" ht="46.8" thickBot="1" x14ac:dyDescent="0.35">
      <c r="B6" s="32" t="s">
        <v>3568</v>
      </c>
      <c r="C6" s="33">
        <f>COUNTIF(Overview!F46:K52,"&lt;&gt;0")</f>
        <v>0</v>
      </c>
      <c r="D6" s="33">
        <f>ROUNDUP(SUM(Overview!F46:K52)/115,0)</f>
        <v>0</v>
      </c>
    </row>
    <row r="7" spans="2:4" ht="46.8" thickBot="1" x14ac:dyDescent="0.35">
      <c r="B7" s="32" t="s">
        <v>3569</v>
      </c>
      <c r="C7" s="33">
        <f>COUNTIF(Overview!F57:K63,"&lt;&gt;0")</f>
        <v>0</v>
      </c>
      <c r="D7" s="33">
        <f>ROUNDUP(SUM(Overview!F57:K63)/115,0)</f>
        <v>0</v>
      </c>
    </row>
    <row r="8" spans="2:4" ht="46.8" thickBot="1" x14ac:dyDescent="0.35">
      <c r="B8" s="32" t="s">
        <v>3570</v>
      </c>
      <c r="C8" s="33">
        <f>COUNTIF(Overview!F66:K73,"&lt;&gt;0")</f>
        <v>0</v>
      </c>
      <c r="D8" s="33">
        <f>ROUNDUP(SUM(Overview!F66:K73)/115,0)</f>
        <v>0</v>
      </c>
    </row>
    <row r="9" spans="2:4" ht="46.8" thickBot="1" x14ac:dyDescent="0.35">
      <c r="B9" s="32" t="s">
        <v>16</v>
      </c>
      <c r="C9" s="33">
        <f>COUNTIF(Overview!F35:K43,"&lt;&gt;0")</f>
        <v>0</v>
      </c>
      <c r="D9" s="33">
        <f>ROUNDUP(SUM(Overview!F35:K43)/115,0)</f>
        <v>0</v>
      </c>
    </row>
    <row r="10" spans="2:4" ht="46.8" thickBot="1" x14ac:dyDescent="0.35">
      <c r="B10" s="34" t="s">
        <v>3567</v>
      </c>
      <c r="C10" s="35">
        <f>SUM(C3:C9)</f>
        <v>0</v>
      </c>
      <c r="D10" s="35">
        <f>SUM(D3:D9)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3:H33"/>
  <sheetViews>
    <sheetView zoomScaleNormal="100" workbookViewId="0">
      <selection activeCell="G21" sqref="G21"/>
    </sheetView>
  </sheetViews>
  <sheetFormatPr defaultColWidth="11.44140625" defaultRowHeight="14.4" x14ac:dyDescent="0.3"/>
  <cols>
    <col min="1" max="1" width="7" bestFit="1" customWidth="1"/>
    <col min="2" max="2" width="47" bestFit="1" customWidth="1"/>
    <col min="3" max="3" width="13.6640625" customWidth="1"/>
    <col min="4" max="4" width="14.109375" bestFit="1" customWidth="1"/>
    <col min="5" max="5" width="65.6640625" bestFit="1" customWidth="1"/>
    <col min="6" max="8" width="21.33203125" customWidth="1"/>
    <col min="9" max="9" width="14.88671875" bestFit="1" customWidth="1"/>
    <col min="10" max="10" width="19.6640625" bestFit="1" customWidth="1"/>
    <col min="11" max="11" width="8.109375" bestFit="1" customWidth="1"/>
    <col min="12" max="12" width="2" bestFit="1" customWidth="1"/>
    <col min="13" max="14" width="10.6640625" bestFit="1" customWidth="1"/>
  </cols>
  <sheetData>
    <row r="3" spans="4:8" x14ac:dyDescent="0.3">
      <c r="D3" s="47" t="s">
        <v>23</v>
      </c>
      <c r="E3" s="47"/>
      <c r="F3" s="47"/>
      <c r="G3" s="47"/>
      <c r="H3" s="47"/>
    </row>
    <row r="4" spans="4:8" x14ac:dyDescent="0.3">
      <c r="D4" s="47"/>
      <c r="E4" s="47"/>
      <c r="F4" s="47"/>
      <c r="G4" s="47"/>
      <c r="H4" s="47"/>
    </row>
    <row r="5" spans="4:8" ht="21" x14ac:dyDescent="0.3">
      <c r="D5" s="16" t="s">
        <v>24</v>
      </c>
      <c r="E5" s="17" t="s">
        <v>25</v>
      </c>
      <c r="F5" s="18" t="s">
        <v>26</v>
      </c>
      <c r="G5" s="19" t="s">
        <v>27</v>
      </c>
      <c r="H5" s="20" t="s">
        <v>28</v>
      </c>
    </row>
    <row r="6" spans="4:8" ht="21" x14ac:dyDescent="0.3">
      <c r="D6" s="21">
        <v>322042</v>
      </c>
      <c r="E6" s="22" t="s">
        <v>3564</v>
      </c>
      <c r="F6" s="23">
        <f>Overview!Q2</f>
        <v>0</v>
      </c>
      <c r="G6" s="24">
        <f t="shared" ref="G6:G13" si="0">SUMIF($A$14:$A$175,D6,$C$14:$C$175)</f>
        <v>0</v>
      </c>
      <c r="H6" s="25">
        <f>IF((G6-F6) &gt; 0, 0,G6-F6)</f>
        <v>0</v>
      </c>
    </row>
    <row r="7" spans="4:8" ht="21" x14ac:dyDescent="0.3">
      <c r="D7" s="21">
        <v>322029</v>
      </c>
      <c r="E7" s="22" t="s">
        <v>3561</v>
      </c>
      <c r="F7" s="23">
        <f>Overview!Q3</f>
        <v>0</v>
      </c>
      <c r="G7" s="24">
        <f t="shared" si="0"/>
        <v>0</v>
      </c>
      <c r="H7" s="25">
        <f t="shared" ref="H7:H13" si="1">IF((G7-F7) &gt; 0, 0,G7-F7)</f>
        <v>0</v>
      </c>
    </row>
    <row r="8" spans="4:8" ht="21" x14ac:dyDescent="0.3">
      <c r="D8" s="21">
        <v>322030</v>
      </c>
      <c r="E8" s="22" t="s">
        <v>3562</v>
      </c>
      <c r="F8" s="23">
        <f>Overview!Q4</f>
        <v>0</v>
      </c>
      <c r="G8" s="24">
        <f t="shared" si="0"/>
        <v>0</v>
      </c>
      <c r="H8" s="25">
        <f t="shared" si="1"/>
        <v>0</v>
      </c>
    </row>
    <row r="9" spans="4:8" ht="21" x14ac:dyDescent="0.3">
      <c r="D9" s="21">
        <v>322041</v>
      </c>
      <c r="E9" s="22" t="s">
        <v>3558</v>
      </c>
      <c r="F9" s="23">
        <f>Overview!Q5</f>
        <v>0</v>
      </c>
      <c r="G9" s="24">
        <f t="shared" si="0"/>
        <v>0</v>
      </c>
      <c r="H9" s="25">
        <f t="shared" si="1"/>
        <v>0</v>
      </c>
    </row>
    <row r="10" spans="4:8" ht="21" x14ac:dyDescent="0.3">
      <c r="D10" s="21">
        <v>322039</v>
      </c>
      <c r="E10" s="22" t="s">
        <v>3559</v>
      </c>
      <c r="F10" s="23">
        <f>Overview!Q6</f>
        <v>0</v>
      </c>
      <c r="G10" s="24">
        <f t="shared" si="0"/>
        <v>0</v>
      </c>
      <c r="H10" s="25">
        <f t="shared" si="1"/>
        <v>0</v>
      </c>
    </row>
    <row r="11" spans="4:8" ht="21" x14ac:dyDescent="0.3">
      <c r="D11" s="21">
        <v>322040</v>
      </c>
      <c r="E11" s="22" t="s">
        <v>3560</v>
      </c>
      <c r="F11" s="23">
        <f>Overview!Q7</f>
        <v>0</v>
      </c>
      <c r="G11" s="24">
        <f t="shared" si="0"/>
        <v>0</v>
      </c>
      <c r="H11" s="25">
        <f t="shared" si="1"/>
        <v>0</v>
      </c>
    </row>
    <row r="12" spans="4:8" ht="21" x14ac:dyDescent="0.3">
      <c r="D12" s="21">
        <v>322014</v>
      </c>
      <c r="E12" s="22" t="s">
        <v>3571</v>
      </c>
      <c r="F12" s="23">
        <f>Overview!Q9</f>
        <v>0</v>
      </c>
      <c r="G12" s="24">
        <f t="shared" si="0"/>
        <v>0</v>
      </c>
      <c r="H12" s="25">
        <f t="shared" si="1"/>
        <v>0</v>
      </c>
    </row>
    <row r="13" spans="4:8" ht="21" x14ac:dyDescent="0.3">
      <c r="D13" s="21">
        <v>322032</v>
      </c>
      <c r="E13" s="22" t="s">
        <v>3563</v>
      </c>
      <c r="F13" s="23">
        <f>Overview!Q8</f>
        <v>0</v>
      </c>
      <c r="G13" s="24">
        <f t="shared" si="0"/>
        <v>0</v>
      </c>
      <c r="H13" s="25">
        <f>IF((G13-F13) &gt; 0, 0,G13-F13)</f>
        <v>0</v>
      </c>
    </row>
    <row r="18" spans="1:3" x14ac:dyDescent="0.3">
      <c r="A18" s="38"/>
      <c r="B18" s="38"/>
      <c r="C18" s="38"/>
    </row>
    <row r="19" spans="1:3" x14ac:dyDescent="0.3">
      <c r="A19" s="39"/>
      <c r="B19" s="39"/>
      <c r="C19" s="39"/>
    </row>
    <row r="20" spans="1:3" x14ac:dyDescent="0.3">
      <c r="A20" s="38"/>
      <c r="B20" s="38"/>
      <c r="C20" s="38"/>
    </row>
    <row r="21" spans="1:3" x14ac:dyDescent="0.3">
      <c r="A21" s="39"/>
      <c r="B21" s="39"/>
      <c r="C21" s="39"/>
    </row>
    <row r="22" spans="1:3" x14ac:dyDescent="0.3">
      <c r="A22" s="38"/>
      <c r="B22" s="38"/>
      <c r="C22" s="38"/>
    </row>
    <row r="23" spans="1:3" x14ac:dyDescent="0.3">
      <c r="A23" s="39"/>
      <c r="B23" s="39"/>
      <c r="C23" s="39"/>
    </row>
    <row r="24" spans="1:3" x14ac:dyDescent="0.3">
      <c r="A24" s="38"/>
      <c r="B24" s="38"/>
      <c r="C24" s="38"/>
    </row>
    <row r="25" spans="1:3" x14ac:dyDescent="0.3">
      <c r="A25" s="39"/>
      <c r="B25" s="39"/>
      <c r="C25" s="39"/>
    </row>
    <row r="26" spans="1:3" x14ac:dyDescent="0.3">
      <c r="A26" s="38"/>
      <c r="B26" s="38"/>
      <c r="C26" s="38"/>
    </row>
    <row r="27" spans="1:3" x14ac:dyDescent="0.3">
      <c r="A27" s="39"/>
      <c r="B27" s="39"/>
      <c r="C27" s="39"/>
    </row>
    <row r="28" spans="1:3" x14ac:dyDescent="0.3">
      <c r="A28" s="38"/>
      <c r="B28" s="38"/>
      <c r="C28" s="38"/>
    </row>
    <row r="29" spans="1:3" x14ac:dyDescent="0.3">
      <c r="A29" s="39"/>
      <c r="B29" s="39"/>
      <c r="C29" s="39"/>
    </row>
    <row r="30" spans="1:3" x14ac:dyDescent="0.3">
      <c r="A30" s="38"/>
      <c r="B30" s="38"/>
      <c r="C30" s="38"/>
    </row>
    <row r="31" spans="1:3" x14ac:dyDescent="0.3">
      <c r="A31" s="39"/>
      <c r="B31" s="39"/>
      <c r="C31" s="39"/>
    </row>
    <row r="32" spans="1:3" x14ac:dyDescent="0.3">
      <c r="A32" s="38"/>
      <c r="B32" s="38"/>
      <c r="C32" s="38"/>
    </row>
    <row r="33" spans="1:3" x14ac:dyDescent="0.3">
      <c r="A33" s="39"/>
      <c r="B33" s="39"/>
      <c r="C33" s="39"/>
    </row>
  </sheetData>
  <mergeCells count="1">
    <mergeCell ref="D3:H4"/>
  </mergeCells>
  <pageMargins left="0.25" right="0.25" top="0.75" bottom="0.75" header="0.3" footer="0.3"/>
  <pageSetup paperSize="9" scale="67" fitToHeight="0" orientation="landscape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E2A057DE-FC01-4408-9A12-28B98A3F5ED7}">
          <xm:f>DataCacheKeyTable[#All]</xm:f>
        </x15:webExtension>
        <x15:webExtension appRef="{FD5D4730-1D62-41F8-B74D-07C424178589}">
          <xm:f>DataCacheDataTable[#All]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B18D-16EE-4E07-9702-3A0D14513D3A}">
  <sheetPr codeName="Sheet10"/>
  <dimension ref="A1:D3527"/>
  <sheetViews>
    <sheetView workbookViewId="0">
      <selection activeCell="D2" sqref="D2:D3"/>
    </sheetView>
  </sheetViews>
  <sheetFormatPr defaultRowHeight="14.4" x14ac:dyDescent="0.3"/>
  <cols>
    <col min="1" max="2" width="11" customWidth="1"/>
    <col min="4" max="4" width="11" customWidth="1"/>
  </cols>
  <sheetData>
    <row r="1" spans="1:4" ht="18" x14ac:dyDescent="0.35">
      <c r="A1" s="26" t="s">
        <v>31</v>
      </c>
    </row>
    <row r="2" spans="1:4" x14ac:dyDescent="0.3">
      <c r="A2" t="s">
        <v>29</v>
      </c>
      <c r="B2" t="s">
        <v>30</v>
      </c>
      <c r="D2" t="s">
        <v>29</v>
      </c>
    </row>
    <row r="3" spans="1:4" x14ac:dyDescent="0.3">
      <c r="A3" t="s">
        <v>32</v>
      </c>
      <c r="B3">
        <v>0</v>
      </c>
      <c r="D3" t="s">
        <v>33</v>
      </c>
    </row>
    <row r="4" spans="1:4" x14ac:dyDescent="0.3">
      <c r="D4" t="s">
        <v>34</v>
      </c>
    </row>
    <row r="5" spans="1:4" x14ac:dyDescent="0.3">
      <c r="D5" t="s">
        <v>35</v>
      </c>
    </row>
    <row r="6" spans="1:4" x14ac:dyDescent="0.3">
      <c r="D6" t="s">
        <v>36</v>
      </c>
    </row>
    <row r="7" spans="1:4" x14ac:dyDescent="0.3">
      <c r="D7" t="s">
        <v>37</v>
      </c>
    </row>
    <row r="8" spans="1:4" x14ac:dyDescent="0.3">
      <c r="D8" t="s">
        <v>38</v>
      </c>
    </row>
    <row r="9" spans="1:4" x14ac:dyDescent="0.3">
      <c r="D9" t="s">
        <v>39</v>
      </c>
    </row>
    <row r="10" spans="1:4" x14ac:dyDescent="0.3">
      <c r="D10" t="s">
        <v>40</v>
      </c>
    </row>
    <row r="11" spans="1:4" x14ac:dyDescent="0.3">
      <c r="D11" t="s">
        <v>41</v>
      </c>
    </row>
    <row r="12" spans="1:4" x14ac:dyDescent="0.3">
      <c r="D12" t="s">
        <v>42</v>
      </c>
    </row>
    <row r="13" spans="1:4" x14ac:dyDescent="0.3">
      <c r="D13" t="s">
        <v>43</v>
      </c>
    </row>
    <row r="14" spans="1:4" x14ac:dyDescent="0.3">
      <c r="D14" t="s">
        <v>44</v>
      </c>
    </row>
    <row r="15" spans="1:4" x14ac:dyDescent="0.3">
      <c r="D15" t="s">
        <v>45</v>
      </c>
    </row>
    <row r="16" spans="1:4" x14ac:dyDescent="0.3">
      <c r="D16" t="s">
        <v>46</v>
      </c>
    </row>
    <row r="17" spans="4:4" x14ac:dyDescent="0.3">
      <c r="D17" t="s">
        <v>47</v>
      </c>
    </row>
    <row r="18" spans="4:4" x14ac:dyDescent="0.3">
      <c r="D18" t="s">
        <v>48</v>
      </c>
    </row>
    <row r="19" spans="4:4" x14ac:dyDescent="0.3">
      <c r="D19" t="s">
        <v>49</v>
      </c>
    </row>
    <row r="20" spans="4:4" x14ac:dyDescent="0.3">
      <c r="D20" t="s">
        <v>50</v>
      </c>
    </row>
    <row r="21" spans="4:4" x14ac:dyDescent="0.3">
      <c r="D21" t="s">
        <v>51</v>
      </c>
    </row>
    <row r="22" spans="4:4" x14ac:dyDescent="0.3">
      <c r="D22" t="s">
        <v>52</v>
      </c>
    </row>
    <row r="23" spans="4:4" x14ac:dyDescent="0.3">
      <c r="D23" t="s">
        <v>53</v>
      </c>
    </row>
    <row r="24" spans="4:4" x14ac:dyDescent="0.3">
      <c r="D24" t="s">
        <v>54</v>
      </c>
    </row>
    <row r="25" spans="4:4" x14ac:dyDescent="0.3">
      <c r="D25" t="s">
        <v>55</v>
      </c>
    </row>
    <row r="26" spans="4:4" x14ac:dyDescent="0.3">
      <c r="D26" t="s">
        <v>56</v>
      </c>
    </row>
    <row r="27" spans="4:4" x14ac:dyDescent="0.3">
      <c r="D27" t="s">
        <v>57</v>
      </c>
    </row>
    <row r="28" spans="4:4" x14ac:dyDescent="0.3">
      <c r="D28" t="s">
        <v>58</v>
      </c>
    </row>
    <row r="29" spans="4:4" x14ac:dyDescent="0.3">
      <c r="D29" t="s">
        <v>59</v>
      </c>
    </row>
    <row r="30" spans="4:4" x14ac:dyDescent="0.3">
      <c r="D30" t="s">
        <v>60</v>
      </c>
    </row>
    <row r="31" spans="4:4" x14ac:dyDescent="0.3">
      <c r="D31" t="s">
        <v>61</v>
      </c>
    </row>
    <row r="32" spans="4:4" x14ac:dyDescent="0.3">
      <c r="D32" t="s">
        <v>62</v>
      </c>
    </row>
    <row r="33" spans="4:4" x14ac:dyDescent="0.3">
      <c r="D33" t="s">
        <v>63</v>
      </c>
    </row>
    <row r="34" spans="4:4" x14ac:dyDescent="0.3">
      <c r="D34" t="s">
        <v>64</v>
      </c>
    </row>
    <row r="35" spans="4:4" x14ac:dyDescent="0.3">
      <c r="D35" t="s">
        <v>65</v>
      </c>
    </row>
    <row r="36" spans="4:4" x14ac:dyDescent="0.3">
      <c r="D36" t="s">
        <v>66</v>
      </c>
    </row>
    <row r="37" spans="4:4" x14ac:dyDescent="0.3">
      <c r="D37" t="s">
        <v>67</v>
      </c>
    </row>
    <row r="38" spans="4:4" x14ac:dyDescent="0.3">
      <c r="D38" t="s">
        <v>68</v>
      </c>
    </row>
    <row r="39" spans="4:4" x14ac:dyDescent="0.3">
      <c r="D39" t="s">
        <v>69</v>
      </c>
    </row>
    <row r="40" spans="4:4" x14ac:dyDescent="0.3">
      <c r="D40" t="s">
        <v>70</v>
      </c>
    </row>
    <row r="41" spans="4:4" x14ac:dyDescent="0.3">
      <c r="D41" t="s">
        <v>71</v>
      </c>
    </row>
    <row r="42" spans="4:4" x14ac:dyDescent="0.3">
      <c r="D42" t="s">
        <v>72</v>
      </c>
    </row>
    <row r="43" spans="4:4" x14ac:dyDescent="0.3">
      <c r="D43" t="s">
        <v>73</v>
      </c>
    </row>
    <row r="44" spans="4:4" x14ac:dyDescent="0.3">
      <c r="D44" t="s">
        <v>74</v>
      </c>
    </row>
    <row r="45" spans="4:4" x14ac:dyDescent="0.3">
      <c r="D45" t="s">
        <v>75</v>
      </c>
    </row>
    <row r="46" spans="4:4" x14ac:dyDescent="0.3">
      <c r="D46" t="s">
        <v>76</v>
      </c>
    </row>
    <row r="47" spans="4:4" x14ac:dyDescent="0.3">
      <c r="D47" t="s">
        <v>77</v>
      </c>
    </row>
    <row r="48" spans="4:4" x14ac:dyDescent="0.3">
      <c r="D48" t="s">
        <v>78</v>
      </c>
    </row>
    <row r="49" spans="4:4" x14ac:dyDescent="0.3">
      <c r="D49" t="s">
        <v>79</v>
      </c>
    </row>
    <row r="50" spans="4:4" x14ac:dyDescent="0.3">
      <c r="D50" t="s">
        <v>80</v>
      </c>
    </row>
    <row r="51" spans="4:4" x14ac:dyDescent="0.3">
      <c r="D51" t="s">
        <v>81</v>
      </c>
    </row>
    <row r="52" spans="4:4" x14ac:dyDescent="0.3">
      <c r="D52" t="s">
        <v>82</v>
      </c>
    </row>
    <row r="53" spans="4:4" x14ac:dyDescent="0.3">
      <c r="D53" t="s">
        <v>83</v>
      </c>
    </row>
    <row r="54" spans="4:4" x14ac:dyDescent="0.3">
      <c r="D54" t="s">
        <v>84</v>
      </c>
    </row>
    <row r="55" spans="4:4" x14ac:dyDescent="0.3">
      <c r="D55" t="s">
        <v>85</v>
      </c>
    </row>
    <row r="56" spans="4:4" x14ac:dyDescent="0.3">
      <c r="D56" t="s">
        <v>86</v>
      </c>
    </row>
    <row r="57" spans="4:4" x14ac:dyDescent="0.3">
      <c r="D57" t="s">
        <v>87</v>
      </c>
    </row>
    <row r="58" spans="4:4" x14ac:dyDescent="0.3">
      <c r="D58" t="s">
        <v>88</v>
      </c>
    </row>
    <row r="59" spans="4:4" x14ac:dyDescent="0.3">
      <c r="D59" t="s">
        <v>89</v>
      </c>
    </row>
    <row r="60" spans="4:4" x14ac:dyDescent="0.3">
      <c r="D60" t="s">
        <v>90</v>
      </c>
    </row>
    <row r="61" spans="4:4" x14ac:dyDescent="0.3">
      <c r="D61" t="s">
        <v>91</v>
      </c>
    </row>
    <row r="62" spans="4:4" x14ac:dyDescent="0.3">
      <c r="D62" t="s">
        <v>92</v>
      </c>
    </row>
    <row r="63" spans="4:4" x14ac:dyDescent="0.3">
      <c r="D63" t="s">
        <v>93</v>
      </c>
    </row>
    <row r="64" spans="4:4" x14ac:dyDescent="0.3">
      <c r="D64" t="s">
        <v>94</v>
      </c>
    </row>
    <row r="65" spans="4:4" x14ac:dyDescent="0.3">
      <c r="D65" t="s">
        <v>95</v>
      </c>
    </row>
    <row r="66" spans="4:4" x14ac:dyDescent="0.3">
      <c r="D66" t="s">
        <v>96</v>
      </c>
    </row>
    <row r="67" spans="4:4" x14ac:dyDescent="0.3">
      <c r="D67" t="s">
        <v>97</v>
      </c>
    </row>
    <row r="68" spans="4:4" x14ac:dyDescent="0.3">
      <c r="D68" t="s">
        <v>98</v>
      </c>
    </row>
    <row r="69" spans="4:4" x14ac:dyDescent="0.3">
      <c r="D69" t="s">
        <v>99</v>
      </c>
    </row>
    <row r="70" spans="4:4" x14ac:dyDescent="0.3">
      <c r="D70" t="s">
        <v>100</v>
      </c>
    </row>
    <row r="71" spans="4:4" x14ac:dyDescent="0.3">
      <c r="D71" t="s">
        <v>101</v>
      </c>
    </row>
    <row r="72" spans="4:4" x14ac:dyDescent="0.3">
      <c r="D72" t="s">
        <v>102</v>
      </c>
    </row>
    <row r="73" spans="4:4" x14ac:dyDescent="0.3">
      <c r="D73" t="s">
        <v>103</v>
      </c>
    </row>
    <row r="74" spans="4:4" x14ac:dyDescent="0.3">
      <c r="D74" t="s">
        <v>104</v>
      </c>
    </row>
    <row r="75" spans="4:4" x14ac:dyDescent="0.3">
      <c r="D75" t="s">
        <v>105</v>
      </c>
    </row>
    <row r="76" spans="4:4" x14ac:dyDescent="0.3">
      <c r="D76" t="s">
        <v>106</v>
      </c>
    </row>
    <row r="77" spans="4:4" x14ac:dyDescent="0.3">
      <c r="D77" t="s">
        <v>107</v>
      </c>
    </row>
    <row r="78" spans="4:4" x14ac:dyDescent="0.3">
      <c r="D78" t="s">
        <v>108</v>
      </c>
    </row>
    <row r="79" spans="4:4" x14ac:dyDescent="0.3">
      <c r="D79" t="s">
        <v>109</v>
      </c>
    </row>
    <row r="80" spans="4:4" x14ac:dyDescent="0.3">
      <c r="D80" t="s">
        <v>110</v>
      </c>
    </row>
    <row r="81" spans="4:4" x14ac:dyDescent="0.3">
      <c r="D81" t="s">
        <v>111</v>
      </c>
    </row>
    <row r="82" spans="4:4" x14ac:dyDescent="0.3">
      <c r="D82" t="s">
        <v>112</v>
      </c>
    </row>
    <row r="83" spans="4:4" x14ac:dyDescent="0.3">
      <c r="D83" t="s">
        <v>113</v>
      </c>
    </row>
    <row r="84" spans="4:4" x14ac:dyDescent="0.3">
      <c r="D84" t="s">
        <v>114</v>
      </c>
    </row>
    <row r="85" spans="4:4" x14ac:dyDescent="0.3">
      <c r="D85" t="s">
        <v>115</v>
      </c>
    </row>
    <row r="86" spans="4:4" x14ac:dyDescent="0.3">
      <c r="D86" t="s">
        <v>116</v>
      </c>
    </row>
    <row r="87" spans="4:4" x14ac:dyDescent="0.3">
      <c r="D87" t="s">
        <v>117</v>
      </c>
    </row>
    <row r="88" spans="4:4" x14ac:dyDescent="0.3">
      <c r="D88" t="s">
        <v>118</v>
      </c>
    </row>
    <row r="89" spans="4:4" x14ac:dyDescent="0.3">
      <c r="D89" t="s">
        <v>119</v>
      </c>
    </row>
    <row r="90" spans="4:4" x14ac:dyDescent="0.3">
      <c r="D90" t="s">
        <v>120</v>
      </c>
    </row>
    <row r="91" spans="4:4" x14ac:dyDescent="0.3">
      <c r="D91" t="s">
        <v>121</v>
      </c>
    </row>
    <row r="92" spans="4:4" x14ac:dyDescent="0.3">
      <c r="D92" t="s">
        <v>122</v>
      </c>
    </row>
    <row r="93" spans="4:4" x14ac:dyDescent="0.3">
      <c r="D93" t="s">
        <v>123</v>
      </c>
    </row>
    <row r="94" spans="4:4" x14ac:dyDescent="0.3">
      <c r="D94" t="s">
        <v>124</v>
      </c>
    </row>
    <row r="95" spans="4:4" x14ac:dyDescent="0.3">
      <c r="D95" t="s">
        <v>125</v>
      </c>
    </row>
    <row r="96" spans="4:4" x14ac:dyDescent="0.3">
      <c r="D96" t="s">
        <v>126</v>
      </c>
    </row>
    <row r="97" spans="4:4" x14ac:dyDescent="0.3">
      <c r="D97" t="s">
        <v>127</v>
      </c>
    </row>
    <row r="98" spans="4:4" x14ac:dyDescent="0.3">
      <c r="D98" t="s">
        <v>128</v>
      </c>
    </row>
    <row r="99" spans="4:4" x14ac:dyDescent="0.3">
      <c r="D99" t="s">
        <v>129</v>
      </c>
    </row>
    <row r="100" spans="4:4" x14ac:dyDescent="0.3">
      <c r="D100" t="s">
        <v>130</v>
      </c>
    </row>
    <row r="101" spans="4:4" x14ac:dyDescent="0.3">
      <c r="D101" t="s">
        <v>131</v>
      </c>
    </row>
    <row r="102" spans="4:4" x14ac:dyDescent="0.3">
      <c r="D102" t="s">
        <v>132</v>
      </c>
    </row>
    <row r="103" spans="4:4" x14ac:dyDescent="0.3">
      <c r="D103" t="s">
        <v>133</v>
      </c>
    </row>
    <row r="104" spans="4:4" x14ac:dyDescent="0.3">
      <c r="D104" t="s">
        <v>134</v>
      </c>
    </row>
    <row r="105" spans="4:4" x14ac:dyDescent="0.3">
      <c r="D105" t="s">
        <v>135</v>
      </c>
    </row>
    <row r="106" spans="4:4" x14ac:dyDescent="0.3">
      <c r="D106" t="s">
        <v>136</v>
      </c>
    </row>
    <row r="107" spans="4:4" x14ac:dyDescent="0.3">
      <c r="D107" t="s">
        <v>137</v>
      </c>
    </row>
    <row r="108" spans="4:4" x14ac:dyDescent="0.3">
      <c r="D108" t="s">
        <v>138</v>
      </c>
    </row>
    <row r="109" spans="4:4" x14ac:dyDescent="0.3">
      <c r="D109" t="s">
        <v>139</v>
      </c>
    </row>
    <row r="110" spans="4:4" x14ac:dyDescent="0.3">
      <c r="D110" t="s">
        <v>140</v>
      </c>
    </row>
    <row r="111" spans="4:4" x14ac:dyDescent="0.3">
      <c r="D111" t="s">
        <v>141</v>
      </c>
    </row>
    <row r="112" spans="4:4" x14ac:dyDescent="0.3">
      <c r="D112" t="s">
        <v>142</v>
      </c>
    </row>
    <row r="113" spans="4:4" x14ac:dyDescent="0.3">
      <c r="D113" t="s">
        <v>143</v>
      </c>
    </row>
    <row r="114" spans="4:4" x14ac:dyDescent="0.3">
      <c r="D114" t="s">
        <v>144</v>
      </c>
    </row>
    <row r="115" spans="4:4" x14ac:dyDescent="0.3">
      <c r="D115" t="s">
        <v>145</v>
      </c>
    </row>
    <row r="116" spans="4:4" x14ac:dyDescent="0.3">
      <c r="D116" t="s">
        <v>146</v>
      </c>
    </row>
    <row r="117" spans="4:4" x14ac:dyDescent="0.3">
      <c r="D117" t="s">
        <v>147</v>
      </c>
    </row>
    <row r="118" spans="4:4" x14ac:dyDescent="0.3">
      <c r="D118" t="s">
        <v>148</v>
      </c>
    </row>
    <row r="119" spans="4:4" x14ac:dyDescent="0.3">
      <c r="D119" t="s">
        <v>149</v>
      </c>
    </row>
    <row r="120" spans="4:4" x14ac:dyDescent="0.3">
      <c r="D120" t="s">
        <v>150</v>
      </c>
    </row>
    <row r="121" spans="4:4" x14ac:dyDescent="0.3">
      <c r="D121" t="s">
        <v>151</v>
      </c>
    </row>
    <row r="122" spans="4:4" x14ac:dyDescent="0.3">
      <c r="D122" t="s">
        <v>152</v>
      </c>
    </row>
    <row r="123" spans="4:4" x14ac:dyDescent="0.3">
      <c r="D123" t="s">
        <v>153</v>
      </c>
    </row>
    <row r="124" spans="4:4" x14ac:dyDescent="0.3">
      <c r="D124" t="s">
        <v>154</v>
      </c>
    </row>
    <row r="125" spans="4:4" x14ac:dyDescent="0.3">
      <c r="D125" t="s">
        <v>155</v>
      </c>
    </row>
    <row r="126" spans="4:4" x14ac:dyDescent="0.3">
      <c r="D126" t="s">
        <v>156</v>
      </c>
    </row>
    <row r="127" spans="4:4" x14ac:dyDescent="0.3">
      <c r="D127" t="s">
        <v>157</v>
      </c>
    </row>
    <row r="128" spans="4:4" x14ac:dyDescent="0.3">
      <c r="D128" t="s">
        <v>158</v>
      </c>
    </row>
    <row r="129" spans="4:4" x14ac:dyDescent="0.3">
      <c r="D129" t="s">
        <v>159</v>
      </c>
    </row>
    <row r="130" spans="4:4" x14ac:dyDescent="0.3">
      <c r="D130" t="s">
        <v>160</v>
      </c>
    </row>
    <row r="131" spans="4:4" x14ac:dyDescent="0.3">
      <c r="D131" t="s">
        <v>161</v>
      </c>
    </row>
    <row r="132" spans="4:4" x14ac:dyDescent="0.3">
      <c r="D132" t="s">
        <v>162</v>
      </c>
    </row>
    <row r="133" spans="4:4" x14ac:dyDescent="0.3">
      <c r="D133" t="s">
        <v>163</v>
      </c>
    </row>
    <row r="134" spans="4:4" x14ac:dyDescent="0.3">
      <c r="D134" t="s">
        <v>164</v>
      </c>
    </row>
    <row r="135" spans="4:4" x14ac:dyDescent="0.3">
      <c r="D135" t="s">
        <v>165</v>
      </c>
    </row>
    <row r="136" spans="4:4" x14ac:dyDescent="0.3">
      <c r="D136" t="s">
        <v>166</v>
      </c>
    </row>
    <row r="137" spans="4:4" x14ac:dyDescent="0.3">
      <c r="D137" t="s">
        <v>167</v>
      </c>
    </row>
    <row r="138" spans="4:4" x14ac:dyDescent="0.3">
      <c r="D138" t="s">
        <v>168</v>
      </c>
    </row>
    <row r="139" spans="4:4" x14ac:dyDescent="0.3">
      <c r="D139" t="s">
        <v>169</v>
      </c>
    </row>
    <row r="140" spans="4:4" x14ac:dyDescent="0.3">
      <c r="D140" t="s">
        <v>170</v>
      </c>
    </row>
    <row r="141" spans="4:4" x14ac:dyDescent="0.3">
      <c r="D141" t="s">
        <v>171</v>
      </c>
    </row>
    <row r="142" spans="4:4" x14ac:dyDescent="0.3">
      <c r="D142" t="s">
        <v>172</v>
      </c>
    </row>
    <row r="143" spans="4:4" x14ac:dyDescent="0.3">
      <c r="D143" t="s">
        <v>173</v>
      </c>
    </row>
    <row r="144" spans="4:4" x14ac:dyDescent="0.3">
      <c r="D144" t="s">
        <v>174</v>
      </c>
    </row>
    <row r="145" spans="4:4" x14ac:dyDescent="0.3">
      <c r="D145" t="s">
        <v>175</v>
      </c>
    </row>
    <row r="146" spans="4:4" x14ac:dyDescent="0.3">
      <c r="D146" t="s">
        <v>176</v>
      </c>
    </row>
    <row r="147" spans="4:4" x14ac:dyDescent="0.3">
      <c r="D147" t="s">
        <v>177</v>
      </c>
    </row>
    <row r="148" spans="4:4" x14ac:dyDescent="0.3">
      <c r="D148" t="s">
        <v>178</v>
      </c>
    </row>
    <row r="149" spans="4:4" x14ac:dyDescent="0.3">
      <c r="D149" t="s">
        <v>179</v>
      </c>
    </row>
    <row r="150" spans="4:4" x14ac:dyDescent="0.3">
      <c r="D150" t="s">
        <v>180</v>
      </c>
    </row>
    <row r="151" spans="4:4" x14ac:dyDescent="0.3">
      <c r="D151" t="s">
        <v>181</v>
      </c>
    </row>
    <row r="152" spans="4:4" x14ac:dyDescent="0.3">
      <c r="D152" t="s">
        <v>182</v>
      </c>
    </row>
    <row r="153" spans="4:4" x14ac:dyDescent="0.3">
      <c r="D153" t="s">
        <v>183</v>
      </c>
    </row>
    <row r="154" spans="4:4" x14ac:dyDescent="0.3">
      <c r="D154" t="s">
        <v>184</v>
      </c>
    </row>
    <row r="155" spans="4:4" x14ac:dyDescent="0.3">
      <c r="D155" t="s">
        <v>185</v>
      </c>
    </row>
    <row r="156" spans="4:4" x14ac:dyDescent="0.3">
      <c r="D156" t="s">
        <v>186</v>
      </c>
    </row>
    <row r="157" spans="4:4" x14ac:dyDescent="0.3">
      <c r="D157" t="s">
        <v>187</v>
      </c>
    </row>
    <row r="158" spans="4:4" x14ac:dyDescent="0.3">
      <c r="D158" t="s">
        <v>188</v>
      </c>
    </row>
    <row r="159" spans="4:4" x14ac:dyDescent="0.3">
      <c r="D159" t="s">
        <v>189</v>
      </c>
    </row>
    <row r="160" spans="4:4" x14ac:dyDescent="0.3">
      <c r="D160" t="s">
        <v>190</v>
      </c>
    </row>
    <row r="161" spans="4:4" x14ac:dyDescent="0.3">
      <c r="D161" t="s">
        <v>191</v>
      </c>
    </row>
    <row r="162" spans="4:4" x14ac:dyDescent="0.3">
      <c r="D162" t="s">
        <v>192</v>
      </c>
    </row>
    <row r="163" spans="4:4" x14ac:dyDescent="0.3">
      <c r="D163" t="s">
        <v>193</v>
      </c>
    </row>
    <row r="164" spans="4:4" x14ac:dyDescent="0.3">
      <c r="D164" t="s">
        <v>194</v>
      </c>
    </row>
    <row r="165" spans="4:4" x14ac:dyDescent="0.3">
      <c r="D165" t="s">
        <v>195</v>
      </c>
    </row>
    <row r="166" spans="4:4" x14ac:dyDescent="0.3">
      <c r="D166" t="s">
        <v>196</v>
      </c>
    </row>
    <row r="167" spans="4:4" x14ac:dyDescent="0.3">
      <c r="D167" t="s">
        <v>197</v>
      </c>
    </row>
    <row r="168" spans="4:4" x14ac:dyDescent="0.3">
      <c r="D168" t="s">
        <v>198</v>
      </c>
    </row>
    <row r="169" spans="4:4" x14ac:dyDescent="0.3">
      <c r="D169" t="s">
        <v>199</v>
      </c>
    </row>
    <row r="170" spans="4:4" x14ac:dyDescent="0.3">
      <c r="D170" t="s">
        <v>200</v>
      </c>
    </row>
    <row r="171" spans="4:4" x14ac:dyDescent="0.3">
      <c r="D171" t="s">
        <v>201</v>
      </c>
    </row>
    <row r="172" spans="4:4" x14ac:dyDescent="0.3">
      <c r="D172" t="s">
        <v>202</v>
      </c>
    </row>
    <row r="173" spans="4:4" x14ac:dyDescent="0.3">
      <c r="D173" t="s">
        <v>203</v>
      </c>
    </row>
    <row r="174" spans="4:4" x14ac:dyDescent="0.3">
      <c r="D174" t="s">
        <v>204</v>
      </c>
    </row>
    <row r="175" spans="4:4" x14ac:dyDescent="0.3">
      <c r="D175" t="s">
        <v>205</v>
      </c>
    </row>
    <row r="176" spans="4:4" x14ac:dyDescent="0.3">
      <c r="D176" t="s">
        <v>206</v>
      </c>
    </row>
    <row r="177" spans="4:4" x14ac:dyDescent="0.3">
      <c r="D177" t="s">
        <v>207</v>
      </c>
    </row>
    <row r="178" spans="4:4" x14ac:dyDescent="0.3">
      <c r="D178" t="s">
        <v>208</v>
      </c>
    </row>
    <row r="179" spans="4:4" x14ac:dyDescent="0.3">
      <c r="D179" t="s">
        <v>209</v>
      </c>
    </row>
    <row r="180" spans="4:4" x14ac:dyDescent="0.3">
      <c r="D180" t="s">
        <v>210</v>
      </c>
    </row>
    <row r="181" spans="4:4" x14ac:dyDescent="0.3">
      <c r="D181" t="s">
        <v>211</v>
      </c>
    </row>
    <row r="182" spans="4:4" x14ac:dyDescent="0.3">
      <c r="D182" t="s">
        <v>212</v>
      </c>
    </row>
    <row r="183" spans="4:4" x14ac:dyDescent="0.3">
      <c r="D183" t="s">
        <v>213</v>
      </c>
    </row>
    <row r="184" spans="4:4" x14ac:dyDescent="0.3">
      <c r="D184" t="s">
        <v>214</v>
      </c>
    </row>
    <row r="185" spans="4:4" x14ac:dyDescent="0.3">
      <c r="D185" t="s">
        <v>215</v>
      </c>
    </row>
    <row r="186" spans="4:4" x14ac:dyDescent="0.3">
      <c r="D186" t="s">
        <v>216</v>
      </c>
    </row>
    <row r="187" spans="4:4" x14ac:dyDescent="0.3">
      <c r="D187" t="s">
        <v>217</v>
      </c>
    </row>
    <row r="188" spans="4:4" x14ac:dyDescent="0.3">
      <c r="D188" t="s">
        <v>218</v>
      </c>
    </row>
    <row r="189" spans="4:4" x14ac:dyDescent="0.3">
      <c r="D189" t="s">
        <v>219</v>
      </c>
    </row>
    <row r="190" spans="4:4" x14ac:dyDescent="0.3">
      <c r="D190" t="s">
        <v>220</v>
      </c>
    </row>
    <row r="191" spans="4:4" x14ac:dyDescent="0.3">
      <c r="D191" t="s">
        <v>221</v>
      </c>
    </row>
    <row r="192" spans="4:4" x14ac:dyDescent="0.3">
      <c r="D192" t="s">
        <v>222</v>
      </c>
    </row>
    <row r="193" spans="4:4" x14ac:dyDescent="0.3">
      <c r="D193" t="s">
        <v>223</v>
      </c>
    </row>
    <row r="194" spans="4:4" x14ac:dyDescent="0.3">
      <c r="D194" t="s">
        <v>224</v>
      </c>
    </row>
    <row r="195" spans="4:4" x14ac:dyDescent="0.3">
      <c r="D195" t="s">
        <v>225</v>
      </c>
    </row>
    <row r="196" spans="4:4" x14ac:dyDescent="0.3">
      <c r="D196" t="s">
        <v>226</v>
      </c>
    </row>
    <row r="197" spans="4:4" x14ac:dyDescent="0.3">
      <c r="D197" t="s">
        <v>227</v>
      </c>
    </row>
    <row r="198" spans="4:4" x14ac:dyDescent="0.3">
      <c r="D198" t="s">
        <v>228</v>
      </c>
    </row>
    <row r="199" spans="4:4" x14ac:dyDescent="0.3">
      <c r="D199" t="s">
        <v>229</v>
      </c>
    </row>
    <row r="200" spans="4:4" x14ac:dyDescent="0.3">
      <c r="D200" t="s">
        <v>230</v>
      </c>
    </row>
    <row r="201" spans="4:4" x14ac:dyDescent="0.3">
      <c r="D201" t="s">
        <v>231</v>
      </c>
    </row>
    <row r="202" spans="4:4" x14ac:dyDescent="0.3">
      <c r="D202" t="s">
        <v>232</v>
      </c>
    </row>
    <row r="203" spans="4:4" x14ac:dyDescent="0.3">
      <c r="D203" t="s">
        <v>233</v>
      </c>
    </row>
    <row r="204" spans="4:4" x14ac:dyDescent="0.3">
      <c r="D204" t="s">
        <v>234</v>
      </c>
    </row>
    <row r="205" spans="4:4" x14ac:dyDescent="0.3">
      <c r="D205" t="s">
        <v>235</v>
      </c>
    </row>
    <row r="206" spans="4:4" x14ac:dyDescent="0.3">
      <c r="D206" t="s">
        <v>236</v>
      </c>
    </row>
    <row r="207" spans="4:4" x14ac:dyDescent="0.3">
      <c r="D207" t="s">
        <v>237</v>
      </c>
    </row>
    <row r="208" spans="4:4" x14ac:dyDescent="0.3">
      <c r="D208" t="s">
        <v>238</v>
      </c>
    </row>
    <row r="209" spans="4:4" x14ac:dyDescent="0.3">
      <c r="D209" t="s">
        <v>239</v>
      </c>
    </row>
    <row r="210" spans="4:4" x14ac:dyDescent="0.3">
      <c r="D210" t="s">
        <v>240</v>
      </c>
    </row>
    <row r="211" spans="4:4" x14ac:dyDescent="0.3">
      <c r="D211" t="s">
        <v>241</v>
      </c>
    </row>
    <row r="212" spans="4:4" x14ac:dyDescent="0.3">
      <c r="D212" t="s">
        <v>242</v>
      </c>
    </row>
    <row r="213" spans="4:4" x14ac:dyDescent="0.3">
      <c r="D213" t="s">
        <v>243</v>
      </c>
    </row>
    <row r="214" spans="4:4" x14ac:dyDescent="0.3">
      <c r="D214" t="s">
        <v>244</v>
      </c>
    </row>
    <row r="215" spans="4:4" x14ac:dyDescent="0.3">
      <c r="D215" t="s">
        <v>245</v>
      </c>
    </row>
    <row r="216" spans="4:4" x14ac:dyDescent="0.3">
      <c r="D216" t="s">
        <v>246</v>
      </c>
    </row>
    <row r="217" spans="4:4" x14ac:dyDescent="0.3">
      <c r="D217" t="s">
        <v>247</v>
      </c>
    </row>
    <row r="218" spans="4:4" x14ac:dyDescent="0.3">
      <c r="D218" t="s">
        <v>248</v>
      </c>
    </row>
    <row r="219" spans="4:4" x14ac:dyDescent="0.3">
      <c r="D219" t="s">
        <v>249</v>
      </c>
    </row>
    <row r="220" spans="4:4" x14ac:dyDescent="0.3">
      <c r="D220" t="s">
        <v>250</v>
      </c>
    </row>
    <row r="221" spans="4:4" x14ac:dyDescent="0.3">
      <c r="D221" t="s">
        <v>251</v>
      </c>
    </row>
    <row r="222" spans="4:4" x14ac:dyDescent="0.3">
      <c r="D222" t="s">
        <v>252</v>
      </c>
    </row>
    <row r="223" spans="4:4" x14ac:dyDescent="0.3">
      <c r="D223" t="s">
        <v>253</v>
      </c>
    </row>
    <row r="224" spans="4:4" x14ac:dyDescent="0.3">
      <c r="D224" t="s">
        <v>254</v>
      </c>
    </row>
    <row r="225" spans="4:4" x14ac:dyDescent="0.3">
      <c r="D225" t="s">
        <v>255</v>
      </c>
    </row>
    <row r="226" spans="4:4" x14ac:dyDescent="0.3">
      <c r="D226" t="s">
        <v>256</v>
      </c>
    </row>
    <row r="227" spans="4:4" x14ac:dyDescent="0.3">
      <c r="D227" t="s">
        <v>257</v>
      </c>
    </row>
    <row r="228" spans="4:4" x14ac:dyDescent="0.3">
      <c r="D228" t="s">
        <v>258</v>
      </c>
    </row>
    <row r="229" spans="4:4" x14ac:dyDescent="0.3">
      <c r="D229" t="s">
        <v>259</v>
      </c>
    </row>
    <row r="230" spans="4:4" x14ac:dyDescent="0.3">
      <c r="D230" t="s">
        <v>260</v>
      </c>
    </row>
    <row r="231" spans="4:4" x14ac:dyDescent="0.3">
      <c r="D231" t="s">
        <v>261</v>
      </c>
    </row>
    <row r="232" spans="4:4" x14ac:dyDescent="0.3">
      <c r="D232" t="s">
        <v>262</v>
      </c>
    </row>
    <row r="233" spans="4:4" x14ac:dyDescent="0.3">
      <c r="D233" t="s">
        <v>263</v>
      </c>
    </row>
    <row r="234" spans="4:4" x14ac:dyDescent="0.3">
      <c r="D234" t="s">
        <v>264</v>
      </c>
    </row>
    <row r="235" spans="4:4" x14ac:dyDescent="0.3">
      <c r="D235" t="s">
        <v>265</v>
      </c>
    </row>
    <row r="236" spans="4:4" x14ac:dyDescent="0.3">
      <c r="D236" t="s">
        <v>266</v>
      </c>
    </row>
    <row r="237" spans="4:4" x14ac:dyDescent="0.3">
      <c r="D237" t="s">
        <v>267</v>
      </c>
    </row>
    <row r="238" spans="4:4" x14ac:dyDescent="0.3">
      <c r="D238" t="s">
        <v>268</v>
      </c>
    </row>
    <row r="239" spans="4:4" x14ac:dyDescent="0.3">
      <c r="D239" t="s">
        <v>269</v>
      </c>
    </row>
    <row r="240" spans="4:4" x14ac:dyDescent="0.3">
      <c r="D240" t="s">
        <v>270</v>
      </c>
    </row>
    <row r="241" spans="4:4" x14ac:dyDescent="0.3">
      <c r="D241" t="s">
        <v>271</v>
      </c>
    </row>
    <row r="242" spans="4:4" x14ac:dyDescent="0.3">
      <c r="D242" t="s">
        <v>272</v>
      </c>
    </row>
    <row r="243" spans="4:4" x14ac:dyDescent="0.3">
      <c r="D243" t="s">
        <v>273</v>
      </c>
    </row>
    <row r="244" spans="4:4" x14ac:dyDescent="0.3">
      <c r="D244" t="s">
        <v>274</v>
      </c>
    </row>
    <row r="245" spans="4:4" x14ac:dyDescent="0.3">
      <c r="D245" t="s">
        <v>275</v>
      </c>
    </row>
    <row r="246" spans="4:4" x14ac:dyDescent="0.3">
      <c r="D246" t="s">
        <v>276</v>
      </c>
    </row>
    <row r="247" spans="4:4" x14ac:dyDescent="0.3">
      <c r="D247" t="s">
        <v>277</v>
      </c>
    </row>
    <row r="248" spans="4:4" x14ac:dyDescent="0.3">
      <c r="D248" t="s">
        <v>278</v>
      </c>
    </row>
    <row r="249" spans="4:4" x14ac:dyDescent="0.3">
      <c r="D249" t="s">
        <v>279</v>
      </c>
    </row>
    <row r="250" spans="4:4" x14ac:dyDescent="0.3">
      <c r="D250" t="s">
        <v>280</v>
      </c>
    </row>
    <row r="251" spans="4:4" x14ac:dyDescent="0.3">
      <c r="D251" t="s">
        <v>281</v>
      </c>
    </row>
    <row r="252" spans="4:4" x14ac:dyDescent="0.3">
      <c r="D252" t="s">
        <v>282</v>
      </c>
    </row>
    <row r="253" spans="4:4" x14ac:dyDescent="0.3">
      <c r="D253" t="s">
        <v>283</v>
      </c>
    </row>
    <row r="254" spans="4:4" x14ac:dyDescent="0.3">
      <c r="D254" t="s">
        <v>284</v>
      </c>
    </row>
    <row r="255" spans="4:4" x14ac:dyDescent="0.3">
      <c r="D255" t="s">
        <v>285</v>
      </c>
    </row>
    <row r="256" spans="4:4" x14ac:dyDescent="0.3">
      <c r="D256" t="s">
        <v>286</v>
      </c>
    </row>
    <row r="257" spans="4:4" x14ac:dyDescent="0.3">
      <c r="D257" t="s">
        <v>287</v>
      </c>
    </row>
    <row r="258" spans="4:4" x14ac:dyDescent="0.3">
      <c r="D258" t="s">
        <v>288</v>
      </c>
    </row>
    <row r="259" spans="4:4" x14ac:dyDescent="0.3">
      <c r="D259" t="s">
        <v>289</v>
      </c>
    </row>
    <row r="260" spans="4:4" x14ac:dyDescent="0.3">
      <c r="D260" t="s">
        <v>290</v>
      </c>
    </row>
    <row r="261" spans="4:4" x14ac:dyDescent="0.3">
      <c r="D261" t="s">
        <v>291</v>
      </c>
    </row>
    <row r="262" spans="4:4" x14ac:dyDescent="0.3">
      <c r="D262" t="s">
        <v>292</v>
      </c>
    </row>
    <row r="263" spans="4:4" x14ac:dyDescent="0.3">
      <c r="D263" t="s">
        <v>293</v>
      </c>
    </row>
    <row r="264" spans="4:4" x14ac:dyDescent="0.3">
      <c r="D264" t="s">
        <v>294</v>
      </c>
    </row>
    <row r="265" spans="4:4" x14ac:dyDescent="0.3">
      <c r="D265" t="s">
        <v>295</v>
      </c>
    </row>
    <row r="266" spans="4:4" x14ac:dyDescent="0.3">
      <c r="D266" t="s">
        <v>296</v>
      </c>
    </row>
    <row r="267" spans="4:4" x14ac:dyDescent="0.3">
      <c r="D267" t="s">
        <v>297</v>
      </c>
    </row>
    <row r="268" spans="4:4" x14ac:dyDescent="0.3">
      <c r="D268" t="s">
        <v>298</v>
      </c>
    </row>
    <row r="269" spans="4:4" x14ac:dyDescent="0.3">
      <c r="D269" t="s">
        <v>299</v>
      </c>
    </row>
    <row r="270" spans="4:4" x14ac:dyDescent="0.3">
      <c r="D270" t="s">
        <v>300</v>
      </c>
    </row>
    <row r="271" spans="4:4" x14ac:dyDescent="0.3">
      <c r="D271" t="s">
        <v>301</v>
      </c>
    </row>
    <row r="272" spans="4:4" x14ac:dyDescent="0.3">
      <c r="D272" t="s">
        <v>302</v>
      </c>
    </row>
    <row r="273" spans="4:4" x14ac:dyDescent="0.3">
      <c r="D273" t="s">
        <v>303</v>
      </c>
    </row>
    <row r="274" spans="4:4" x14ac:dyDescent="0.3">
      <c r="D274" t="s">
        <v>304</v>
      </c>
    </row>
    <row r="275" spans="4:4" x14ac:dyDescent="0.3">
      <c r="D275" t="s">
        <v>305</v>
      </c>
    </row>
    <row r="276" spans="4:4" x14ac:dyDescent="0.3">
      <c r="D276" t="s">
        <v>306</v>
      </c>
    </row>
    <row r="277" spans="4:4" x14ac:dyDescent="0.3">
      <c r="D277" t="s">
        <v>307</v>
      </c>
    </row>
    <row r="278" spans="4:4" x14ac:dyDescent="0.3">
      <c r="D278" t="s">
        <v>308</v>
      </c>
    </row>
    <row r="279" spans="4:4" x14ac:dyDescent="0.3">
      <c r="D279" t="s">
        <v>309</v>
      </c>
    </row>
    <row r="280" spans="4:4" x14ac:dyDescent="0.3">
      <c r="D280" t="s">
        <v>310</v>
      </c>
    </row>
    <row r="281" spans="4:4" x14ac:dyDescent="0.3">
      <c r="D281" t="s">
        <v>311</v>
      </c>
    </row>
    <row r="282" spans="4:4" x14ac:dyDescent="0.3">
      <c r="D282" t="s">
        <v>312</v>
      </c>
    </row>
    <row r="283" spans="4:4" x14ac:dyDescent="0.3">
      <c r="D283" t="s">
        <v>313</v>
      </c>
    </row>
    <row r="284" spans="4:4" x14ac:dyDescent="0.3">
      <c r="D284" t="s">
        <v>314</v>
      </c>
    </row>
    <row r="285" spans="4:4" x14ac:dyDescent="0.3">
      <c r="D285" t="s">
        <v>315</v>
      </c>
    </row>
    <row r="286" spans="4:4" x14ac:dyDescent="0.3">
      <c r="D286" t="s">
        <v>316</v>
      </c>
    </row>
    <row r="287" spans="4:4" x14ac:dyDescent="0.3">
      <c r="D287" t="s">
        <v>317</v>
      </c>
    </row>
    <row r="288" spans="4:4" x14ac:dyDescent="0.3">
      <c r="D288" t="s">
        <v>318</v>
      </c>
    </row>
    <row r="289" spans="4:4" x14ac:dyDescent="0.3">
      <c r="D289" t="s">
        <v>319</v>
      </c>
    </row>
    <row r="290" spans="4:4" x14ac:dyDescent="0.3">
      <c r="D290" t="s">
        <v>320</v>
      </c>
    </row>
    <row r="291" spans="4:4" x14ac:dyDescent="0.3">
      <c r="D291" t="s">
        <v>321</v>
      </c>
    </row>
    <row r="292" spans="4:4" x14ac:dyDescent="0.3">
      <c r="D292" t="s">
        <v>322</v>
      </c>
    </row>
    <row r="293" spans="4:4" x14ac:dyDescent="0.3">
      <c r="D293" t="s">
        <v>323</v>
      </c>
    </row>
    <row r="294" spans="4:4" x14ac:dyDescent="0.3">
      <c r="D294" t="s">
        <v>324</v>
      </c>
    </row>
    <row r="295" spans="4:4" x14ac:dyDescent="0.3">
      <c r="D295" t="s">
        <v>325</v>
      </c>
    </row>
    <row r="296" spans="4:4" x14ac:dyDescent="0.3">
      <c r="D296" t="s">
        <v>326</v>
      </c>
    </row>
    <row r="297" spans="4:4" x14ac:dyDescent="0.3">
      <c r="D297" t="s">
        <v>327</v>
      </c>
    </row>
    <row r="298" spans="4:4" x14ac:dyDescent="0.3">
      <c r="D298" t="s">
        <v>328</v>
      </c>
    </row>
    <row r="299" spans="4:4" x14ac:dyDescent="0.3">
      <c r="D299" t="s">
        <v>329</v>
      </c>
    </row>
    <row r="300" spans="4:4" x14ac:dyDescent="0.3">
      <c r="D300" t="s">
        <v>330</v>
      </c>
    </row>
    <row r="301" spans="4:4" x14ac:dyDescent="0.3">
      <c r="D301" t="s">
        <v>331</v>
      </c>
    </row>
    <row r="302" spans="4:4" x14ac:dyDescent="0.3">
      <c r="D302" t="s">
        <v>332</v>
      </c>
    </row>
    <row r="303" spans="4:4" x14ac:dyDescent="0.3">
      <c r="D303" t="s">
        <v>333</v>
      </c>
    </row>
    <row r="304" spans="4:4" x14ac:dyDescent="0.3">
      <c r="D304" t="s">
        <v>334</v>
      </c>
    </row>
    <row r="305" spans="4:4" x14ac:dyDescent="0.3">
      <c r="D305" t="s">
        <v>335</v>
      </c>
    </row>
    <row r="306" spans="4:4" x14ac:dyDescent="0.3">
      <c r="D306" t="s">
        <v>336</v>
      </c>
    </row>
    <row r="307" spans="4:4" x14ac:dyDescent="0.3">
      <c r="D307" t="s">
        <v>337</v>
      </c>
    </row>
    <row r="308" spans="4:4" x14ac:dyDescent="0.3">
      <c r="D308" t="s">
        <v>338</v>
      </c>
    </row>
    <row r="309" spans="4:4" x14ac:dyDescent="0.3">
      <c r="D309" t="s">
        <v>339</v>
      </c>
    </row>
    <row r="310" spans="4:4" x14ac:dyDescent="0.3">
      <c r="D310" t="s">
        <v>340</v>
      </c>
    </row>
    <row r="311" spans="4:4" x14ac:dyDescent="0.3">
      <c r="D311" t="s">
        <v>341</v>
      </c>
    </row>
    <row r="312" spans="4:4" x14ac:dyDescent="0.3">
      <c r="D312" t="s">
        <v>342</v>
      </c>
    </row>
    <row r="313" spans="4:4" x14ac:dyDescent="0.3">
      <c r="D313" t="s">
        <v>343</v>
      </c>
    </row>
    <row r="314" spans="4:4" x14ac:dyDescent="0.3">
      <c r="D314" t="s">
        <v>344</v>
      </c>
    </row>
    <row r="315" spans="4:4" x14ac:dyDescent="0.3">
      <c r="D315" t="s">
        <v>345</v>
      </c>
    </row>
    <row r="316" spans="4:4" x14ac:dyDescent="0.3">
      <c r="D316" t="s">
        <v>346</v>
      </c>
    </row>
    <row r="317" spans="4:4" x14ac:dyDescent="0.3">
      <c r="D317" t="s">
        <v>347</v>
      </c>
    </row>
    <row r="318" spans="4:4" x14ac:dyDescent="0.3">
      <c r="D318" t="s">
        <v>348</v>
      </c>
    </row>
    <row r="319" spans="4:4" x14ac:dyDescent="0.3">
      <c r="D319" t="s">
        <v>349</v>
      </c>
    </row>
    <row r="320" spans="4:4" x14ac:dyDescent="0.3">
      <c r="D320" t="s">
        <v>350</v>
      </c>
    </row>
    <row r="321" spans="4:4" x14ac:dyDescent="0.3">
      <c r="D321" t="s">
        <v>351</v>
      </c>
    </row>
    <row r="322" spans="4:4" x14ac:dyDescent="0.3">
      <c r="D322" t="s">
        <v>352</v>
      </c>
    </row>
    <row r="323" spans="4:4" x14ac:dyDescent="0.3">
      <c r="D323" t="s">
        <v>353</v>
      </c>
    </row>
    <row r="324" spans="4:4" x14ac:dyDescent="0.3">
      <c r="D324" t="s">
        <v>354</v>
      </c>
    </row>
    <row r="325" spans="4:4" x14ac:dyDescent="0.3">
      <c r="D325" t="s">
        <v>355</v>
      </c>
    </row>
    <row r="326" spans="4:4" x14ac:dyDescent="0.3">
      <c r="D326" t="s">
        <v>356</v>
      </c>
    </row>
    <row r="327" spans="4:4" x14ac:dyDescent="0.3">
      <c r="D327" t="s">
        <v>357</v>
      </c>
    </row>
    <row r="328" spans="4:4" x14ac:dyDescent="0.3">
      <c r="D328" t="s">
        <v>358</v>
      </c>
    </row>
    <row r="329" spans="4:4" x14ac:dyDescent="0.3">
      <c r="D329" t="s">
        <v>359</v>
      </c>
    </row>
    <row r="330" spans="4:4" x14ac:dyDescent="0.3">
      <c r="D330" t="s">
        <v>360</v>
      </c>
    </row>
    <row r="331" spans="4:4" x14ac:dyDescent="0.3">
      <c r="D331" t="s">
        <v>361</v>
      </c>
    </row>
    <row r="332" spans="4:4" x14ac:dyDescent="0.3">
      <c r="D332" t="s">
        <v>362</v>
      </c>
    </row>
    <row r="333" spans="4:4" x14ac:dyDescent="0.3">
      <c r="D333" t="s">
        <v>363</v>
      </c>
    </row>
    <row r="334" spans="4:4" x14ac:dyDescent="0.3">
      <c r="D334" t="s">
        <v>364</v>
      </c>
    </row>
    <row r="335" spans="4:4" x14ac:dyDescent="0.3">
      <c r="D335" t="s">
        <v>365</v>
      </c>
    </row>
    <row r="336" spans="4:4" x14ac:dyDescent="0.3">
      <c r="D336" t="s">
        <v>366</v>
      </c>
    </row>
    <row r="337" spans="4:4" x14ac:dyDescent="0.3">
      <c r="D337" t="s">
        <v>367</v>
      </c>
    </row>
    <row r="338" spans="4:4" x14ac:dyDescent="0.3">
      <c r="D338" t="s">
        <v>368</v>
      </c>
    </row>
    <row r="339" spans="4:4" x14ac:dyDescent="0.3">
      <c r="D339" t="s">
        <v>369</v>
      </c>
    </row>
    <row r="340" spans="4:4" x14ac:dyDescent="0.3">
      <c r="D340" t="s">
        <v>370</v>
      </c>
    </row>
    <row r="341" spans="4:4" x14ac:dyDescent="0.3">
      <c r="D341" t="s">
        <v>371</v>
      </c>
    </row>
    <row r="342" spans="4:4" x14ac:dyDescent="0.3">
      <c r="D342" t="s">
        <v>372</v>
      </c>
    </row>
    <row r="343" spans="4:4" x14ac:dyDescent="0.3">
      <c r="D343" t="s">
        <v>373</v>
      </c>
    </row>
    <row r="344" spans="4:4" x14ac:dyDescent="0.3">
      <c r="D344" t="s">
        <v>374</v>
      </c>
    </row>
    <row r="345" spans="4:4" x14ac:dyDescent="0.3">
      <c r="D345" t="s">
        <v>375</v>
      </c>
    </row>
    <row r="346" spans="4:4" x14ac:dyDescent="0.3">
      <c r="D346" t="s">
        <v>376</v>
      </c>
    </row>
    <row r="347" spans="4:4" x14ac:dyDescent="0.3">
      <c r="D347" t="s">
        <v>377</v>
      </c>
    </row>
    <row r="348" spans="4:4" x14ac:dyDescent="0.3">
      <c r="D348" t="s">
        <v>378</v>
      </c>
    </row>
    <row r="349" spans="4:4" x14ac:dyDescent="0.3">
      <c r="D349" t="s">
        <v>379</v>
      </c>
    </row>
    <row r="350" spans="4:4" x14ac:dyDescent="0.3">
      <c r="D350" t="s">
        <v>380</v>
      </c>
    </row>
    <row r="351" spans="4:4" x14ac:dyDescent="0.3">
      <c r="D351" t="s">
        <v>381</v>
      </c>
    </row>
    <row r="352" spans="4:4" x14ac:dyDescent="0.3">
      <c r="D352" t="s">
        <v>382</v>
      </c>
    </row>
    <row r="353" spans="4:4" x14ac:dyDescent="0.3">
      <c r="D353" t="s">
        <v>383</v>
      </c>
    </row>
    <row r="354" spans="4:4" x14ac:dyDescent="0.3">
      <c r="D354" t="s">
        <v>384</v>
      </c>
    </row>
    <row r="355" spans="4:4" x14ac:dyDescent="0.3">
      <c r="D355" t="s">
        <v>385</v>
      </c>
    </row>
    <row r="356" spans="4:4" x14ac:dyDescent="0.3">
      <c r="D356" t="s">
        <v>386</v>
      </c>
    </row>
    <row r="357" spans="4:4" x14ac:dyDescent="0.3">
      <c r="D357" t="s">
        <v>387</v>
      </c>
    </row>
    <row r="358" spans="4:4" x14ac:dyDescent="0.3">
      <c r="D358" t="s">
        <v>388</v>
      </c>
    </row>
    <row r="359" spans="4:4" x14ac:dyDescent="0.3">
      <c r="D359" t="s">
        <v>389</v>
      </c>
    </row>
    <row r="360" spans="4:4" x14ac:dyDescent="0.3">
      <c r="D360" t="s">
        <v>390</v>
      </c>
    </row>
    <row r="361" spans="4:4" x14ac:dyDescent="0.3">
      <c r="D361" t="s">
        <v>391</v>
      </c>
    </row>
    <row r="362" spans="4:4" x14ac:dyDescent="0.3">
      <c r="D362" t="s">
        <v>392</v>
      </c>
    </row>
    <row r="363" spans="4:4" x14ac:dyDescent="0.3">
      <c r="D363" t="s">
        <v>393</v>
      </c>
    </row>
    <row r="364" spans="4:4" x14ac:dyDescent="0.3">
      <c r="D364" t="s">
        <v>394</v>
      </c>
    </row>
    <row r="365" spans="4:4" x14ac:dyDescent="0.3">
      <c r="D365" t="s">
        <v>395</v>
      </c>
    </row>
    <row r="366" spans="4:4" x14ac:dyDescent="0.3">
      <c r="D366" t="s">
        <v>396</v>
      </c>
    </row>
    <row r="367" spans="4:4" x14ac:dyDescent="0.3">
      <c r="D367" t="s">
        <v>397</v>
      </c>
    </row>
    <row r="368" spans="4:4" x14ac:dyDescent="0.3">
      <c r="D368" t="s">
        <v>398</v>
      </c>
    </row>
    <row r="369" spans="4:4" x14ac:dyDescent="0.3">
      <c r="D369" t="s">
        <v>399</v>
      </c>
    </row>
    <row r="370" spans="4:4" x14ac:dyDescent="0.3">
      <c r="D370" t="s">
        <v>400</v>
      </c>
    </row>
    <row r="371" spans="4:4" x14ac:dyDescent="0.3">
      <c r="D371" t="s">
        <v>401</v>
      </c>
    </row>
    <row r="372" spans="4:4" x14ac:dyDescent="0.3">
      <c r="D372" t="s">
        <v>402</v>
      </c>
    </row>
    <row r="373" spans="4:4" x14ac:dyDescent="0.3">
      <c r="D373" t="s">
        <v>403</v>
      </c>
    </row>
    <row r="374" spans="4:4" x14ac:dyDescent="0.3">
      <c r="D374" t="s">
        <v>404</v>
      </c>
    </row>
    <row r="375" spans="4:4" x14ac:dyDescent="0.3">
      <c r="D375" t="s">
        <v>405</v>
      </c>
    </row>
    <row r="376" spans="4:4" x14ac:dyDescent="0.3">
      <c r="D376" t="s">
        <v>406</v>
      </c>
    </row>
    <row r="377" spans="4:4" x14ac:dyDescent="0.3">
      <c r="D377" t="s">
        <v>407</v>
      </c>
    </row>
    <row r="378" spans="4:4" x14ac:dyDescent="0.3">
      <c r="D378" t="s">
        <v>408</v>
      </c>
    </row>
    <row r="379" spans="4:4" x14ac:dyDescent="0.3">
      <c r="D379" t="s">
        <v>409</v>
      </c>
    </row>
    <row r="380" spans="4:4" x14ac:dyDescent="0.3">
      <c r="D380" t="s">
        <v>410</v>
      </c>
    </row>
    <row r="381" spans="4:4" x14ac:dyDescent="0.3">
      <c r="D381" t="s">
        <v>411</v>
      </c>
    </row>
    <row r="382" spans="4:4" x14ac:dyDescent="0.3">
      <c r="D382" t="s">
        <v>412</v>
      </c>
    </row>
    <row r="383" spans="4:4" x14ac:dyDescent="0.3">
      <c r="D383" t="s">
        <v>413</v>
      </c>
    </row>
    <row r="384" spans="4:4" x14ac:dyDescent="0.3">
      <c r="D384" t="s">
        <v>414</v>
      </c>
    </row>
    <row r="385" spans="4:4" x14ac:dyDescent="0.3">
      <c r="D385" t="s">
        <v>415</v>
      </c>
    </row>
    <row r="386" spans="4:4" x14ac:dyDescent="0.3">
      <c r="D386" t="s">
        <v>416</v>
      </c>
    </row>
    <row r="387" spans="4:4" x14ac:dyDescent="0.3">
      <c r="D387" t="s">
        <v>417</v>
      </c>
    </row>
    <row r="388" spans="4:4" x14ac:dyDescent="0.3">
      <c r="D388" t="s">
        <v>418</v>
      </c>
    </row>
    <row r="389" spans="4:4" x14ac:dyDescent="0.3">
      <c r="D389" t="s">
        <v>419</v>
      </c>
    </row>
    <row r="390" spans="4:4" x14ac:dyDescent="0.3">
      <c r="D390" t="s">
        <v>420</v>
      </c>
    </row>
    <row r="391" spans="4:4" x14ac:dyDescent="0.3">
      <c r="D391" t="s">
        <v>421</v>
      </c>
    </row>
    <row r="392" spans="4:4" x14ac:dyDescent="0.3">
      <c r="D392" t="s">
        <v>422</v>
      </c>
    </row>
    <row r="393" spans="4:4" x14ac:dyDescent="0.3">
      <c r="D393" t="s">
        <v>423</v>
      </c>
    </row>
    <row r="394" spans="4:4" x14ac:dyDescent="0.3">
      <c r="D394" t="s">
        <v>424</v>
      </c>
    </row>
    <row r="395" spans="4:4" x14ac:dyDescent="0.3">
      <c r="D395" t="s">
        <v>425</v>
      </c>
    </row>
    <row r="396" spans="4:4" x14ac:dyDescent="0.3">
      <c r="D396" t="s">
        <v>426</v>
      </c>
    </row>
    <row r="397" spans="4:4" x14ac:dyDescent="0.3">
      <c r="D397" t="s">
        <v>427</v>
      </c>
    </row>
    <row r="398" spans="4:4" x14ac:dyDescent="0.3">
      <c r="D398" t="s">
        <v>428</v>
      </c>
    </row>
    <row r="399" spans="4:4" x14ac:dyDescent="0.3">
      <c r="D399" t="s">
        <v>429</v>
      </c>
    </row>
    <row r="400" spans="4:4" x14ac:dyDescent="0.3">
      <c r="D400" t="s">
        <v>430</v>
      </c>
    </row>
    <row r="401" spans="4:4" x14ac:dyDescent="0.3">
      <c r="D401" t="s">
        <v>431</v>
      </c>
    </row>
    <row r="402" spans="4:4" x14ac:dyDescent="0.3">
      <c r="D402" t="s">
        <v>432</v>
      </c>
    </row>
    <row r="403" spans="4:4" x14ac:dyDescent="0.3">
      <c r="D403" t="s">
        <v>433</v>
      </c>
    </row>
    <row r="404" spans="4:4" x14ac:dyDescent="0.3">
      <c r="D404" t="s">
        <v>434</v>
      </c>
    </row>
    <row r="405" spans="4:4" x14ac:dyDescent="0.3">
      <c r="D405" t="s">
        <v>435</v>
      </c>
    </row>
    <row r="406" spans="4:4" x14ac:dyDescent="0.3">
      <c r="D406" t="s">
        <v>436</v>
      </c>
    </row>
    <row r="407" spans="4:4" x14ac:dyDescent="0.3">
      <c r="D407" t="s">
        <v>437</v>
      </c>
    </row>
    <row r="408" spans="4:4" x14ac:dyDescent="0.3">
      <c r="D408" t="s">
        <v>438</v>
      </c>
    </row>
    <row r="409" spans="4:4" x14ac:dyDescent="0.3">
      <c r="D409" t="s">
        <v>439</v>
      </c>
    </row>
    <row r="410" spans="4:4" x14ac:dyDescent="0.3">
      <c r="D410" t="s">
        <v>440</v>
      </c>
    </row>
    <row r="411" spans="4:4" x14ac:dyDescent="0.3">
      <c r="D411" t="s">
        <v>441</v>
      </c>
    </row>
    <row r="412" spans="4:4" x14ac:dyDescent="0.3">
      <c r="D412" t="s">
        <v>442</v>
      </c>
    </row>
    <row r="413" spans="4:4" x14ac:dyDescent="0.3">
      <c r="D413" t="s">
        <v>443</v>
      </c>
    </row>
    <row r="414" spans="4:4" x14ac:dyDescent="0.3">
      <c r="D414" t="s">
        <v>444</v>
      </c>
    </row>
    <row r="415" spans="4:4" x14ac:dyDescent="0.3">
      <c r="D415" t="s">
        <v>445</v>
      </c>
    </row>
    <row r="416" spans="4:4" x14ac:dyDescent="0.3">
      <c r="D416" t="s">
        <v>446</v>
      </c>
    </row>
    <row r="417" spans="4:4" x14ac:dyDescent="0.3">
      <c r="D417" t="s">
        <v>447</v>
      </c>
    </row>
    <row r="418" spans="4:4" x14ac:dyDescent="0.3">
      <c r="D418" t="s">
        <v>448</v>
      </c>
    </row>
    <row r="419" spans="4:4" x14ac:dyDescent="0.3">
      <c r="D419" t="s">
        <v>449</v>
      </c>
    </row>
    <row r="420" spans="4:4" x14ac:dyDescent="0.3">
      <c r="D420" t="s">
        <v>450</v>
      </c>
    </row>
    <row r="421" spans="4:4" x14ac:dyDescent="0.3">
      <c r="D421" t="s">
        <v>451</v>
      </c>
    </row>
    <row r="422" spans="4:4" x14ac:dyDescent="0.3">
      <c r="D422" t="s">
        <v>452</v>
      </c>
    </row>
    <row r="423" spans="4:4" x14ac:dyDescent="0.3">
      <c r="D423" t="s">
        <v>453</v>
      </c>
    </row>
    <row r="424" spans="4:4" x14ac:dyDescent="0.3">
      <c r="D424" t="s">
        <v>454</v>
      </c>
    </row>
    <row r="425" spans="4:4" x14ac:dyDescent="0.3">
      <c r="D425" t="s">
        <v>455</v>
      </c>
    </row>
    <row r="426" spans="4:4" x14ac:dyDescent="0.3">
      <c r="D426" t="s">
        <v>456</v>
      </c>
    </row>
    <row r="427" spans="4:4" x14ac:dyDescent="0.3">
      <c r="D427" t="s">
        <v>457</v>
      </c>
    </row>
    <row r="428" spans="4:4" x14ac:dyDescent="0.3">
      <c r="D428" t="s">
        <v>458</v>
      </c>
    </row>
    <row r="429" spans="4:4" x14ac:dyDescent="0.3">
      <c r="D429" t="s">
        <v>459</v>
      </c>
    </row>
    <row r="430" spans="4:4" x14ac:dyDescent="0.3">
      <c r="D430" t="s">
        <v>460</v>
      </c>
    </row>
    <row r="431" spans="4:4" x14ac:dyDescent="0.3">
      <c r="D431" t="s">
        <v>461</v>
      </c>
    </row>
    <row r="432" spans="4:4" x14ac:dyDescent="0.3">
      <c r="D432" t="s">
        <v>462</v>
      </c>
    </row>
    <row r="433" spans="4:4" x14ac:dyDescent="0.3">
      <c r="D433" t="s">
        <v>463</v>
      </c>
    </row>
    <row r="434" spans="4:4" x14ac:dyDescent="0.3">
      <c r="D434" t="s">
        <v>464</v>
      </c>
    </row>
    <row r="435" spans="4:4" x14ac:dyDescent="0.3">
      <c r="D435" t="s">
        <v>465</v>
      </c>
    </row>
    <row r="436" spans="4:4" x14ac:dyDescent="0.3">
      <c r="D436" t="s">
        <v>466</v>
      </c>
    </row>
    <row r="437" spans="4:4" x14ac:dyDescent="0.3">
      <c r="D437" t="s">
        <v>467</v>
      </c>
    </row>
    <row r="438" spans="4:4" x14ac:dyDescent="0.3">
      <c r="D438" t="s">
        <v>468</v>
      </c>
    </row>
    <row r="439" spans="4:4" x14ac:dyDescent="0.3">
      <c r="D439" t="s">
        <v>469</v>
      </c>
    </row>
    <row r="440" spans="4:4" x14ac:dyDescent="0.3">
      <c r="D440" t="s">
        <v>470</v>
      </c>
    </row>
    <row r="441" spans="4:4" x14ac:dyDescent="0.3">
      <c r="D441" t="s">
        <v>471</v>
      </c>
    </row>
    <row r="442" spans="4:4" x14ac:dyDescent="0.3">
      <c r="D442" t="s">
        <v>472</v>
      </c>
    </row>
    <row r="443" spans="4:4" x14ac:dyDescent="0.3">
      <c r="D443" t="s">
        <v>473</v>
      </c>
    </row>
    <row r="444" spans="4:4" x14ac:dyDescent="0.3">
      <c r="D444" t="s">
        <v>474</v>
      </c>
    </row>
    <row r="445" spans="4:4" x14ac:dyDescent="0.3">
      <c r="D445" t="s">
        <v>475</v>
      </c>
    </row>
    <row r="446" spans="4:4" x14ac:dyDescent="0.3">
      <c r="D446" t="s">
        <v>476</v>
      </c>
    </row>
    <row r="447" spans="4:4" x14ac:dyDescent="0.3">
      <c r="D447" t="s">
        <v>477</v>
      </c>
    </row>
    <row r="448" spans="4:4" x14ac:dyDescent="0.3">
      <c r="D448" t="s">
        <v>478</v>
      </c>
    </row>
    <row r="449" spans="4:4" x14ac:dyDescent="0.3">
      <c r="D449" t="s">
        <v>479</v>
      </c>
    </row>
    <row r="450" spans="4:4" x14ac:dyDescent="0.3">
      <c r="D450" t="s">
        <v>480</v>
      </c>
    </row>
    <row r="451" spans="4:4" x14ac:dyDescent="0.3">
      <c r="D451" t="s">
        <v>481</v>
      </c>
    </row>
    <row r="452" spans="4:4" x14ac:dyDescent="0.3">
      <c r="D452" t="s">
        <v>482</v>
      </c>
    </row>
    <row r="453" spans="4:4" x14ac:dyDescent="0.3">
      <c r="D453" t="s">
        <v>483</v>
      </c>
    </row>
    <row r="454" spans="4:4" x14ac:dyDescent="0.3">
      <c r="D454" t="s">
        <v>484</v>
      </c>
    </row>
    <row r="455" spans="4:4" x14ac:dyDescent="0.3">
      <c r="D455" t="s">
        <v>485</v>
      </c>
    </row>
    <row r="456" spans="4:4" x14ac:dyDescent="0.3">
      <c r="D456" t="s">
        <v>486</v>
      </c>
    </row>
    <row r="457" spans="4:4" x14ac:dyDescent="0.3">
      <c r="D457" t="s">
        <v>487</v>
      </c>
    </row>
    <row r="458" spans="4:4" x14ac:dyDescent="0.3">
      <c r="D458" t="s">
        <v>488</v>
      </c>
    </row>
    <row r="459" spans="4:4" x14ac:dyDescent="0.3">
      <c r="D459" t="s">
        <v>489</v>
      </c>
    </row>
    <row r="460" spans="4:4" x14ac:dyDescent="0.3">
      <c r="D460" t="s">
        <v>490</v>
      </c>
    </row>
    <row r="461" spans="4:4" x14ac:dyDescent="0.3">
      <c r="D461" t="s">
        <v>491</v>
      </c>
    </row>
    <row r="462" spans="4:4" x14ac:dyDescent="0.3">
      <c r="D462" t="s">
        <v>492</v>
      </c>
    </row>
    <row r="463" spans="4:4" x14ac:dyDescent="0.3">
      <c r="D463" t="s">
        <v>493</v>
      </c>
    </row>
    <row r="464" spans="4:4" x14ac:dyDescent="0.3">
      <c r="D464" t="s">
        <v>494</v>
      </c>
    </row>
    <row r="465" spans="4:4" x14ac:dyDescent="0.3">
      <c r="D465" t="s">
        <v>495</v>
      </c>
    </row>
    <row r="466" spans="4:4" x14ac:dyDescent="0.3">
      <c r="D466" t="s">
        <v>496</v>
      </c>
    </row>
    <row r="467" spans="4:4" x14ac:dyDescent="0.3">
      <c r="D467" t="s">
        <v>497</v>
      </c>
    </row>
    <row r="468" spans="4:4" x14ac:dyDescent="0.3">
      <c r="D468" t="s">
        <v>498</v>
      </c>
    </row>
    <row r="469" spans="4:4" x14ac:dyDescent="0.3">
      <c r="D469" t="s">
        <v>499</v>
      </c>
    </row>
    <row r="470" spans="4:4" x14ac:dyDescent="0.3">
      <c r="D470" t="s">
        <v>500</v>
      </c>
    </row>
    <row r="471" spans="4:4" x14ac:dyDescent="0.3">
      <c r="D471" t="s">
        <v>501</v>
      </c>
    </row>
    <row r="472" spans="4:4" x14ac:dyDescent="0.3">
      <c r="D472" t="s">
        <v>502</v>
      </c>
    </row>
    <row r="473" spans="4:4" x14ac:dyDescent="0.3">
      <c r="D473" t="s">
        <v>503</v>
      </c>
    </row>
    <row r="474" spans="4:4" x14ac:dyDescent="0.3">
      <c r="D474" t="s">
        <v>504</v>
      </c>
    </row>
    <row r="475" spans="4:4" x14ac:dyDescent="0.3">
      <c r="D475" t="s">
        <v>505</v>
      </c>
    </row>
    <row r="476" spans="4:4" x14ac:dyDescent="0.3">
      <c r="D476" t="s">
        <v>506</v>
      </c>
    </row>
    <row r="477" spans="4:4" x14ac:dyDescent="0.3">
      <c r="D477" t="s">
        <v>507</v>
      </c>
    </row>
    <row r="478" spans="4:4" x14ac:dyDescent="0.3">
      <c r="D478" t="s">
        <v>508</v>
      </c>
    </row>
    <row r="479" spans="4:4" x14ac:dyDescent="0.3">
      <c r="D479" t="s">
        <v>509</v>
      </c>
    </row>
    <row r="480" spans="4:4" x14ac:dyDescent="0.3">
      <c r="D480" t="s">
        <v>510</v>
      </c>
    </row>
    <row r="481" spans="4:4" x14ac:dyDescent="0.3">
      <c r="D481" t="s">
        <v>511</v>
      </c>
    </row>
    <row r="482" spans="4:4" x14ac:dyDescent="0.3">
      <c r="D482" t="s">
        <v>512</v>
      </c>
    </row>
    <row r="483" spans="4:4" x14ac:dyDescent="0.3">
      <c r="D483" t="s">
        <v>513</v>
      </c>
    </row>
    <row r="484" spans="4:4" x14ac:dyDescent="0.3">
      <c r="D484" t="s">
        <v>514</v>
      </c>
    </row>
    <row r="485" spans="4:4" x14ac:dyDescent="0.3">
      <c r="D485" t="s">
        <v>515</v>
      </c>
    </row>
    <row r="486" spans="4:4" x14ac:dyDescent="0.3">
      <c r="D486" t="s">
        <v>516</v>
      </c>
    </row>
    <row r="487" spans="4:4" x14ac:dyDescent="0.3">
      <c r="D487" t="s">
        <v>517</v>
      </c>
    </row>
    <row r="488" spans="4:4" x14ac:dyDescent="0.3">
      <c r="D488" t="s">
        <v>518</v>
      </c>
    </row>
    <row r="489" spans="4:4" x14ac:dyDescent="0.3">
      <c r="D489" t="s">
        <v>519</v>
      </c>
    </row>
    <row r="490" spans="4:4" x14ac:dyDescent="0.3">
      <c r="D490" t="s">
        <v>520</v>
      </c>
    </row>
    <row r="491" spans="4:4" x14ac:dyDescent="0.3">
      <c r="D491" t="s">
        <v>521</v>
      </c>
    </row>
    <row r="492" spans="4:4" x14ac:dyDescent="0.3">
      <c r="D492" t="s">
        <v>522</v>
      </c>
    </row>
    <row r="493" spans="4:4" x14ac:dyDescent="0.3">
      <c r="D493" t="s">
        <v>523</v>
      </c>
    </row>
    <row r="494" spans="4:4" x14ac:dyDescent="0.3">
      <c r="D494" t="s">
        <v>524</v>
      </c>
    </row>
    <row r="495" spans="4:4" x14ac:dyDescent="0.3">
      <c r="D495" t="s">
        <v>525</v>
      </c>
    </row>
    <row r="496" spans="4:4" x14ac:dyDescent="0.3">
      <c r="D496" t="s">
        <v>526</v>
      </c>
    </row>
    <row r="497" spans="4:4" x14ac:dyDescent="0.3">
      <c r="D497" t="s">
        <v>527</v>
      </c>
    </row>
    <row r="498" spans="4:4" x14ac:dyDescent="0.3">
      <c r="D498" t="s">
        <v>528</v>
      </c>
    </row>
    <row r="499" spans="4:4" x14ac:dyDescent="0.3">
      <c r="D499" t="s">
        <v>529</v>
      </c>
    </row>
    <row r="500" spans="4:4" x14ac:dyDescent="0.3">
      <c r="D500" t="s">
        <v>530</v>
      </c>
    </row>
    <row r="501" spans="4:4" x14ac:dyDescent="0.3">
      <c r="D501" t="s">
        <v>531</v>
      </c>
    </row>
    <row r="502" spans="4:4" x14ac:dyDescent="0.3">
      <c r="D502" t="s">
        <v>532</v>
      </c>
    </row>
    <row r="503" spans="4:4" x14ac:dyDescent="0.3">
      <c r="D503" t="s">
        <v>533</v>
      </c>
    </row>
    <row r="504" spans="4:4" x14ac:dyDescent="0.3">
      <c r="D504" t="s">
        <v>534</v>
      </c>
    </row>
    <row r="505" spans="4:4" x14ac:dyDescent="0.3">
      <c r="D505" t="s">
        <v>535</v>
      </c>
    </row>
    <row r="506" spans="4:4" x14ac:dyDescent="0.3">
      <c r="D506" t="s">
        <v>536</v>
      </c>
    </row>
    <row r="507" spans="4:4" x14ac:dyDescent="0.3">
      <c r="D507" t="s">
        <v>537</v>
      </c>
    </row>
    <row r="508" spans="4:4" x14ac:dyDescent="0.3">
      <c r="D508" t="s">
        <v>538</v>
      </c>
    </row>
    <row r="509" spans="4:4" x14ac:dyDescent="0.3">
      <c r="D509" t="s">
        <v>539</v>
      </c>
    </row>
    <row r="510" spans="4:4" x14ac:dyDescent="0.3">
      <c r="D510" t="s">
        <v>540</v>
      </c>
    </row>
    <row r="511" spans="4:4" x14ac:dyDescent="0.3">
      <c r="D511" t="s">
        <v>541</v>
      </c>
    </row>
    <row r="512" spans="4:4" x14ac:dyDescent="0.3">
      <c r="D512" t="s">
        <v>542</v>
      </c>
    </row>
    <row r="513" spans="4:4" x14ac:dyDescent="0.3">
      <c r="D513" t="s">
        <v>543</v>
      </c>
    </row>
    <row r="514" spans="4:4" x14ac:dyDescent="0.3">
      <c r="D514" t="s">
        <v>544</v>
      </c>
    </row>
    <row r="515" spans="4:4" x14ac:dyDescent="0.3">
      <c r="D515" t="s">
        <v>545</v>
      </c>
    </row>
    <row r="516" spans="4:4" x14ac:dyDescent="0.3">
      <c r="D516" t="s">
        <v>546</v>
      </c>
    </row>
    <row r="517" spans="4:4" x14ac:dyDescent="0.3">
      <c r="D517" t="s">
        <v>547</v>
      </c>
    </row>
    <row r="518" spans="4:4" x14ac:dyDescent="0.3">
      <c r="D518" t="s">
        <v>548</v>
      </c>
    </row>
    <row r="519" spans="4:4" x14ac:dyDescent="0.3">
      <c r="D519" t="s">
        <v>549</v>
      </c>
    </row>
    <row r="520" spans="4:4" x14ac:dyDescent="0.3">
      <c r="D520" t="s">
        <v>550</v>
      </c>
    </row>
    <row r="521" spans="4:4" x14ac:dyDescent="0.3">
      <c r="D521" t="s">
        <v>551</v>
      </c>
    </row>
    <row r="522" spans="4:4" x14ac:dyDescent="0.3">
      <c r="D522" t="s">
        <v>552</v>
      </c>
    </row>
    <row r="523" spans="4:4" x14ac:dyDescent="0.3">
      <c r="D523" t="s">
        <v>553</v>
      </c>
    </row>
    <row r="524" spans="4:4" x14ac:dyDescent="0.3">
      <c r="D524" t="s">
        <v>554</v>
      </c>
    </row>
    <row r="525" spans="4:4" x14ac:dyDescent="0.3">
      <c r="D525" t="s">
        <v>555</v>
      </c>
    </row>
    <row r="526" spans="4:4" x14ac:dyDescent="0.3">
      <c r="D526" t="s">
        <v>556</v>
      </c>
    </row>
    <row r="527" spans="4:4" x14ac:dyDescent="0.3">
      <c r="D527" t="s">
        <v>557</v>
      </c>
    </row>
    <row r="528" spans="4:4" x14ac:dyDescent="0.3">
      <c r="D528" t="s">
        <v>558</v>
      </c>
    </row>
    <row r="529" spans="4:4" x14ac:dyDescent="0.3">
      <c r="D529" t="s">
        <v>559</v>
      </c>
    </row>
    <row r="530" spans="4:4" x14ac:dyDescent="0.3">
      <c r="D530" t="s">
        <v>560</v>
      </c>
    </row>
    <row r="531" spans="4:4" x14ac:dyDescent="0.3">
      <c r="D531" t="s">
        <v>561</v>
      </c>
    </row>
    <row r="532" spans="4:4" x14ac:dyDescent="0.3">
      <c r="D532" t="s">
        <v>562</v>
      </c>
    </row>
    <row r="533" spans="4:4" x14ac:dyDescent="0.3">
      <c r="D533" t="s">
        <v>563</v>
      </c>
    </row>
    <row r="534" spans="4:4" x14ac:dyDescent="0.3">
      <c r="D534" t="s">
        <v>564</v>
      </c>
    </row>
    <row r="535" spans="4:4" x14ac:dyDescent="0.3">
      <c r="D535" t="s">
        <v>565</v>
      </c>
    </row>
    <row r="536" spans="4:4" x14ac:dyDescent="0.3">
      <c r="D536" t="s">
        <v>566</v>
      </c>
    </row>
    <row r="537" spans="4:4" x14ac:dyDescent="0.3">
      <c r="D537" t="s">
        <v>567</v>
      </c>
    </row>
    <row r="538" spans="4:4" x14ac:dyDescent="0.3">
      <c r="D538" t="s">
        <v>568</v>
      </c>
    </row>
    <row r="539" spans="4:4" x14ac:dyDescent="0.3">
      <c r="D539" t="s">
        <v>569</v>
      </c>
    </row>
    <row r="540" spans="4:4" x14ac:dyDescent="0.3">
      <c r="D540" t="s">
        <v>570</v>
      </c>
    </row>
    <row r="541" spans="4:4" x14ac:dyDescent="0.3">
      <c r="D541" t="s">
        <v>571</v>
      </c>
    </row>
    <row r="542" spans="4:4" x14ac:dyDescent="0.3">
      <c r="D542" t="s">
        <v>572</v>
      </c>
    </row>
    <row r="543" spans="4:4" x14ac:dyDescent="0.3">
      <c r="D543" t="s">
        <v>573</v>
      </c>
    </row>
    <row r="544" spans="4:4" x14ac:dyDescent="0.3">
      <c r="D544" t="s">
        <v>574</v>
      </c>
    </row>
    <row r="545" spans="4:4" x14ac:dyDescent="0.3">
      <c r="D545" t="s">
        <v>575</v>
      </c>
    </row>
    <row r="546" spans="4:4" x14ac:dyDescent="0.3">
      <c r="D546" t="s">
        <v>576</v>
      </c>
    </row>
    <row r="547" spans="4:4" x14ac:dyDescent="0.3">
      <c r="D547" t="s">
        <v>577</v>
      </c>
    </row>
    <row r="548" spans="4:4" x14ac:dyDescent="0.3">
      <c r="D548" t="s">
        <v>578</v>
      </c>
    </row>
    <row r="549" spans="4:4" x14ac:dyDescent="0.3">
      <c r="D549" t="s">
        <v>579</v>
      </c>
    </row>
    <row r="550" spans="4:4" x14ac:dyDescent="0.3">
      <c r="D550" t="s">
        <v>580</v>
      </c>
    </row>
    <row r="551" spans="4:4" x14ac:dyDescent="0.3">
      <c r="D551" t="s">
        <v>581</v>
      </c>
    </row>
    <row r="552" spans="4:4" x14ac:dyDescent="0.3">
      <c r="D552" t="s">
        <v>582</v>
      </c>
    </row>
    <row r="553" spans="4:4" x14ac:dyDescent="0.3">
      <c r="D553" t="s">
        <v>583</v>
      </c>
    </row>
    <row r="554" spans="4:4" x14ac:dyDescent="0.3">
      <c r="D554" t="s">
        <v>584</v>
      </c>
    </row>
    <row r="555" spans="4:4" x14ac:dyDescent="0.3">
      <c r="D555" t="s">
        <v>585</v>
      </c>
    </row>
    <row r="556" spans="4:4" x14ac:dyDescent="0.3">
      <c r="D556" t="s">
        <v>586</v>
      </c>
    </row>
    <row r="557" spans="4:4" x14ac:dyDescent="0.3">
      <c r="D557" t="s">
        <v>587</v>
      </c>
    </row>
    <row r="558" spans="4:4" x14ac:dyDescent="0.3">
      <c r="D558" t="s">
        <v>588</v>
      </c>
    </row>
    <row r="559" spans="4:4" x14ac:dyDescent="0.3">
      <c r="D559" t="s">
        <v>589</v>
      </c>
    </row>
    <row r="560" spans="4:4" x14ac:dyDescent="0.3">
      <c r="D560" t="s">
        <v>590</v>
      </c>
    </row>
    <row r="561" spans="4:4" x14ac:dyDescent="0.3">
      <c r="D561" t="s">
        <v>591</v>
      </c>
    </row>
    <row r="562" spans="4:4" x14ac:dyDescent="0.3">
      <c r="D562" t="s">
        <v>592</v>
      </c>
    </row>
    <row r="563" spans="4:4" x14ac:dyDescent="0.3">
      <c r="D563" t="s">
        <v>593</v>
      </c>
    </row>
    <row r="564" spans="4:4" x14ac:dyDescent="0.3">
      <c r="D564" t="s">
        <v>594</v>
      </c>
    </row>
    <row r="565" spans="4:4" x14ac:dyDescent="0.3">
      <c r="D565" t="s">
        <v>595</v>
      </c>
    </row>
    <row r="566" spans="4:4" x14ac:dyDescent="0.3">
      <c r="D566" t="s">
        <v>596</v>
      </c>
    </row>
    <row r="567" spans="4:4" x14ac:dyDescent="0.3">
      <c r="D567" t="s">
        <v>597</v>
      </c>
    </row>
    <row r="568" spans="4:4" x14ac:dyDescent="0.3">
      <c r="D568" t="s">
        <v>598</v>
      </c>
    </row>
    <row r="569" spans="4:4" x14ac:dyDescent="0.3">
      <c r="D569" t="s">
        <v>599</v>
      </c>
    </row>
    <row r="570" spans="4:4" x14ac:dyDescent="0.3">
      <c r="D570" t="s">
        <v>600</v>
      </c>
    </row>
    <row r="571" spans="4:4" x14ac:dyDescent="0.3">
      <c r="D571" t="s">
        <v>601</v>
      </c>
    </row>
    <row r="572" spans="4:4" x14ac:dyDescent="0.3">
      <c r="D572" t="s">
        <v>602</v>
      </c>
    </row>
    <row r="573" spans="4:4" x14ac:dyDescent="0.3">
      <c r="D573" t="s">
        <v>603</v>
      </c>
    </row>
    <row r="574" spans="4:4" x14ac:dyDescent="0.3">
      <c r="D574" t="s">
        <v>604</v>
      </c>
    </row>
    <row r="575" spans="4:4" x14ac:dyDescent="0.3">
      <c r="D575" t="s">
        <v>605</v>
      </c>
    </row>
    <row r="576" spans="4:4" x14ac:dyDescent="0.3">
      <c r="D576" t="s">
        <v>606</v>
      </c>
    </row>
    <row r="577" spans="4:4" x14ac:dyDescent="0.3">
      <c r="D577" t="s">
        <v>607</v>
      </c>
    </row>
    <row r="578" spans="4:4" x14ac:dyDescent="0.3">
      <c r="D578" t="s">
        <v>608</v>
      </c>
    </row>
    <row r="579" spans="4:4" x14ac:dyDescent="0.3">
      <c r="D579" t="s">
        <v>609</v>
      </c>
    </row>
    <row r="580" spans="4:4" x14ac:dyDescent="0.3">
      <c r="D580" t="s">
        <v>610</v>
      </c>
    </row>
    <row r="581" spans="4:4" x14ac:dyDescent="0.3">
      <c r="D581" t="s">
        <v>611</v>
      </c>
    </row>
    <row r="582" spans="4:4" x14ac:dyDescent="0.3">
      <c r="D582" t="s">
        <v>612</v>
      </c>
    </row>
    <row r="583" spans="4:4" x14ac:dyDescent="0.3">
      <c r="D583" t="s">
        <v>613</v>
      </c>
    </row>
    <row r="584" spans="4:4" x14ac:dyDescent="0.3">
      <c r="D584" t="s">
        <v>614</v>
      </c>
    </row>
    <row r="585" spans="4:4" x14ac:dyDescent="0.3">
      <c r="D585" t="s">
        <v>615</v>
      </c>
    </row>
    <row r="586" spans="4:4" x14ac:dyDescent="0.3">
      <c r="D586" t="s">
        <v>616</v>
      </c>
    </row>
    <row r="587" spans="4:4" x14ac:dyDescent="0.3">
      <c r="D587" t="s">
        <v>617</v>
      </c>
    </row>
    <row r="588" spans="4:4" x14ac:dyDescent="0.3">
      <c r="D588" t="s">
        <v>618</v>
      </c>
    </row>
    <row r="589" spans="4:4" x14ac:dyDescent="0.3">
      <c r="D589" t="s">
        <v>619</v>
      </c>
    </row>
    <row r="590" spans="4:4" x14ac:dyDescent="0.3">
      <c r="D590" t="s">
        <v>620</v>
      </c>
    </row>
    <row r="591" spans="4:4" x14ac:dyDescent="0.3">
      <c r="D591" t="s">
        <v>621</v>
      </c>
    </row>
    <row r="592" spans="4:4" x14ac:dyDescent="0.3">
      <c r="D592" t="s">
        <v>622</v>
      </c>
    </row>
    <row r="593" spans="4:4" x14ac:dyDescent="0.3">
      <c r="D593" t="s">
        <v>623</v>
      </c>
    </row>
    <row r="594" spans="4:4" x14ac:dyDescent="0.3">
      <c r="D594" t="s">
        <v>624</v>
      </c>
    </row>
    <row r="595" spans="4:4" x14ac:dyDescent="0.3">
      <c r="D595" t="s">
        <v>625</v>
      </c>
    </row>
    <row r="596" spans="4:4" x14ac:dyDescent="0.3">
      <c r="D596" t="s">
        <v>626</v>
      </c>
    </row>
    <row r="597" spans="4:4" x14ac:dyDescent="0.3">
      <c r="D597" t="s">
        <v>627</v>
      </c>
    </row>
    <row r="598" spans="4:4" x14ac:dyDescent="0.3">
      <c r="D598" t="s">
        <v>628</v>
      </c>
    </row>
    <row r="599" spans="4:4" x14ac:dyDescent="0.3">
      <c r="D599" t="s">
        <v>629</v>
      </c>
    </row>
    <row r="600" spans="4:4" x14ac:dyDescent="0.3">
      <c r="D600" t="s">
        <v>630</v>
      </c>
    </row>
    <row r="601" spans="4:4" x14ac:dyDescent="0.3">
      <c r="D601" t="s">
        <v>631</v>
      </c>
    </row>
    <row r="602" spans="4:4" x14ac:dyDescent="0.3">
      <c r="D602" t="s">
        <v>632</v>
      </c>
    </row>
    <row r="603" spans="4:4" x14ac:dyDescent="0.3">
      <c r="D603" t="s">
        <v>633</v>
      </c>
    </row>
    <row r="604" spans="4:4" x14ac:dyDescent="0.3">
      <c r="D604" t="s">
        <v>634</v>
      </c>
    </row>
    <row r="605" spans="4:4" x14ac:dyDescent="0.3">
      <c r="D605" t="s">
        <v>635</v>
      </c>
    </row>
    <row r="606" spans="4:4" x14ac:dyDescent="0.3">
      <c r="D606" t="s">
        <v>636</v>
      </c>
    </row>
    <row r="607" spans="4:4" x14ac:dyDescent="0.3">
      <c r="D607" t="s">
        <v>637</v>
      </c>
    </row>
    <row r="608" spans="4:4" x14ac:dyDescent="0.3">
      <c r="D608" t="s">
        <v>638</v>
      </c>
    </row>
    <row r="609" spans="4:4" x14ac:dyDescent="0.3">
      <c r="D609" t="s">
        <v>639</v>
      </c>
    </row>
    <row r="610" spans="4:4" x14ac:dyDescent="0.3">
      <c r="D610" t="s">
        <v>640</v>
      </c>
    </row>
    <row r="611" spans="4:4" x14ac:dyDescent="0.3">
      <c r="D611" t="s">
        <v>641</v>
      </c>
    </row>
    <row r="612" spans="4:4" x14ac:dyDescent="0.3">
      <c r="D612" t="s">
        <v>642</v>
      </c>
    </row>
    <row r="613" spans="4:4" x14ac:dyDescent="0.3">
      <c r="D613" t="s">
        <v>643</v>
      </c>
    </row>
    <row r="614" spans="4:4" x14ac:dyDescent="0.3">
      <c r="D614" t="s">
        <v>644</v>
      </c>
    </row>
    <row r="615" spans="4:4" x14ac:dyDescent="0.3">
      <c r="D615" t="s">
        <v>645</v>
      </c>
    </row>
    <row r="616" spans="4:4" x14ac:dyDescent="0.3">
      <c r="D616" t="s">
        <v>646</v>
      </c>
    </row>
    <row r="617" spans="4:4" x14ac:dyDescent="0.3">
      <c r="D617" t="s">
        <v>647</v>
      </c>
    </row>
    <row r="618" spans="4:4" x14ac:dyDescent="0.3">
      <c r="D618" t="s">
        <v>648</v>
      </c>
    </row>
    <row r="619" spans="4:4" x14ac:dyDescent="0.3">
      <c r="D619" t="s">
        <v>649</v>
      </c>
    </row>
    <row r="620" spans="4:4" x14ac:dyDescent="0.3">
      <c r="D620" t="s">
        <v>650</v>
      </c>
    </row>
    <row r="621" spans="4:4" x14ac:dyDescent="0.3">
      <c r="D621" t="s">
        <v>651</v>
      </c>
    </row>
    <row r="622" spans="4:4" x14ac:dyDescent="0.3">
      <c r="D622" t="s">
        <v>652</v>
      </c>
    </row>
    <row r="623" spans="4:4" x14ac:dyDescent="0.3">
      <c r="D623" t="s">
        <v>653</v>
      </c>
    </row>
    <row r="624" spans="4:4" x14ac:dyDescent="0.3">
      <c r="D624" t="s">
        <v>654</v>
      </c>
    </row>
    <row r="625" spans="4:4" x14ac:dyDescent="0.3">
      <c r="D625" t="s">
        <v>655</v>
      </c>
    </row>
    <row r="626" spans="4:4" x14ac:dyDescent="0.3">
      <c r="D626" t="s">
        <v>656</v>
      </c>
    </row>
    <row r="627" spans="4:4" x14ac:dyDescent="0.3">
      <c r="D627" t="s">
        <v>657</v>
      </c>
    </row>
    <row r="628" spans="4:4" x14ac:dyDescent="0.3">
      <c r="D628" t="s">
        <v>658</v>
      </c>
    </row>
    <row r="629" spans="4:4" x14ac:dyDescent="0.3">
      <c r="D629" t="s">
        <v>659</v>
      </c>
    </row>
    <row r="630" spans="4:4" x14ac:dyDescent="0.3">
      <c r="D630" t="s">
        <v>660</v>
      </c>
    </row>
    <row r="631" spans="4:4" x14ac:dyDescent="0.3">
      <c r="D631" t="s">
        <v>661</v>
      </c>
    </row>
    <row r="632" spans="4:4" x14ac:dyDescent="0.3">
      <c r="D632" t="s">
        <v>662</v>
      </c>
    </row>
    <row r="633" spans="4:4" x14ac:dyDescent="0.3">
      <c r="D633" t="s">
        <v>663</v>
      </c>
    </row>
    <row r="634" spans="4:4" x14ac:dyDescent="0.3">
      <c r="D634" t="s">
        <v>664</v>
      </c>
    </row>
    <row r="635" spans="4:4" x14ac:dyDescent="0.3">
      <c r="D635" t="s">
        <v>665</v>
      </c>
    </row>
    <row r="636" spans="4:4" x14ac:dyDescent="0.3">
      <c r="D636" t="s">
        <v>666</v>
      </c>
    </row>
    <row r="637" spans="4:4" x14ac:dyDescent="0.3">
      <c r="D637" t="s">
        <v>667</v>
      </c>
    </row>
    <row r="638" spans="4:4" x14ac:dyDescent="0.3">
      <c r="D638" t="s">
        <v>668</v>
      </c>
    </row>
    <row r="639" spans="4:4" x14ac:dyDescent="0.3">
      <c r="D639" t="s">
        <v>669</v>
      </c>
    </row>
    <row r="640" spans="4:4" x14ac:dyDescent="0.3">
      <c r="D640" t="s">
        <v>670</v>
      </c>
    </row>
    <row r="641" spans="4:4" x14ac:dyDescent="0.3">
      <c r="D641" t="s">
        <v>671</v>
      </c>
    </row>
    <row r="642" spans="4:4" x14ac:dyDescent="0.3">
      <c r="D642" t="s">
        <v>672</v>
      </c>
    </row>
    <row r="643" spans="4:4" x14ac:dyDescent="0.3">
      <c r="D643" t="s">
        <v>673</v>
      </c>
    </row>
    <row r="644" spans="4:4" x14ac:dyDescent="0.3">
      <c r="D644" t="s">
        <v>674</v>
      </c>
    </row>
    <row r="645" spans="4:4" x14ac:dyDescent="0.3">
      <c r="D645" t="s">
        <v>675</v>
      </c>
    </row>
    <row r="646" spans="4:4" x14ac:dyDescent="0.3">
      <c r="D646" t="s">
        <v>676</v>
      </c>
    </row>
    <row r="647" spans="4:4" x14ac:dyDescent="0.3">
      <c r="D647" t="s">
        <v>677</v>
      </c>
    </row>
    <row r="648" spans="4:4" x14ac:dyDescent="0.3">
      <c r="D648" t="s">
        <v>678</v>
      </c>
    </row>
    <row r="649" spans="4:4" x14ac:dyDescent="0.3">
      <c r="D649" t="s">
        <v>679</v>
      </c>
    </row>
    <row r="650" spans="4:4" x14ac:dyDescent="0.3">
      <c r="D650" t="s">
        <v>680</v>
      </c>
    </row>
    <row r="651" spans="4:4" x14ac:dyDescent="0.3">
      <c r="D651" t="s">
        <v>681</v>
      </c>
    </row>
    <row r="652" spans="4:4" x14ac:dyDescent="0.3">
      <c r="D652" t="s">
        <v>682</v>
      </c>
    </row>
    <row r="653" spans="4:4" x14ac:dyDescent="0.3">
      <c r="D653" t="s">
        <v>683</v>
      </c>
    </row>
    <row r="654" spans="4:4" x14ac:dyDescent="0.3">
      <c r="D654" t="s">
        <v>684</v>
      </c>
    </row>
    <row r="655" spans="4:4" x14ac:dyDescent="0.3">
      <c r="D655" t="s">
        <v>685</v>
      </c>
    </row>
    <row r="656" spans="4:4" x14ac:dyDescent="0.3">
      <c r="D656" t="s">
        <v>686</v>
      </c>
    </row>
    <row r="657" spans="4:4" x14ac:dyDescent="0.3">
      <c r="D657" t="s">
        <v>687</v>
      </c>
    </row>
    <row r="658" spans="4:4" x14ac:dyDescent="0.3">
      <c r="D658" t="s">
        <v>688</v>
      </c>
    </row>
    <row r="659" spans="4:4" x14ac:dyDescent="0.3">
      <c r="D659" t="s">
        <v>689</v>
      </c>
    </row>
    <row r="660" spans="4:4" x14ac:dyDescent="0.3">
      <c r="D660" t="s">
        <v>690</v>
      </c>
    </row>
    <row r="661" spans="4:4" x14ac:dyDescent="0.3">
      <c r="D661" t="s">
        <v>691</v>
      </c>
    </row>
    <row r="662" spans="4:4" x14ac:dyDescent="0.3">
      <c r="D662" t="s">
        <v>692</v>
      </c>
    </row>
    <row r="663" spans="4:4" x14ac:dyDescent="0.3">
      <c r="D663" t="s">
        <v>693</v>
      </c>
    </row>
    <row r="664" spans="4:4" x14ac:dyDescent="0.3">
      <c r="D664" t="s">
        <v>694</v>
      </c>
    </row>
    <row r="665" spans="4:4" x14ac:dyDescent="0.3">
      <c r="D665" t="s">
        <v>695</v>
      </c>
    </row>
    <row r="666" spans="4:4" x14ac:dyDescent="0.3">
      <c r="D666" t="s">
        <v>696</v>
      </c>
    </row>
    <row r="667" spans="4:4" x14ac:dyDescent="0.3">
      <c r="D667" t="s">
        <v>697</v>
      </c>
    </row>
    <row r="668" spans="4:4" x14ac:dyDescent="0.3">
      <c r="D668" t="s">
        <v>698</v>
      </c>
    </row>
    <row r="669" spans="4:4" x14ac:dyDescent="0.3">
      <c r="D669" t="s">
        <v>699</v>
      </c>
    </row>
    <row r="670" spans="4:4" x14ac:dyDescent="0.3">
      <c r="D670" t="s">
        <v>700</v>
      </c>
    </row>
    <row r="671" spans="4:4" x14ac:dyDescent="0.3">
      <c r="D671" t="s">
        <v>701</v>
      </c>
    </row>
    <row r="672" spans="4:4" x14ac:dyDescent="0.3">
      <c r="D672" t="s">
        <v>702</v>
      </c>
    </row>
    <row r="673" spans="4:4" x14ac:dyDescent="0.3">
      <c r="D673" t="s">
        <v>703</v>
      </c>
    </row>
    <row r="674" spans="4:4" x14ac:dyDescent="0.3">
      <c r="D674" t="s">
        <v>704</v>
      </c>
    </row>
    <row r="675" spans="4:4" x14ac:dyDescent="0.3">
      <c r="D675" t="s">
        <v>705</v>
      </c>
    </row>
    <row r="676" spans="4:4" x14ac:dyDescent="0.3">
      <c r="D676" t="s">
        <v>706</v>
      </c>
    </row>
    <row r="677" spans="4:4" x14ac:dyDescent="0.3">
      <c r="D677" t="s">
        <v>707</v>
      </c>
    </row>
    <row r="678" spans="4:4" x14ac:dyDescent="0.3">
      <c r="D678" t="s">
        <v>708</v>
      </c>
    </row>
    <row r="679" spans="4:4" x14ac:dyDescent="0.3">
      <c r="D679" t="s">
        <v>709</v>
      </c>
    </row>
    <row r="680" spans="4:4" x14ac:dyDescent="0.3">
      <c r="D680" t="s">
        <v>710</v>
      </c>
    </row>
    <row r="681" spans="4:4" x14ac:dyDescent="0.3">
      <c r="D681" t="s">
        <v>711</v>
      </c>
    </row>
    <row r="682" spans="4:4" x14ac:dyDescent="0.3">
      <c r="D682" t="s">
        <v>712</v>
      </c>
    </row>
    <row r="683" spans="4:4" x14ac:dyDescent="0.3">
      <c r="D683" t="s">
        <v>713</v>
      </c>
    </row>
    <row r="684" spans="4:4" x14ac:dyDescent="0.3">
      <c r="D684" t="s">
        <v>714</v>
      </c>
    </row>
    <row r="685" spans="4:4" x14ac:dyDescent="0.3">
      <c r="D685" t="s">
        <v>715</v>
      </c>
    </row>
    <row r="686" spans="4:4" x14ac:dyDescent="0.3">
      <c r="D686" t="s">
        <v>716</v>
      </c>
    </row>
    <row r="687" spans="4:4" x14ac:dyDescent="0.3">
      <c r="D687" t="s">
        <v>717</v>
      </c>
    </row>
    <row r="688" spans="4:4" x14ac:dyDescent="0.3">
      <c r="D688" t="s">
        <v>718</v>
      </c>
    </row>
    <row r="689" spans="4:4" x14ac:dyDescent="0.3">
      <c r="D689" t="s">
        <v>719</v>
      </c>
    </row>
    <row r="690" spans="4:4" x14ac:dyDescent="0.3">
      <c r="D690" t="s">
        <v>720</v>
      </c>
    </row>
    <row r="691" spans="4:4" x14ac:dyDescent="0.3">
      <c r="D691" t="s">
        <v>721</v>
      </c>
    </row>
    <row r="692" spans="4:4" x14ac:dyDescent="0.3">
      <c r="D692" t="s">
        <v>722</v>
      </c>
    </row>
    <row r="693" spans="4:4" x14ac:dyDescent="0.3">
      <c r="D693" t="s">
        <v>723</v>
      </c>
    </row>
    <row r="694" spans="4:4" x14ac:dyDescent="0.3">
      <c r="D694" t="s">
        <v>724</v>
      </c>
    </row>
    <row r="695" spans="4:4" x14ac:dyDescent="0.3">
      <c r="D695" t="s">
        <v>725</v>
      </c>
    </row>
    <row r="696" spans="4:4" x14ac:dyDescent="0.3">
      <c r="D696" t="s">
        <v>726</v>
      </c>
    </row>
    <row r="697" spans="4:4" x14ac:dyDescent="0.3">
      <c r="D697" t="s">
        <v>727</v>
      </c>
    </row>
    <row r="698" spans="4:4" x14ac:dyDescent="0.3">
      <c r="D698" t="s">
        <v>728</v>
      </c>
    </row>
    <row r="699" spans="4:4" x14ac:dyDescent="0.3">
      <c r="D699" t="s">
        <v>729</v>
      </c>
    </row>
    <row r="700" spans="4:4" x14ac:dyDescent="0.3">
      <c r="D700" t="s">
        <v>730</v>
      </c>
    </row>
    <row r="701" spans="4:4" x14ac:dyDescent="0.3">
      <c r="D701" t="s">
        <v>731</v>
      </c>
    </row>
    <row r="702" spans="4:4" x14ac:dyDescent="0.3">
      <c r="D702" t="s">
        <v>732</v>
      </c>
    </row>
    <row r="703" spans="4:4" x14ac:dyDescent="0.3">
      <c r="D703" t="s">
        <v>733</v>
      </c>
    </row>
    <row r="704" spans="4:4" x14ac:dyDescent="0.3">
      <c r="D704" t="s">
        <v>734</v>
      </c>
    </row>
    <row r="705" spans="4:4" x14ac:dyDescent="0.3">
      <c r="D705" t="s">
        <v>735</v>
      </c>
    </row>
    <row r="706" spans="4:4" x14ac:dyDescent="0.3">
      <c r="D706" t="s">
        <v>736</v>
      </c>
    </row>
    <row r="707" spans="4:4" x14ac:dyDescent="0.3">
      <c r="D707" t="s">
        <v>737</v>
      </c>
    </row>
    <row r="708" spans="4:4" x14ac:dyDescent="0.3">
      <c r="D708" t="s">
        <v>738</v>
      </c>
    </row>
    <row r="709" spans="4:4" x14ac:dyDescent="0.3">
      <c r="D709" t="s">
        <v>739</v>
      </c>
    </row>
    <row r="710" spans="4:4" x14ac:dyDescent="0.3">
      <c r="D710" t="s">
        <v>740</v>
      </c>
    </row>
    <row r="711" spans="4:4" x14ac:dyDescent="0.3">
      <c r="D711" t="s">
        <v>741</v>
      </c>
    </row>
    <row r="712" spans="4:4" x14ac:dyDescent="0.3">
      <c r="D712" t="s">
        <v>742</v>
      </c>
    </row>
    <row r="713" spans="4:4" x14ac:dyDescent="0.3">
      <c r="D713" t="s">
        <v>743</v>
      </c>
    </row>
    <row r="714" spans="4:4" x14ac:dyDescent="0.3">
      <c r="D714" t="s">
        <v>744</v>
      </c>
    </row>
    <row r="715" spans="4:4" x14ac:dyDescent="0.3">
      <c r="D715" t="s">
        <v>745</v>
      </c>
    </row>
    <row r="716" spans="4:4" x14ac:dyDescent="0.3">
      <c r="D716" t="s">
        <v>746</v>
      </c>
    </row>
    <row r="717" spans="4:4" x14ac:dyDescent="0.3">
      <c r="D717" t="s">
        <v>747</v>
      </c>
    </row>
    <row r="718" spans="4:4" x14ac:dyDescent="0.3">
      <c r="D718" t="s">
        <v>748</v>
      </c>
    </row>
    <row r="719" spans="4:4" x14ac:dyDescent="0.3">
      <c r="D719" t="s">
        <v>749</v>
      </c>
    </row>
    <row r="720" spans="4:4" x14ac:dyDescent="0.3">
      <c r="D720" t="s">
        <v>750</v>
      </c>
    </row>
    <row r="721" spans="4:4" x14ac:dyDescent="0.3">
      <c r="D721" t="s">
        <v>751</v>
      </c>
    </row>
    <row r="722" spans="4:4" x14ac:dyDescent="0.3">
      <c r="D722" t="s">
        <v>752</v>
      </c>
    </row>
    <row r="723" spans="4:4" x14ac:dyDescent="0.3">
      <c r="D723" t="s">
        <v>753</v>
      </c>
    </row>
    <row r="724" spans="4:4" x14ac:dyDescent="0.3">
      <c r="D724" t="s">
        <v>754</v>
      </c>
    </row>
    <row r="725" spans="4:4" x14ac:dyDescent="0.3">
      <c r="D725" t="s">
        <v>755</v>
      </c>
    </row>
    <row r="726" spans="4:4" x14ac:dyDescent="0.3">
      <c r="D726" t="s">
        <v>756</v>
      </c>
    </row>
    <row r="727" spans="4:4" x14ac:dyDescent="0.3">
      <c r="D727" t="s">
        <v>757</v>
      </c>
    </row>
    <row r="728" spans="4:4" x14ac:dyDescent="0.3">
      <c r="D728" t="s">
        <v>758</v>
      </c>
    </row>
    <row r="729" spans="4:4" x14ac:dyDescent="0.3">
      <c r="D729" t="s">
        <v>759</v>
      </c>
    </row>
    <row r="730" spans="4:4" x14ac:dyDescent="0.3">
      <c r="D730" t="s">
        <v>760</v>
      </c>
    </row>
    <row r="731" spans="4:4" x14ac:dyDescent="0.3">
      <c r="D731" t="s">
        <v>761</v>
      </c>
    </row>
    <row r="732" spans="4:4" x14ac:dyDescent="0.3">
      <c r="D732" t="s">
        <v>762</v>
      </c>
    </row>
    <row r="733" spans="4:4" x14ac:dyDescent="0.3">
      <c r="D733" t="s">
        <v>763</v>
      </c>
    </row>
    <row r="734" spans="4:4" x14ac:dyDescent="0.3">
      <c r="D734" t="s">
        <v>764</v>
      </c>
    </row>
    <row r="735" spans="4:4" x14ac:dyDescent="0.3">
      <c r="D735" t="s">
        <v>765</v>
      </c>
    </row>
    <row r="736" spans="4:4" x14ac:dyDescent="0.3">
      <c r="D736" t="s">
        <v>766</v>
      </c>
    </row>
    <row r="737" spans="4:4" x14ac:dyDescent="0.3">
      <c r="D737" t="s">
        <v>767</v>
      </c>
    </row>
    <row r="738" spans="4:4" x14ac:dyDescent="0.3">
      <c r="D738" t="s">
        <v>768</v>
      </c>
    </row>
    <row r="739" spans="4:4" x14ac:dyDescent="0.3">
      <c r="D739" t="s">
        <v>769</v>
      </c>
    </row>
    <row r="740" spans="4:4" x14ac:dyDescent="0.3">
      <c r="D740" t="s">
        <v>770</v>
      </c>
    </row>
    <row r="741" spans="4:4" x14ac:dyDescent="0.3">
      <c r="D741" t="s">
        <v>771</v>
      </c>
    </row>
    <row r="742" spans="4:4" x14ac:dyDescent="0.3">
      <c r="D742" t="s">
        <v>772</v>
      </c>
    </row>
    <row r="743" spans="4:4" x14ac:dyDescent="0.3">
      <c r="D743" t="s">
        <v>773</v>
      </c>
    </row>
    <row r="744" spans="4:4" x14ac:dyDescent="0.3">
      <c r="D744" t="s">
        <v>774</v>
      </c>
    </row>
    <row r="745" spans="4:4" x14ac:dyDescent="0.3">
      <c r="D745" t="s">
        <v>775</v>
      </c>
    </row>
    <row r="746" spans="4:4" x14ac:dyDescent="0.3">
      <c r="D746" t="s">
        <v>776</v>
      </c>
    </row>
    <row r="747" spans="4:4" x14ac:dyDescent="0.3">
      <c r="D747" t="s">
        <v>777</v>
      </c>
    </row>
    <row r="748" spans="4:4" x14ac:dyDescent="0.3">
      <c r="D748" t="s">
        <v>778</v>
      </c>
    </row>
    <row r="749" spans="4:4" x14ac:dyDescent="0.3">
      <c r="D749" t="s">
        <v>779</v>
      </c>
    </row>
    <row r="750" spans="4:4" x14ac:dyDescent="0.3">
      <c r="D750" t="s">
        <v>780</v>
      </c>
    </row>
    <row r="751" spans="4:4" x14ac:dyDescent="0.3">
      <c r="D751" t="s">
        <v>781</v>
      </c>
    </row>
    <row r="752" spans="4:4" x14ac:dyDescent="0.3">
      <c r="D752" t="s">
        <v>782</v>
      </c>
    </row>
    <row r="753" spans="4:4" x14ac:dyDescent="0.3">
      <c r="D753" t="s">
        <v>783</v>
      </c>
    </row>
    <row r="754" spans="4:4" x14ac:dyDescent="0.3">
      <c r="D754" t="s">
        <v>784</v>
      </c>
    </row>
    <row r="755" spans="4:4" x14ac:dyDescent="0.3">
      <c r="D755" t="s">
        <v>785</v>
      </c>
    </row>
    <row r="756" spans="4:4" x14ac:dyDescent="0.3">
      <c r="D756" t="s">
        <v>786</v>
      </c>
    </row>
    <row r="757" spans="4:4" x14ac:dyDescent="0.3">
      <c r="D757" t="s">
        <v>787</v>
      </c>
    </row>
    <row r="758" spans="4:4" x14ac:dyDescent="0.3">
      <c r="D758" t="s">
        <v>788</v>
      </c>
    </row>
    <row r="759" spans="4:4" x14ac:dyDescent="0.3">
      <c r="D759" t="s">
        <v>789</v>
      </c>
    </row>
    <row r="760" spans="4:4" x14ac:dyDescent="0.3">
      <c r="D760" t="s">
        <v>790</v>
      </c>
    </row>
    <row r="761" spans="4:4" x14ac:dyDescent="0.3">
      <c r="D761" t="s">
        <v>791</v>
      </c>
    </row>
    <row r="762" spans="4:4" x14ac:dyDescent="0.3">
      <c r="D762" t="s">
        <v>792</v>
      </c>
    </row>
    <row r="763" spans="4:4" x14ac:dyDescent="0.3">
      <c r="D763" t="s">
        <v>793</v>
      </c>
    </row>
    <row r="764" spans="4:4" x14ac:dyDescent="0.3">
      <c r="D764" t="s">
        <v>794</v>
      </c>
    </row>
    <row r="765" spans="4:4" x14ac:dyDescent="0.3">
      <c r="D765" t="s">
        <v>795</v>
      </c>
    </row>
    <row r="766" spans="4:4" x14ac:dyDescent="0.3">
      <c r="D766" t="s">
        <v>796</v>
      </c>
    </row>
    <row r="767" spans="4:4" x14ac:dyDescent="0.3">
      <c r="D767" t="s">
        <v>797</v>
      </c>
    </row>
    <row r="768" spans="4:4" x14ac:dyDescent="0.3">
      <c r="D768" t="s">
        <v>798</v>
      </c>
    </row>
    <row r="769" spans="4:4" x14ac:dyDescent="0.3">
      <c r="D769" t="s">
        <v>799</v>
      </c>
    </row>
    <row r="770" spans="4:4" x14ac:dyDescent="0.3">
      <c r="D770" t="s">
        <v>800</v>
      </c>
    </row>
    <row r="771" spans="4:4" x14ac:dyDescent="0.3">
      <c r="D771" t="s">
        <v>801</v>
      </c>
    </row>
    <row r="772" spans="4:4" x14ac:dyDescent="0.3">
      <c r="D772" t="s">
        <v>802</v>
      </c>
    </row>
    <row r="773" spans="4:4" x14ac:dyDescent="0.3">
      <c r="D773" t="s">
        <v>803</v>
      </c>
    </row>
    <row r="774" spans="4:4" x14ac:dyDescent="0.3">
      <c r="D774" t="s">
        <v>804</v>
      </c>
    </row>
    <row r="775" spans="4:4" x14ac:dyDescent="0.3">
      <c r="D775" t="s">
        <v>805</v>
      </c>
    </row>
    <row r="776" spans="4:4" x14ac:dyDescent="0.3">
      <c r="D776" t="s">
        <v>806</v>
      </c>
    </row>
    <row r="777" spans="4:4" x14ac:dyDescent="0.3">
      <c r="D777" t="s">
        <v>807</v>
      </c>
    </row>
    <row r="778" spans="4:4" x14ac:dyDescent="0.3">
      <c r="D778" t="s">
        <v>808</v>
      </c>
    </row>
    <row r="779" spans="4:4" x14ac:dyDescent="0.3">
      <c r="D779" t="s">
        <v>809</v>
      </c>
    </row>
    <row r="780" spans="4:4" x14ac:dyDescent="0.3">
      <c r="D780" t="s">
        <v>810</v>
      </c>
    </row>
    <row r="781" spans="4:4" x14ac:dyDescent="0.3">
      <c r="D781" t="s">
        <v>811</v>
      </c>
    </row>
    <row r="782" spans="4:4" x14ac:dyDescent="0.3">
      <c r="D782" t="s">
        <v>812</v>
      </c>
    </row>
    <row r="783" spans="4:4" x14ac:dyDescent="0.3">
      <c r="D783" t="s">
        <v>813</v>
      </c>
    </row>
    <row r="784" spans="4:4" x14ac:dyDescent="0.3">
      <c r="D784" t="s">
        <v>814</v>
      </c>
    </row>
    <row r="785" spans="4:4" x14ac:dyDescent="0.3">
      <c r="D785" t="s">
        <v>815</v>
      </c>
    </row>
    <row r="786" spans="4:4" x14ac:dyDescent="0.3">
      <c r="D786" t="s">
        <v>816</v>
      </c>
    </row>
    <row r="787" spans="4:4" x14ac:dyDescent="0.3">
      <c r="D787" t="s">
        <v>817</v>
      </c>
    </row>
    <row r="788" spans="4:4" x14ac:dyDescent="0.3">
      <c r="D788" t="s">
        <v>818</v>
      </c>
    </row>
    <row r="789" spans="4:4" x14ac:dyDescent="0.3">
      <c r="D789" t="s">
        <v>819</v>
      </c>
    </row>
    <row r="790" spans="4:4" x14ac:dyDescent="0.3">
      <c r="D790" t="s">
        <v>820</v>
      </c>
    </row>
    <row r="791" spans="4:4" x14ac:dyDescent="0.3">
      <c r="D791" t="s">
        <v>821</v>
      </c>
    </row>
    <row r="792" spans="4:4" x14ac:dyDescent="0.3">
      <c r="D792" t="s">
        <v>822</v>
      </c>
    </row>
    <row r="793" spans="4:4" x14ac:dyDescent="0.3">
      <c r="D793" t="s">
        <v>823</v>
      </c>
    </row>
    <row r="794" spans="4:4" x14ac:dyDescent="0.3">
      <c r="D794" t="s">
        <v>824</v>
      </c>
    </row>
    <row r="795" spans="4:4" x14ac:dyDescent="0.3">
      <c r="D795" t="s">
        <v>825</v>
      </c>
    </row>
    <row r="796" spans="4:4" x14ac:dyDescent="0.3">
      <c r="D796" t="s">
        <v>826</v>
      </c>
    </row>
    <row r="797" spans="4:4" x14ac:dyDescent="0.3">
      <c r="D797" t="s">
        <v>827</v>
      </c>
    </row>
    <row r="798" spans="4:4" x14ac:dyDescent="0.3">
      <c r="D798" t="s">
        <v>828</v>
      </c>
    </row>
    <row r="799" spans="4:4" x14ac:dyDescent="0.3">
      <c r="D799" t="s">
        <v>829</v>
      </c>
    </row>
    <row r="800" spans="4:4" x14ac:dyDescent="0.3">
      <c r="D800" t="s">
        <v>830</v>
      </c>
    </row>
    <row r="801" spans="4:4" x14ac:dyDescent="0.3">
      <c r="D801" t="s">
        <v>831</v>
      </c>
    </row>
    <row r="802" spans="4:4" x14ac:dyDescent="0.3">
      <c r="D802" t="s">
        <v>832</v>
      </c>
    </row>
    <row r="803" spans="4:4" x14ac:dyDescent="0.3">
      <c r="D803" t="s">
        <v>833</v>
      </c>
    </row>
    <row r="804" spans="4:4" x14ac:dyDescent="0.3">
      <c r="D804" t="s">
        <v>834</v>
      </c>
    </row>
    <row r="805" spans="4:4" x14ac:dyDescent="0.3">
      <c r="D805" t="s">
        <v>835</v>
      </c>
    </row>
    <row r="806" spans="4:4" x14ac:dyDescent="0.3">
      <c r="D806" t="s">
        <v>836</v>
      </c>
    </row>
    <row r="807" spans="4:4" x14ac:dyDescent="0.3">
      <c r="D807" t="s">
        <v>837</v>
      </c>
    </row>
    <row r="808" spans="4:4" x14ac:dyDescent="0.3">
      <c r="D808" t="s">
        <v>838</v>
      </c>
    </row>
    <row r="809" spans="4:4" x14ac:dyDescent="0.3">
      <c r="D809" t="s">
        <v>839</v>
      </c>
    </row>
    <row r="810" spans="4:4" x14ac:dyDescent="0.3">
      <c r="D810" t="s">
        <v>840</v>
      </c>
    </row>
    <row r="811" spans="4:4" x14ac:dyDescent="0.3">
      <c r="D811" t="s">
        <v>841</v>
      </c>
    </row>
    <row r="812" spans="4:4" x14ac:dyDescent="0.3">
      <c r="D812" t="s">
        <v>842</v>
      </c>
    </row>
    <row r="813" spans="4:4" x14ac:dyDescent="0.3">
      <c r="D813" t="s">
        <v>843</v>
      </c>
    </row>
    <row r="814" spans="4:4" x14ac:dyDescent="0.3">
      <c r="D814" t="s">
        <v>844</v>
      </c>
    </row>
    <row r="815" spans="4:4" x14ac:dyDescent="0.3">
      <c r="D815" t="s">
        <v>845</v>
      </c>
    </row>
    <row r="816" spans="4:4" x14ac:dyDescent="0.3">
      <c r="D816" t="s">
        <v>846</v>
      </c>
    </row>
    <row r="817" spans="4:4" x14ac:dyDescent="0.3">
      <c r="D817" t="s">
        <v>847</v>
      </c>
    </row>
    <row r="818" spans="4:4" x14ac:dyDescent="0.3">
      <c r="D818" t="s">
        <v>848</v>
      </c>
    </row>
    <row r="819" spans="4:4" x14ac:dyDescent="0.3">
      <c r="D819" t="s">
        <v>849</v>
      </c>
    </row>
    <row r="820" spans="4:4" x14ac:dyDescent="0.3">
      <c r="D820" t="s">
        <v>850</v>
      </c>
    </row>
    <row r="821" spans="4:4" x14ac:dyDescent="0.3">
      <c r="D821" t="s">
        <v>851</v>
      </c>
    </row>
    <row r="822" spans="4:4" x14ac:dyDescent="0.3">
      <c r="D822" t="s">
        <v>852</v>
      </c>
    </row>
    <row r="823" spans="4:4" x14ac:dyDescent="0.3">
      <c r="D823" t="s">
        <v>853</v>
      </c>
    </row>
    <row r="824" spans="4:4" x14ac:dyDescent="0.3">
      <c r="D824" t="s">
        <v>854</v>
      </c>
    </row>
    <row r="825" spans="4:4" x14ac:dyDescent="0.3">
      <c r="D825" t="s">
        <v>855</v>
      </c>
    </row>
    <row r="826" spans="4:4" x14ac:dyDescent="0.3">
      <c r="D826" t="s">
        <v>856</v>
      </c>
    </row>
    <row r="827" spans="4:4" x14ac:dyDescent="0.3">
      <c r="D827" t="s">
        <v>857</v>
      </c>
    </row>
    <row r="828" spans="4:4" x14ac:dyDescent="0.3">
      <c r="D828" t="s">
        <v>858</v>
      </c>
    </row>
    <row r="829" spans="4:4" x14ac:dyDescent="0.3">
      <c r="D829" t="s">
        <v>859</v>
      </c>
    </row>
    <row r="830" spans="4:4" x14ac:dyDescent="0.3">
      <c r="D830" t="s">
        <v>860</v>
      </c>
    </row>
    <row r="831" spans="4:4" x14ac:dyDescent="0.3">
      <c r="D831" t="s">
        <v>861</v>
      </c>
    </row>
    <row r="832" spans="4:4" x14ac:dyDescent="0.3">
      <c r="D832" t="s">
        <v>862</v>
      </c>
    </row>
    <row r="833" spans="4:4" x14ac:dyDescent="0.3">
      <c r="D833" t="s">
        <v>863</v>
      </c>
    </row>
    <row r="834" spans="4:4" x14ac:dyDescent="0.3">
      <c r="D834" t="s">
        <v>864</v>
      </c>
    </row>
    <row r="835" spans="4:4" x14ac:dyDescent="0.3">
      <c r="D835" t="s">
        <v>865</v>
      </c>
    </row>
    <row r="836" spans="4:4" x14ac:dyDescent="0.3">
      <c r="D836" t="s">
        <v>866</v>
      </c>
    </row>
    <row r="837" spans="4:4" x14ac:dyDescent="0.3">
      <c r="D837" t="s">
        <v>867</v>
      </c>
    </row>
    <row r="838" spans="4:4" x14ac:dyDescent="0.3">
      <c r="D838" t="s">
        <v>868</v>
      </c>
    </row>
    <row r="839" spans="4:4" x14ac:dyDescent="0.3">
      <c r="D839" t="s">
        <v>869</v>
      </c>
    </row>
    <row r="840" spans="4:4" x14ac:dyDescent="0.3">
      <c r="D840" t="s">
        <v>870</v>
      </c>
    </row>
    <row r="841" spans="4:4" x14ac:dyDescent="0.3">
      <c r="D841" t="s">
        <v>871</v>
      </c>
    </row>
    <row r="842" spans="4:4" x14ac:dyDescent="0.3">
      <c r="D842" t="s">
        <v>872</v>
      </c>
    </row>
    <row r="843" spans="4:4" x14ac:dyDescent="0.3">
      <c r="D843" t="s">
        <v>873</v>
      </c>
    </row>
    <row r="844" spans="4:4" x14ac:dyDescent="0.3">
      <c r="D844" t="s">
        <v>874</v>
      </c>
    </row>
    <row r="845" spans="4:4" x14ac:dyDescent="0.3">
      <c r="D845" t="s">
        <v>875</v>
      </c>
    </row>
    <row r="846" spans="4:4" x14ac:dyDescent="0.3">
      <c r="D846" t="s">
        <v>876</v>
      </c>
    </row>
    <row r="847" spans="4:4" x14ac:dyDescent="0.3">
      <c r="D847" t="s">
        <v>877</v>
      </c>
    </row>
    <row r="848" spans="4:4" x14ac:dyDescent="0.3">
      <c r="D848" t="s">
        <v>878</v>
      </c>
    </row>
    <row r="849" spans="4:4" x14ac:dyDescent="0.3">
      <c r="D849" t="s">
        <v>879</v>
      </c>
    </row>
    <row r="850" spans="4:4" x14ac:dyDescent="0.3">
      <c r="D850" t="s">
        <v>880</v>
      </c>
    </row>
    <row r="851" spans="4:4" x14ac:dyDescent="0.3">
      <c r="D851" t="s">
        <v>881</v>
      </c>
    </row>
    <row r="852" spans="4:4" x14ac:dyDescent="0.3">
      <c r="D852" t="s">
        <v>882</v>
      </c>
    </row>
    <row r="853" spans="4:4" x14ac:dyDescent="0.3">
      <c r="D853" t="s">
        <v>883</v>
      </c>
    </row>
    <row r="854" spans="4:4" x14ac:dyDescent="0.3">
      <c r="D854" t="s">
        <v>884</v>
      </c>
    </row>
    <row r="855" spans="4:4" x14ac:dyDescent="0.3">
      <c r="D855" t="s">
        <v>885</v>
      </c>
    </row>
    <row r="856" spans="4:4" x14ac:dyDescent="0.3">
      <c r="D856" t="s">
        <v>886</v>
      </c>
    </row>
    <row r="857" spans="4:4" x14ac:dyDescent="0.3">
      <c r="D857" t="s">
        <v>887</v>
      </c>
    </row>
    <row r="858" spans="4:4" x14ac:dyDescent="0.3">
      <c r="D858" t="s">
        <v>888</v>
      </c>
    </row>
    <row r="859" spans="4:4" x14ac:dyDescent="0.3">
      <c r="D859" t="s">
        <v>889</v>
      </c>
    </row>
    <row r="860" spans="4:4" x14ac:dyDescent="0.3">
      <c r="D860" t="s">
        <v>890</v>
      </c>
    </row>
    <row r="861" spans="4:4" x14ac:dyDescent="0.3">
      <c r="D861" t="s">
        <v>891</v>
      </c>
    </row>
    <row r="862" spans="4:4" x14ac:dyDescent="0.3">
      <c r="D862" t="s">
        <v>892</v>
      </c>
    </row>
    <row r="863" spans="4:4" x14ac:dyDescent="0.3">
      <c r="D863" t="s">
        <v>893</v>
      </c>
    </row>
    <row r="864" spans="4:4" x14ac:dyDescent="0.3">
      <c r="D864" t="s">
        <v>894</v>
      </c>
    </row>
    <row r="865" spans="4:4" x14ac:dyDescent="0.3">
      <c r="D865" t="s">
        <v>895</v>
      </c>
    </row>
    <row r="866" spans="4:4" x14ac:dyDescent="0.3">
      <c r="D866" t="s">
        <v>896</v>
      </c>
    </row>
    <row r="867" spans="4:4" x14ac:dyDescent="0.3">
      <c r="D867" t="s">
        <v>897</v>
      </c>
    </row>
    <row r="868" spans="4:4" x14ac:dyDescent="0.3">
      <c r="D868" t="s">
        <v>898</v>
      </c>
    </row>
    <row r="869" spans="4:4" x14ac:dyDescent="0.3">
      <c r="D869" t="s">
        <v>899</v>
      </c>
    </row>
    <row r="870" spans="4:4" x14ac:dyDescent="0.3">
      <c r="D870" t="s">
        <v>900</v>
      </c>
    </row>
    <row r="871" spans="4:4" x14ac:dyDescent="0.3">
      <c r="D871" t="s">
        <v>901</v>
      </c>
    </row>
    <row r="872" spans="4:4" x14ac:dyDescent="0.3">
      <c r="D872" t="s">
        <v>902</v>
      </c>
    </row>
    <row r="873" spans="4:4" x14ac:dyDescent="0.3">
      <c r="D873" t="s">
        <v>903</v>
      </c>
    </row>
    <row r="874" spans="4:4" x14ac:dyDescent="0.3">
      <c r="D874" t="s">
        <v>904</v>
      </c>
    </row>
    <row r="875" spans="4:4" x14ac:dyDescent="0.3">
      <c r="D875" t="s">
        <v>905</v>
      </c>
    </row>
    <row r="876" spans="4:4" x14ac:dyDescent="0.3">
      <c r="D876" t="s">
        <v>906</v>
      </c>
    </row>
    <row r="877" spans="4:4" x14ac:dyDescent="0.3">
      <c r="D877" t="s">
        <v>907</v>
      </c>
    </row>
    <row r="878" spans="4:4" x14ac:dyDescent="0.3">
      <c r="D878" t="s">
        <v>908</v>
      </c>
    </row>
    <row r="879" spans="4:4" x14ac:dyDescent="0.3">
      <c r="D879" t="s">
        <v>909</v>
      </c>
    </row>
    <row r="880" spans="4:4" x14ac:dyDescent="0.3">
      <c r="D880" t="s">
        <v>910</v>
      </c>
    </row>
    <row r="881" spans="4:4" x14ac:dyDescent="0.3">
      <c r="D881" t="s">
        <v>911</v>
      </c>
    </row>
    <row r="882" spans="4:4" x14ac:dyDescent="0.3">
      <c r="D882" t="s">
        <v>912</v>
      </c>
    </row>
    <row r="883" spans="4:4" x14ac:dyDescent="0.3">
      <c r="D883" t="s">
        <v>913</v>
      </c>
    </row>
    <row r="884" spans="4:4" x14ac:dyDescent="0.3">
      <c r="D884" t="s">
        <v>914</v>
      </c>
    </row>
    <row r="885" spans="4:4" x14ac:dyDescent="0.3">
      <c r="D885" t="s">
        <v>915</v>
      </c>
    </row>
    <row r="886" spans="4:4" x14ac:dyDescent="0.3">
      <c r="D886" t="s">
        <v>916</v>
      </c>
    </row>
    <row r="887" spans="4:4" x14ac:dyDescent="0.3">
      <c r="D887" t="s">
        <v>917</v>
      </c>
    </row>
    <row r="888" spans="4:4" x14ac:dyDescent="0.3">
      <c r="D888" t="s">
        <v>918</v>
      </c>
    </row>
    <row r="889" spans="4:4" x14ac:dyDescent="0.3">
      <c r="D889" t="s">
        <v>919</v>
      </c>
    </row>
    <row r="890" spans="4:4" x14ac:dyDescent="0.3">
      <c r="D890" t="s">
        <v>920</v>
      </c>
    </row>
    <row r="891" spans="4:4" x14ac:dyDescent="0.3">
      <c r="D891" t="s">
        <v>921</v>
      </c>
    </row>
    <row r="892" spans="4:4" x14ac:dyDescent="0.3">
      <c r="D892" t="s">
        <v>922</v>
      </c>
    </row>
    <row r="893" spans="4:4" x14ac:dyDescent="0.3">
      <c r="D893" t="s">
        <v>923</v>
      </c>
    </row>
    <row r="894" spans="4:4" x14ac:dyDescent="0.3">
      <c r="D894" t="s">
        <v>924</v>
      </c>
    </row>
    <row r="895" spans="4:4" x14ac:dyDescent="0.3">
      <c r="D895" t="s">
        <v>925</v>
      </c>
    </row>
    <row r="896" spans="4:4" x14ac:dyDescent="0.3">
      <c r="D896" t="s">
        <v>926</v>
      </c>
    </row>
    <row r="897" spans="4:4" x14ac:dyDescent="0.3">
      <c r="D897" t="s">
        <v>927</v>
      </c>
    </row>
    <row r="898" spans="4:4" x14ac:dyDescent="0.3">
      <c r="D898" t="s">
        <v>928</v>
      </c>
    </row>
    <row r="899" spans="4:4" x14ac:dyDescent="0.3">
      <c r="D899" t="s">
        <v>929</v>
      </c>
    </row>
    <row r="900" spans="4:4" x14ac:dyDescent="0.3">
      <c r="D900" t="s">
        <v>930</v>
      </c>
    </row>
    <row r="901" spans="4:4" x14ac:dyDescent="0.3">
      <c r="D901" t="s">
        <v>931</v>
      </c>
    </row>
    <row r="902" spans="4:4" x14ac:dyDescent="0.3">
      <c r="D902" t="s">
        <v>932</v>
      </c>
    </row>
    <row r="903" spans="4:4" x14ac:dyDescent="0.3">
      <c r="D903" t="s">
        <v>933</v>
      </c>
    </row>
    <row r="904" spans="4:4" x14ac:dyDescent="0.3">
      <c r="D904" t="s">
        <v>934</v>
      </c>
    </row>
    <row r="905" spans="4:4" x14ac:dyDescent="0.3">
      <c r="D905" t="s">
        <v>935</v>
      </c>
    </row>
    <row r="906" spans="4:4" x14ac:dyDescent="0.3">
      <c r="D906" t="s">
        <v>936</v>
      </c>
    </row>
    <row r="907" spans="4:4" x14ac:dyDescent="0.3">
      <c r="D907" t="s">
        <v>937</v>
      </c>
    </row>
    <row r="908" spans="4:4" x14ac:dyDescent="0.3">
      <c r="D908" t="s">
        <v>938</v>
      </c>
    </row>
    <row r="909" spans="4:4" x14ac:dyDescent="0.3">
      <c r="D909" t="s">
        <v>939</v>
      </c>
    </row>
    <row r="910" spans="4:4" x14ac:dyDescent="0.3">
      <c r="D910" t="s">
        <v>940</v>
      </c>
    </row>
    <row r="911" spans="4:4" x14ac:dyDescent="0.3">
      <c r="D911" t="s">
        <v>941</v>
      </c>
    </row>
    <row r="912" spans="4:4" x14ac:dyDescent="0.3">
      <c r="D912" t="s">
        <v>942</v>
      </c>
    </row>
    <row r="913" spans="4:4" x14ac:dyDescent="0.3">
      <c r="D913" t="s">
        <v>943</v>
      </c>
    </row>
    <row r="914" spans="4:4" x14ac:dyDescent="0.3">
      <c r="D914" t="s">
        <v>944</v>
      </c>
    </row>
    <row r="915" spans="4:4" x14ac:dyDescent="0.3">
      <c r="D915" t="s">
        <v>945</v>
      </c>
    </row>
    <row r="916" spans="4:4" x14ac:dyDescent="0.3">
      <c r="D916" t="s">
        <v>946</v>
      </c>
    </row>
    <row r="917" spans="4:4" x14ac:dyDescent="0.3">
      <c r="D917" t="s">
        <v>947</v>
      </c>
    </row>
    <row r="918" spans="4:4" x14ac:dyDescent="0.3">
      <c r="D918" t="s">
        <v>948</v>
      </c>
    </row>
    <row r="919" spans="4:4" x14ac:dyDescent="0.3">
      <c r="D919" t="s">
        <v>949</v>
      </c>
    </row>
    <row r="920" spans="4:4" x14ac:dyDescent="0.3">
      <c r="D920" t="s">
        <v>950</v>
      </c>
    </row>
    <row r="921" spans="4:4" x14ac:dyDescent="0.3">
      <c r="D921" t="s">
        <v>951</v>
      </c>
    </row>
    <row r="922" spans="4:4" x14ac:dyDescent="0.3">
      <c r="D922" t="s">
        <v>952</v>
      </c>
    </row>
    <row r="923" spans="4:4" x14ac:dyDescent="0.3">
      <c r="D923" t="s">
        <v>953</v>
      </c>
    </row>
    <row r="924" spans="4:4" x14ac:dyDescent="0.3">
      <c r="D924" t="s">
        <v>954</v>
      </c>
    </row>
    <row r="925" spans="4:4" x14ac:dyDescent="0.3">
      <c r="D925" t="s">
        <v>955</v>
      </c>
    </row>
    <row r="926" spans="4:4" x14ac:dyDescent="0.3">
      <c r="D926" t="s">
        <v>956</v>
      </c>
    </row>
    <row r="927" spans="4:4" x14ac:dyDescent="0.3">
      <c r="D927" t="s">
        <v>957</v>
      </c>
    </row>
    <row r="928" spans="4:4" x14ac:dyDescent="0.3">
      <c r="D928" t="s">
        <v>958</v>
      </c>
    </row>
    <row r="929" spans="4:4" x14ac:dyDescent="0.3">
      <c r="D929" t="s">
        <v>959</v>
      </c>
    </row>
    <row r="930" spans="4:4" x14ac:dyDescent="0.3">
      <c r="D930" t="s">
        <v>960</v>
      </c>
    </row>
    <row r="931" spans="4:4" x14ac:dyDescent="0.3">
      <c r="D931" t="s">
        <v>961</v>
      </c>
    </row>
    <row r="932" spans="4:4" x14ac:dyDescent="0.3">
      <c r="D932" t="s">
        <v>962</v>
      </c>
    </row>
    <row r="933" spans="4:4" x14ac:dyDescent="0.3">
      <c r="D933" t="s">
        <v>963</v>
      </c>
    </row>
    <row r="934" spans="4:4" x14ac:dyDescent="0.3">
      <c r="D934" t="s">
        <v>964</v>
      </c>
    </row>
    <row r="935" spans="4:4" x14ac:dyDescent="0.3">
      <c r="D935" t="s">
        <v>965</v>
      </c>
    </row>
    <row r="936" spans="4:4" x14ac:dyDescent="0.3">
      <c r="D936" t="s">
        <v>966</v>
      </c>
    </row>
    <row r="937" spans="4:4" x14ac:dyDescent="0.3">
      <c r="D937" t="s">
        <v>967</v>
      </c>
    </row>
    <row r="938" spans="4:4" x14ac:dyDescent="0.3">
      <c r="D938" t="s">
        <v>968</v>
      </c>
    </row>
    <row r="939" spans="4:4" x14ac:dyDescent="0.3">
      <c r="D939" t="s">
        <v>969</v>
      </c>
    </row>
    <row r="940" spans="4:4" x14ac:dyDescent="0.3">
      <c r="D940" t="s">
        <v>970</v>
      </c>
    </row>
    <row r="941" spans="4:4" x14ac:dyDescent="0.3">
      <c r="D941" t="s">
        <v>971</v>
      </c>
    </row>
    <row r="942" spans="4:4" x14ac:dyDescent="0.3">
      <c r="D942" t="s">
        <v>972</v>
      </c>
    </row>
    <row r="943" spans="4:4" x14ac:dyDescent="0.3">
      <c r="D943" t="s">
        <v>973</v>
      </c>
    </row>
    <row r="944" spans="4:4" x14ac:dyDescent="0.3">
      <c r="D944" t="s">
        <v>974</v>
      </c>
    </row>
    <row r="945" spans="4:4" x14ac:dyDescent="0.3">
      <c r="D945" t="s">
        <v>975</v>
      </c>
    </row>
    <row r="946" spans="4:4" x14ac:dyDescent="0.3">
      <c r="D946" t="s">
        <v>976</v>
      </c>
    </row>
    <row r="947" spans="4:4" x14ac:dyDescent="0.3">
      <c r="D947" t="s">
        <v>977</v>
      </c>
    </row>
    <row r="948" spans="4:4" x14ac:dyDescent="0.3">
      <c r="D948" t="s">
        <v>978</v>
      </c>
    </row>
    <row r="949" spans="4:4" x14ac:dyDescent="0.3">
      <c r="D949" t="s">
        <v>979</v>
      </c>
    </row>
    <row r="950" spans="4:4" x14ac:dyDescent="0.3">
      <c r="D950" t="s">
        <v>980</v>
      </c>
    </row>
    <row r="951" spans="4:4" x14ac:dyDescent="0.3">
      <c r="D951" t="s">
        <v>981</v>
      </c>
    </row>
    <row r="952" spans="4:4" x14ac:dyDescent="0.3">
      <c r="D952" t="s">
        <v>982</v>
      </c>
    </row>
    <row r="953" spans="4:4" x14ac:dyDescent="0.3">
      <c r="D953" t="s">
        <v>983</v>
      </c>
    </row>
    <row r="954" spans="4:4" x14ac:dyDescent="0.3">
      <c r="D954" t="s">
        <v>984</v>
      </c>
    </row>
    <row r="955" spans="4:4" x14ac:dyDescent="0.3">
      <c r="D955" t="s">
        <v>985</v>
      </c>
    </row>
    <row r="956" spans="4:4" x14ac:dyDescent="0.3">
      <c r="D956" t="s">
        <v>986</v>
      </c>
    </row>
    <row r="957" spans="4:4" x14ac:dyDescent="0.3">
      <c r="D957" t="s">
        <v>987</v>
      </c>
    </row>
    <row r="958" spans="4:4" x14ac:dyDescent="0.3">
      <c r="D958" t="s">
        <v>988</v>
      </c>
    </row>
    <row r="959" spans="4:4" x14ac:dyDescent="0.3">
      <c r="D959" t="s">
        <v>989</v>
      </c>
    </row>
    <row r="960" spans="4:4" x14ac:dyDescent="0.3">
      <c r="D960" t="s">
        <v>990</v>
      </c>
    </row>
    <row r="961" spans="4:4" x14ac:dyDescent="0.3">
      <c r="D961" t="s">
        <v>991</v>
      </c>
    </row>
    <row r="962" spans="4:4" x14ac:dyDescent="0.3">
      <c r="D962" t="s">
        <v>992</v>
      </c>
    </row>
    <row r="963" spans="4:4" x14ac:dyDescent="0.3">
      <c r="D963" t="s">
        <v>993</v>
      </c>
    </row>
    <row r="964" spans="4:4" x14ac:dyDescent="0.3">
      <c r="D964" t="s">
        <v>994</v>
      </c>
    </row>
    <row r="965" spans="4:4" x14ac:dyDescent="0.3">
      <c r="D965" t="s">
        <v>995</v>
      </c>
    </row>
    <row r="966" spans="4:4" x14ac:dyDescent="0.3">
      <c r="D966" t="s">
        <v>996</v>
      </c>
    </row>
    <row r="967" spans="4:4" x14ac:dyDescent="0.3">
      <c r="D967" t="s">
        <v>997</v>
      </c>
    </row>
    <row r="968" spans="4:4" x14ac:dyDescent="0.3">
      <c r="D968" t="s">
        <v>998</v>
      </c>
    </row>
    <row r="969" spans="4:4" x14ac:dyDescent="0.3">
      <c r="D969" t="s">
        <v>999</v>
      </c>
    </row>
    <row r="970" spans="4:4" x14ac:dyDescent="0.3">
      <c r="D970" t="s">
        <v>1000</v>
      </c>
    </row>
    <row r="971" spans="4:4" x14ac:dyDescent="0.3">
      <c r="D971" t="s">
        <v>1001</v>
      </c>
    </row>
    <row r="972" spans="4:4" x14ac:dyDescent="0.3">
      <c r="D972" t="s">
        <v>1002</v>
      </c>
    </row>
    <row r="973" spans="4:4" x14ac:dyDescent="0.3">
      <c r="D973" t="s">
        <v>1003</v>
      </c>
    </row>
    <row r="974" spans="4:4" x14ac:dyDescent="0.3">
      <c r="D974" t="s">
        <v>1004</v>
      </c>
    </row>
    <row r="975" spans="4:4" x14ac:dyDescent="0.3">
      <c r="D975" t="s">
        <v>1005</v>
      </c>
    </row>
    <row r="976" spans="4:4" x14ac:dyDescent="0.3">
      <c r="D976" t="s">
        <v>1006</v>
      </c>
    </row>
    <row r="977" spans="4:4" x14ac:dyDescent="0.3">
      <c r="D977" t="s">
        <v>1007</v>
      </c>
    </row>
    <row r="978" spans="4:4" x14ac:dyDescent="0.3">
      <c r="D978" t="s">
        <v>1008</v>
      </c>
    </row>
    <row r="979" spans="4:4" x14ac:dyDescent="0.3">
      <c r="D979" t="s">
        <v>1009</v>
      </c>
    </row>
    <row r="980" spans="4:4" x14ac:dyDescent="0.3">
      <c r="D980" t="s">
        <v>1010</v>
      </c>
    </row>
    <row r="981" spans="4:4" x14ac:dyDescent="0.3">
      <c r="D981" t="s">
        <v>1011</v>
      </c>
    </row>
    <row r="982" spans="4:4" x14ac:dyDescent="0.3">
      <c r="D982" t="s">
        <v>1012</v>
      </c>
    </row>
    <row r="983" spans="4:4" x14ac:dyDescent="0.3">
      <c r="D983" t="s">
        <v>1013</v>
      </c>
    </row>
    <row r="984" spans="4:4" x14ac:dyDescent="0.3">
      <c r="D984" t="s">
        <v>1014</v>
      </c>
    </row>
    <row r="985" spans="4:4" x14ac:dyDescent="0.3">
      <c r="D985" t="s">
        <v>1015</v>
      </c>
    </row>
    <row r="986" spans="4:4" x14ac:dyDescent="0.3">
      <c r="D986" t="s">
        <v>1016</v>
      </c>
    </row>
    <row r="987" spans="4:4" x14ac:dyDescent="0.3">
      <c r="D987" t="s">
        <v>1017</v>
      </c>
    </row>
    <row r="988" spans="4:4" x14ac:dyDescent="0.3">
      <c r="D988" t="s">
        <v>1018</v>
      </c>
    </row>
    <row r="989" spans="4:4" x14ac:dyDescent="0.3">
      <c r="D989" t="s">
        <v>1019</v>
      </c>
    </row>
    <row r="990" spans="4:4" x14ac:dyDescent="0.3">
      <c r="D990" t="s">
        <v>1020</v>
      </c>
    </row>
    <row r="991" spans="4:4" x14ac:dyDescent="0.3">
      <c r="D991" t="s">
        <v>1021</v>
      </c>
    </row>
    <row r="992" spans="4:4" x14ac:dyDescent="0.3">
      <c r="D992" t="s">
        <v>1022</v>
      </c>
    </row>
    <row r="993" spans="4:4" x14ac:dyDescent="0.3">
      <c r="D993" t="s">
        <v>1023</v>
      </c>
    </row>
    <row r="994" spans="4:4" x14ac:dyDescent="0.3">
      <c r="D994" t="s">
        <v>1024</v>
      </c>
    </row>
    <row r="995" spans="4:4" x14ac:dyDescent="0.3">
      <c r="D995" t="s">
        <v>1025</v>
      </c>
    </row>
    <row r="996" spans="4:4" x14ac:dyDescent="0.3">
      <c r="D996" t="s">
        <v>1026</v>
      </c>
    </row>
    <row r="997" spans="4:4" x14ac:dyDescent="0.3">
      <c r="D997" t="s">
        <v>1027</v>
      </c>
    </row>
    <row r="998" spans="4:4" x14ac:dyDescent="0.3">
      <c r="D998" t="s">
        <v>1028</v>
      </c>
    </row>
    <row r="999" spans="4:4" x14ac:dyDescent="0.3">
      <c r="D999" t="s">
        <v>1029</v>
      </c>
    </row>
    <row r="1000" spans="4:4" x14ac:dyDescent="0.3">
      <c r="D1000" t="s">
        <v>1030</v>
      </c>
    </row>
    <row r="1001" spans="4:4" x14ac:dyDescent="0.3">
      <c r="D1001" t="s">
        <v>1031</v>
      </c>
    </row>
    <row r="1002" spans="4:4" x14ac:dyDescent="0.3">
      <c r="D1002" t="s">
        <v>1032</v>
      </c>
    </row>
    <row r="1003" spans="4:4" x14ac:dyDescent="0.3">
      <c r="D1003" t="s">
        <v>1033</v>
      </c>
    </row>
    <row r="1004" spans="4:4" x14ac:dyDescent="0.3">
      <c r="D1004" t="s">
        <v>1034</v>
      </c>
    </row>
    <row r="1005" spans="4:4" x14ac:dyDescent="0.3">
      <c r="D1005" t="s">
        <v>1035</v>
      </c>
    </row>
    <row r="1006" spans="4:4" x14ac:dyDescent="0.3">
      <c r="D1006" t="s">
        <v>1036</v>
      </c>
    </row>
    <row r="1007" spans="4:4" x14ac:dyDescent="0.3">
      <c r="D1007" t="s">
        <v>1037</v>
      </c>
    </row>
    <row r="1008" spans="4:4" x14ac:dyDescent="0.3">
      <c r="D1008" t="s">
        <v>1038</v>
      </c>
    </row>
    <row r="1009" spans="4:4" x14ac:dyDescent="0.3">
      <c r="D1009" t="s">
        <v>1039</v>
      </c>
    </row>
    <row r="1010" spans="4:4" x14ac:dyDescent="0.3">
      <c r="D1010" t="s">
        <v>1040</v>
      </c>
    </row>
    <row r="1011" spans="4:4" x14ac:dyDescent="0.3">
      <c r="D1011" t="s">
        <v>1041</v>
      </c>
    </row>
    <row r="1012" spans="4:4" x14ac:dyDescent="0.3">
      <c r="D1012" t="s">
        <v>1042</v>
      </c>
    </row>
    <row r="1013" spans="4:4" x14ac:dyDescent="0.3">
      <c r="D1013" t="s">
        <v>1043</v>
      </c>
    </row>
    <row r="1014" spans="4:4" x14ac:dyDescent="0.3">
      <c r="D1014" t="s">
        <v>1044</v>
      </c>
    </row>
    <row r="1015" spans="4:4" x14ac:dyDescent="0.3">
      <c r="D1015" t="s">
        <v>1045</v>
      </c>
    </row>
    <row r="1016" spans="4:4" x14ac:dyDescent="0.3">
      <c r="D1016" t="s">
        <v>1046</v>
      </c>
    </row>
    <row r="1017" spans="4:4" x14ac:dyDescent="0.3">
      <c r="D1017" t="s">
        <v>1047</v>
      </c>
    </row>
    <row r="1018" spans="4:4" x14ac:dyDescent="0.3">
      <c r="D1018" t="s">
        <v>1048</v>
      </c>
    </row>
    <row r="1019" spans="4:4" x14ac:dyDescent="0.3">
      <c r="D1019" t="s">
        <v>1049</v>
      </c>
    </row>
    <row r="1020" spans="4:4" x14ac:dyDescent="0.3">
      <c r="D1020" t="s">
        <v>1050</v>
      </c>
    </row>
    <row r="1021" spans="4:4" x14ac:dyDescent="0.3">
      <c r="D1021" t="s">
        <v>1051</v>
      </c>
    </row>
    <row r="1022" spans="4:4" x14ac:dyDescent="0.3">
      <c r="D1022" t="s">
        <v>1052</v>
      </c>
    </row>
    <row r="1023" spans="4:4" x14ac:dyDescent="0.3">
      <c r="D1023" t="s">
        <v>1053</v>
      </c>
    </row>
    <row r="1024" spans="4:4" x14ac:dyDescent="0.3">
      <c r="D1024" t="s">
        <v>1054</v>
      </c>
    </row>
    <row r="1025" spans="4:4" x14ac:dyDescent="0.3">
      <c r="D1025" t="s">
        <v>1055</v>
      </c>
    </row>
    <row r="1026" spans="4:4" x14ac:dyDescent="0.3">
      <c r="D1026" t="s">
        <v>1056</v>
      </c>
    </row>
    <row r="1027" spans="4:4" x14ac:dyDescent="0.3">
      <c r="D1027" t="s">
        <v>1057</v>
      </c>
    </row>
    <row r="1028" spans="4:4" x14ac:dyDescent="0.3">
      <c r="D1028" t="s">
        <v>1058</v>
      </c>
    </row>
    <row r="1029" spans="4:4" x14ac:dyDescent="0.3">
      <c r="D1029" t="s">
        <v>1059</v>
      </c>
    </row>
    <row r="1030" spans="4:4" x14ac:dyDescent="0.3">
      <c r="D1030" t="s">
        <v>1060</v>
      </c>
    </row>
    <row r="1031" spans="4:4" x14ac:dyDescent="0.3">
      <c r="D1031" t="s">
        <v>1061</v>
      </c>
    </row>
    <row r="1032" spans="4:4" x14ac:dyDescent="0.3">
      <c r="D1032" t="s">
        <v>1062</v>
      </c>
    </row>
    <row r="1033" spans="4:4" x14ac:dyDescent="0.3">
      <c r="D1033" t="s">
        <v>1063</v>
      </c>
    </row>
    <row r="1034" spans="4:4" x14ac:dyDescent="0.3">
      <c r="D1034" t="s">
        <v>1064</v>
      </c>
    </row>
    <row r="1035" spans="4:4" x14ac:dyDescent="0.3">
      <c r="D1035" t="s">
        <v>1065</v>
      </c>
    </row>
    <row r="1036" spans="4:4" x14ac:dyDescent="0.3">
      <c r="D1036" t="s">
        <v>1066</v>
      </c>
    </row>
    <row r="1037" spans="4:4" x14ac:dyDescent="0.3">
      <c r="D1037" t="s">
        <v>1067</v>
      </c>
    </row>
    <row r="1038" spans="4:4" x14ac:dyDescent="0.3">
      <c r="D1038" t="s">
        <v>1068</v>
      </c>
    </row>
    <row r="1039" spans="4:4" x14ac:dyDescent="0.3">
      <c r="D1039" t="s">
        <v>1069</v>
      </c>
    </row>
    <row r="1040" spans="4:4" x14ac:dyDescent="0.3">
      <c r="D1040" t="s">
        <v>1070</v>
      </c>
    </row>
    <row r="1041" spans="4:4" x14ac:dyDescent="0.3">
      <c r="D1041" t="s">
        <v>1071</v>
      </c>
    </row>
    <row r="1042" spans="4:4" x14ac:dyDescent="0.3">
      <c r="D1042" t="s">
        <v>1072</v>
      </c>
    </row>
    <row r="1043" spans="4:4" x14ac:dyDescent="0.3">
      <c r="D1043" t="s">
        <v>1073</v>
      </c>
    </row>
    <row r="1044" spans="4:4" x14ac:dyDescent="0.3">
      <c r="D1044" t="s">
        <v>1074</v>
      </c>
    </row>
    <row r="1045" spans="4:4" x14ac:dyDescent="0.3">
      <c r="D1045" t="s">
        <v>1075</v>
      </c>
    </row>
    <row r="1046" spans="4:4" x14ac:dyDescent="0.3">
      <c r="D1046" t="s">
        <v>1076</v>
      </c>
    </row>
    <row r="1047" spans="4:4" x14ac:dyDescent="0.3">
      <c r="D1047" t="s">
        <v>1077</v>
      </c>
    </row>
    <row r="1048" spans="4:4" x14ac:dyDescent="0.3">
      <c r="D1048" t="s">
        <v>1078</v>
      </c>
    </row>
    <row r="1049" spans="4:4" x14ac:dyDescent="0.3">
      <c r="D1049" t="s">
        <v>1079</v>
      </c>
    </row>
    <row r="1050" spans="4:4" x14ac:dyDescent="0.3">
      <c r="D1050" t="s">
        <v>1080</v>
      </c>
    </row>
    <row r="1051" spans="4:4" x14ac:dyDescent="0.3">
      <c r="D1051" t="s">
        <v>1081</v>
      </c>
    </row>
    <row r="1052" spans="4:4" x14ac:dyDescent="0.3">
      <c r="D1052" t="s">
        <v>1082</v>
      </c>
    </row>
    <row r="1053" spans="4:4" x14ac:dyDescent="0.3">
      <c r="D1053" t="s">
        <v>1083</v>
      </c>
    </row>
    <row r="1054" spans="4:4" x14ac:dyDescent="0.3">
      <c r="D1054" t="s">
        <v>1084</v>
      </c>
    </row>
    <row r="1055" spans="4:4" x14ac:dyDescent="0.3">
      <c r="D1055" t="s">
        <v>1085</v>
      </c>
    </row>
    <row r="1056" spans="4:4" x14ac:dyDescent="0.3">
      <c r="D1056" t="s">
        <v>1086</v>
      </c>
    </row>
    <row r="1057" spans="4:4" x14ac:dyDescent="0.3">
      <c r="D1057" t="s">
        <v>1087</v>
      </c>
    </row>
    <row r="1058" spans="4:4" x14ac:dyDescent="0.3">
      <c r="D1058" t="s">
        <v>1088</v>
      </c>
    </row>
    <row r="1059" spans="4:4" x14ac:dyDescent="0.3">
      <c r="D1059" t="s">
        <v>1089</v>
      </c>
    </row>
    <row r="1060" spans="4:4" x14ac:dyDescent="0.3">
      <c r="D1060" t="s">
        <v>1090</v>
      </c>
    </row>
    <row r="1061" spans="4:4" x14ac:dyDescent="0.3">
      <c r="D1061" t="s">
        <v>1091</v>
      </c>
    </row>
    <row r="1062" spans="4:4" x14ac:dyDescent="0.3">
      <c r="D1062" t="s">
        <v>1092</v>
      </c>
    </row>
    <row r="1063" spans="4:4" x14ac:dyDescent="0.3">
      <c r="D1063" t="s">
        <v>1093</v>
      </c>
    </row>
    <row r="1064" spans="4:4" x14ac:dyDescent="0.3">
      <c r="D1064" t="s">
        <v>1094</v>
      </c>
    </row>
    <row r="1065" spans="4:4" x14ac:dyDescent="0.3">
      <c r="D1065" t="s">
        <v>1095</v>
      </c>
    </row>
    <row r="1066" spans="4:4" x14ac:dyDescent="0.3">
      <c r="D1066" t="s">
        <v>1096</v>
      </c>
    </row>
    <row r="1067" spans="4:4" x14ac:dyDescent="0.3">
      <c r="D1067" t="s">
        <v>1097</v>
      </c>
    </row>
    <row r="1068" spans="4:4" x14ac:dyDescent="0.3">
      <c r="D1068" t="s">
        <v>1098</v>
      </c>
    </row>
    <row r="1069" spans="4:4" x14ac:dyDescent="0.3">
      <c r="D1069" t="s">
        <v>1099</v>
      </c>
    </row>
    <row r="1070" spans="4:4" x14ac:dyDescent="0.3">
      <c r="D1070" t="s">
        <v>1100</v>
      </c>
    </row>
    <row r="1071" spans="4:4" x14ac:dyDescent="0.3">
      <c r="D1071" t="s">
        <v>1101</v>
      </c>
    </row>
    <row r="1072" spans="4:4" x14ac:dyDescent="0.3">
      <c r="D1072" t="s">
        <v>1102</v>
      </c>
    </row>
    <row r="1073" spans="4:4" x14ac:dyDescent="0.3">
      <c r="D1073" t="s">
        <v>1103</v>
      </c>
    </row>
    <row r="1074" spans="4:4" x14ac:dyDescent="0.3">
      <c r="D1074" t="s">
        <v>1104</v>
      </c>
    </row>
    <row r="1075" spans="4:4" x14ac:dyDescent="0.3">
      <c r="D1075" t="s">
        <v>1105</v>
      </c>
    </row>
    <row r="1076" spans="4:4" x14ac:dyDescent="0.3">
      <c r="D1076" t="s">
        <v>1106</v>
      </c>
    </row>
    <row r="1077" spans="4:4" x14ac:dyDescent="0.3">
      <c r="D1077" t="s">
        <v>1107</v>
      </c>
    </row>
    <row r="1078" spans="4:4" x14ac:dyDescent="0.3">
      <c r="D1078" t="s">
        <v>1108</v>
      </c>
    </row>
    <row r="1079" spans="4:4" x14ac:dyDescent="0.3">
      <c r="D1079" t="s">
        <v>1109</v>
      </c>
    </row>
    <row r="1080" spans="4:4" x14ac:dyDescent="0.3">
      <c r="D1080" t="s">
        <v>1110</v>
      </c>
    </row>
    <row r="1081" spans="4:4" x14ac:dyDescent="0.3">
      <c r="D1081" t="s">
        <v>1111</v>
      </c>
    </row>
    <row r="1082" spans="4:4" x14ac:dyDescent="0.3">
      <c r="D1082" t="s">
        <v>1112</v>
      </c>
    </row>
    <row r="1083" spans="4:4" x14ac:dyDescent="0.3">
      <c r="D1083" t="s">
        <v>1113</v>
      </c>
    </row>
    <row r="1084" spans="4:4" x14ac:dyDescent="0.3">
      <c r="D1084" t="s">
        <v>1114</v>
      </c>
    </row>
    <row r="1085" spans="4:4" x14ac:dyDescent="0.3">
      <c r="D1085" t="s">
        <v>1115</v>
      </c>
    </row>
    <row r="1086" spans="4:4" x14ac:dyDescent="0.3">
      <c r="D1086" t="s">
        <v>1116</v>
      </c>
    </row>
    <row r="1087" spans="4:4" x14ac:dyDescent="0.3">
      <c r="D1087" t="s">
        <v>1117</v>
      </c>
    </row>
    <row r="1088" spans="4:4" x14ac:dyDescent="0.3">
      <c r="D1088" t="s">
        <v>1118</v>
      </c>
    </row>
    <row r="1089" spans="4:4" x14ac:dyDescent="0.3">
      <c r="D1089" t="s">
        <v>1119</v>
      </c>
    </row>
    <row r="1090" spans="4:4" x14ac:dyDescent="0.3">
      <c r="D1090" t="s">
        <v>1120</v>
      </c>
    </row>
    <row r="1091" spans="4:4" x14ac:dyDescent="0.3">
      <c r="D1091" t="s">
        <v>1121</v>
      </c>
    </row>
    <row r="1092" spans="4:4" x14ac:dyDescent="0.3">
      <c r="D1092" t="s">
        <v>1122</v>
      </c>
    </row>
    <row r="1093" spans="4:4" x14ac:dyDescent="0.3">
      <c r="D1093" t="s">
        <v>1123</v>
      </c>
    </row>
    <row r="1094" spans="4:4" x14ac:dyDescent="0.3">
      <c r="D1094" t="s">
        <v>1124</v>
      </c>
    </row>
    <row r="1095" spans="4:4" x14ac:dyDescent="0.3">
      <c r="D1095" t="s">
        <v>1125</v>
      </c>
    </row>
    <row r="1096" spans="4:4" x14ac:dyDescent="0.3">
      <c r="D1096" t="s">
        <v>1126</v>
      </c>
    </row>
    <row r="1097" spans="4:4" x14ac:dyDescent="0.3">
      <c r="D1097" t="s">
        <v>1127</v>
      </c>
    </row>
    <row r="1098" spans="4:4" x14ac:dyDescent="0.3">
      <c r="D1098" t="s">
        <v>1128</v>
      </c>
    </row>
    <row r="1099" spans="4:4" x14ac:dyDescent="0.3">
      <c r="D1099" t="s">
        <v>1129</v>
      </c>
    </row>
    <row r="1100" spans="4:4" x14ac:dyDescent="0.3">
      <c r="D1100" t="s">
        <v>1130</v>
      </c>
    </row>
    <row r="1101" spans="4:4" x14ac:dyDescent="0.3">
      <c r="D1101" t="s">
        <v>1131</v>
      </c>
    </row>
    <row r="1102" spans="4:4" x14ac:dyDescent="0.3">
      <c r="D1102" t="s">
        <v>1132</v>
      </c>
    </row>
    <row r="1103" spans="4:4" x14ac:dyDescent="0.3">
      <c r="D1103" t="s">
        <v>1133</v>
      </c>
    </row>
    <row r="1104" spans="4:4" x14ac:dyDescent="0.3">
      <c r="D1104" t="s">
        <v>1134</v>
      </c>
    </row>
    <row r="1105" spans="4:4" x14ac:dyDescent="0.3">
      <c r="D1105" t="s">
        <v>1135</v>
      </c>
    </row>
    <row r="1106" spans="4:4" x14ac:dyDescent="0.3">
      <c r="D1106" t="s">
        <v>1136</v>
      </c>
    </row>
    <row r="1107" spans="4:4" x14ac:dyDescent="0.3">
      <c r="D1107" t="s">
        <v>1137</v>
      </c>
    </row>
    <row r="1108" spans="4:4" x14ac:dyDescent="0.3">
      <c r="D1108" t="s">
        <v>1138</v>
      </c>
    </row>
    <row r="1109" spans="4:4" x14ac:dyDescent="0.3">
      <c r="D1109" t="s">
        <v>1139</v>
      </c>
    </row>
    <row r="1110" spans="4:4" x14ac:dyDescent="0.3">
      <c r="D1110" t="s">
        <v>1140</v>
      </c>
    </row>
    <row r="1111" spans="4:4" x14ac:dyDescent="0.3">
      <c r="D1111" t="s">
        <v>1141</v>
      </c>
    </row>
    <row r="1112" spans="4:4" x14ac:dyDescent="0.3">
      <c r="D1112" t="s">
        <v>1142</v>
      </c>
    </row>
    <row r="1113" spans="4:4" x14ac:dyDescent="0.3">
      <c r="D1113" t="s">
        <v>1143</v>
      </c>
    </row>
    <row r="1114" spans="4:4" x14ac:dyDescent="0.3">
      <c r="D1114" t="s">
        <v>1144</v>
      </c>
    </row>
    <row r="1115" spans="4:4" x14ac:dyDescent="0.3">
      <c r="D1115" t="s">
        <v>1145</v>
      </c>
    </row>
    <row r="1116" spans="4:4" x14ac:dyDescent="0.3">
      <c r="D1116" t="s">
        <v>1146</v>
      </c>
    </row>
    <row r="1117" spans="4:4" x14ac:dyDescent="0.3">
      <c r="D1117" t="s">
        <v>1147</v>
      </c>
    </row>
    <row r="1118" spans="4:4" x14ac:dyDescent="0.3">
      <c r="D1118" t="s">
        <v>1148</v>
      </c>
    </row>
    <row r="1119" spans="4:4" x14ac:dyDescent="0.3">
      <c r="D1119" t="s">
        <v>1149</v>
      </c>
    </row>
    <row r="1120" spans="4:4" x14ac:dyDescent="0.3">
      <c r="D1120" t="s">
        <v>1150</v>
      </c>
    </row>
    <row r="1121" spans="4:4" x14ac:dyDescent="0.3">
      <c r="D1121" t="s">
        <v>1151</v>
      </c>
    </row>
    <row r="1122" spans="4:4" x14ac:dyDescent="0.3">
      <c r="D1122" t="s">
        <v>1152</v>
      </c>
    </row>
    <row r="1123" spans="4:4" x14ac:dyDescent="0.3">
      <c r="D1123" t="s">
        <v>1153</v>
      </c>
    </row>
    <row r="1124" spans="4:4" x14ac:dyDescent="0.3">
      <c r="D1124" t="s">
        <v>1154</v>
      </c>
    </row>
    <row r="1125" spans="4:4" x14ac:dyDescent="0.3">
      <c r="D1125" t="s">
        <v>1155</v>
      </c>
    </row>
    <row r="1126" spans="4:4" x14ac:dyDescent="0.3">
      <c r="D1126" t="s">
        <v>1156</v>
      </c>
    </row>
    <row r="1127" spans="4:4" x14ac:dyDescent="0.3">
      <c r="D1127" t="s">
        <v>1157</v>
      </c>
    </row>
    <row r="1128" spans="4:4" x14ac:dyDescent="0.3">
      <c r="D1128" t="s">
        <v>1158</v>
      </c>
    </row>
    <row r="1129" spans="4:4" x14ac:dyDescent="0.3">
      <c r="D1129" t="s">
        <v>1159</v>
      </c>
    </row>
    <row r="1130" spans="4:4" x14ac:dyDescent="0.3">
      <c r="D1130" t="s">
        <v>1160</v>
      </c>
    </row>
    <row r="1131" spans="4:4" x14ac:dyDescent="0.3">
      <c r="D1131" t="s">
        <v>1161</v>
      </c>
    </row>
    <row r="1132" spans="4:4" x14ac:dyDescent="0.3">
      <c r="D1132" t="s">
        <v>1162</v>
      </c>
    </row>
    <row r="1133" spans="4:4" x14ac:dyDescent="0.3">
      <c r="D1133" t="s">
        <v>1163</v>
      </c>
    </row>
    <row r="1134" spans="4:4" x14ac:dyDescent="0.3">
      <c r="D1134" t="s">
        <v>1164</v>
      </c>
    </row>
    <row r="1135" spans="4:4" x14ac:dyDescent="0.3">
      <c r="D1135" t="s">
        <v>1165</v>
      </c>
    </row>
    <row r="1136" spans="4:4" x14ac:dyDescent="0.3">
      <c r="D1136" t="s">
        <v>1166</v>
      </c>
    </row>
    <row r="1137" spans="4:4" x14ac:dyDescent="0.3">
      <c r="D1137" t="s">
        <v>1167</v>
      </c>
    </row>
    <row r="1138" spans="4:4" x14ac:dyDescent="0.3">
      <c r="D1138" t="s">
        <v>1168</v>
      </c>
    </row>
    <row r="1139" spans="4:4" x14ac:dyDescent="0.3">
      <c r="D1139" t="s">
        <v>1169</v>
      </c>
    </row>
    <row r="1140" spans="4:4" x14ac:dyDescent="0.3">
      <c r="D1140" t="s">
        <v>1170</v>
      </c>
    </row>
    <row r="1141" spans="4:4" x14ac:dyDescent="0.3">
      <c r="D1141" t="s">
        <v>1171</v>
      </c>
    </row>
    <row r="1142" spans="4:4" x14ac:dyDescent="0.3">
      <c r="D1142" t="s">
        <v>1172</v>
      </c>
    </row>
    <row r="1143" spans="4:4" x14ac:dyDescent="0.3">
      <c r="D1143" t="s">
        <v>1173</v>
      </c>
    </row>
    <row r="1144" spans="4:4" x14ac:dyDescent="0.3">
      <c r="D1144" t="s">
        <v>1174</v>
      </c>
    </row>
    <row r="1145" spans="4:4" x14ac:dyDescent="0.3">
      <c r="D1145" t="s">
        <v>1175</v>
      </c>
    </row>
    <row r="1146" spans="4:4" x14ac:dyDescent="0.3">
      <c r="D1146" t="s">
        <v>1176</v>
      </c>
    </row>
    <row r="1147" spans="4:4" x14ac:dyDescent="0.3">
      <c r="D1147" t="s">
        <v>1177</v>
      </c>
    </row>
    <row r="1148" spans="4:4" x14ac:dyDescent="0.3">
      <c r="D1148" t="s">
        <v>1178</v>
      </c>
    </row>
    <row r="1149" spans="4:4" x14ac:dyDescent="0.3">
      <c r="D1149" t="s">
        <v>1179</v>
      </c>
    </row>
    <row r="1150" spans="4:4" x14ac:dyDescent="0.3">
      <c r="D1150" t="s">
        <v>1180</v>
      </c>
    </row>
    <row r="1151" spans="4:4" x14ac:dyDescent="0.3">
      <c r="D1151" t="s">
        <v>1181</v>
      </c>
    </row>
    <row r="1152" spans="4:4" x14ac:dyDescent="0.3">
      <c r="D1152" t="s">
        <v>1182</v>
      </c>
    </row>
    <row r="1153" spans="4:4" x14ac:dyDescent="0.3">
      <c r="D1153" t="s">
        <v>1183</v>
      </c>
    </row>
    <row r="1154" spans="4:4" x14ac:dyDescent="0.3">
      <c r="D1154" t="s">
        <v>1184</v>
      </c>
    </row>
    <row r="1155" spans="4:4" x14ac:dyDescent="0.3">
      <c r="D1155" t="s">
        <v>1185</v>
      </c>
    </row>
    <row r="1156" spans="4:4" x14ac:dyDescent="0.3">
      <c r="D1156" t="s">
        <v>1186</v>
      </c>
    </row>
    <row r="1157" spans="4:4" x14ac:dyDescent="0.3">
      <c r="D1157" t="s">
        <v>1187</v>
      </c>
    </row>
    <row r="1158" spans="4:4" x14ac:dyDescent="0.3">
      <c r="D1158" t="s">
        <v>1188</v>
      </c>
    </row>
    <row r="1159" spans="4:4" x14ac:dyDescent="0.3">
      <c r="D1159" t="s">
        <v>1189</v>
      </c>
    </row>
    <row r="1160" spans="4:4" x14ac:dyDescent="0.3">
      <c r="D1160" t="s">
        <v>1190</v>
      </c>
    </row>
    <row r="1161" spans="4:4" x14ac:dyDescent="0.3">
      <c r="D1161" t="s">
        <v>1191</v>
      </c>
    </row>
    <row r="1162" spans="4:4" x14ac:dyDescent="0.3">
      <c r="D1162" t="s">
        <v>1192</v>
      </c>
    </row>
    <row r="1163" spans="4:4" x14ac:dyDescent="0.3">
      <c r="D1163" t="s">
        <v>1193</v>
      </c>
    </row>
    <row r="1164" spans="4:4" x14ac:dyDescent="0.3">
      <c r="D1164" t="s">
        <v>1194</v>
      </c>
    </row>
    <row r="1165" spans="4:4" x14ac:dyDescent="0.3">
      <c r="D1165" t="s">
        <v>1195</v>
      </c>
    </row>
    <row r="1166" spans="4:4" x14ac:dyDescent="0.3">
      <c r="D1166" t="s">
        <v>1196</v>
      </c>
    </row>
    <row r="1167" spans="4:4" x14ac:dyDescent="0.3">
      <c r="D1167" t="s">
        <v>1197</v>
      </c>
    </row>
    <row r="1168" spans="4:4" x14ac:dyDescent="0.3">
      <c r="D1168" t="s">
        <v>1198</v>
      </c>
    </row>
    <row r="1169" spans="4:4" x14ac:dyDescent="0.3">
      <c r="D1169" t="s">
        <v>1199</v>
      </c>
    </row>
    <row r="1170" spans="4:4" x14ac:dyDescent="0.3">
      <c r="D1170" t="s">
        <v>1200</v>
      </c>
    </row>
    <row r="1171" spans="4:4" x14ac:dyDescent="0.3">
      <c r="D1171" t="s">
        <v>1201</v>
      </c>
    </row>
    <row r="1172" spans="4:4" x14ac:dyDescent="0.3">
      <c r="D1172" t="s">
        <v>1202</v>
      </c>
    </row>
    <row r="1173" spans="4:4" x14ac:dyDescent="0.3">
      <c r="D1173" t="s">
        <v>1203</v>
      </c>
    </row>
    <row r="1174" spans="4:4" x14ac:dyDescent="0.3">
      <c r="D1174" t="s">
        <v>1204</v>
      </c>
    </row>
    <row r="1175" spans="4:4" x14ac:dyDescent="0.3">
      <c r="D1175" t="s">
        <v>1205</v>
      </c>
    </row>
    <row r="1176" spans="4:4" x14ac:dyDescent="0.3">
      <c r="D1176" t="s">
        <v>1206</v>
      </c>
    </row>
    <row r="1177" spans="4:4" x14ac:dyDescent="0.3">
      <c r="D1177" t="s">
        <v>1207</v>
      </c>
    </row>
    <row r="1178" spans="4:4" x14ac:dyDescent="0.3">
      <c r="D1178" t="s">
        <v>1208</v>
      </c>
    </row>
    <row r="1179" spans="4:4" x14ac:dyDescent="0.3">
      <c r="D1179" t="s">
        <v>1209</v>
      </c>
    </row>
    <row r="1180" spans="4:4" x14ac:dyDescent="0.3">
      <c r="D1180" t="s">
        <v>1210</v>
      </c>
    </row>
    <row r="1181" spans="4:4" x14ac:dyDescent="0.3">
      <c r="D1181" t="s">
        <v>1211</v>
      </c>
    </row>
    <row r="1182" spans="4:4" x14ac:dyDescent="0.3">
      <c r="D1182" t="s">
        <v>1212</v>
      </c>
    </row>
    <row r="1183" spans="4:4" x14ac:dyDescent="0.3">
      <c r="D1183" t="s">
        <v>1213</v>
      </c>
    </row>
    <row r="1184" spans="4:4" x14ac:dyDescent="0.3">
      <c r="D1184" t="s">
        <v>1214</v>
      </c>
    </row>
    <row r="1185" spans="4:4" x14ac:dyDescent="0.3">
      <c r="D1185" t="s">
        <v>1215</v>
      </c>
    </row>
    <row r="1186" spans="4:4" x14ac:dyDescent="0.3">
      <c r="D1186" t="s">
        <v>1216</v>
      </c>
    </row>
    <row r="1187" spans="4:4" x14ac:dyDescent="0.3">
      <c r="D1187" t="s">
        <v>1217</v>
      </c>
    </row>
    <row r="1188" spans="4:4" x14ac:dyDescent="0.3">
      <c r="D1188" t="s">
        <v>1218</v>
      </c>
    </row>
    <row r="1189" spans="4:4" x14ac:dyDescent="0.3">
      <c r="D1189" t="s">
        <v>1219</v>
      </c>
    </row>
    <row r="1190" spans="4:4" x14ac:dyDescent="0.3">
      <c r="D1190" t="s">
        <v>1220</v>
      </c>
    </row>
    <row r="1191" spans="4:4" x14ac:dyDescent="0.3">
      <c r="D1191" t="s">
        <v>1221</v>
      </c>
    </row>
    <row r="1192" spans="4:4" x14ac:dyDescent="0.3">
      <c r="D1192" t="s">
        <v>1222</v>
      </c>
    </row>
    <row r="1193" spans="4:4" x14ac:dyDescent="0.3">
      <c r="D1193" t="s">
        <v>1223</v>
      </c>
    </row>
    <row r="1194" spans="4:4" x14ac:dyDescent="0.3">
      <c r="D1194" t="s">
        <v>1224</v>
      </c>
    </row>
    <row r="1195" spans="4:4" x14ac:dyDescent="0.3">
      <c r="D1195" t="s">
        <v>1225</v>
      </c>
    </row>
    <row r="1196" spans="4:4" x14ac:dyDescent="0.3">
      <c r="D1196" t="s">
        <v>1226</v>
      </c>
    </row>
    <row r="1197" spans="4:4" x14ac:dyDescent="0.3">
      <c r="D1197" t="s">
        <v>1227</v>
      </c>
    </row>
    <row r="1198" spans="4:4" x14ac:dyDescent="0.3">
      <c r="D1198" t="s">
        <v>1228</v>
      </c>
    </row>
    <row r="1199" spans="4:4" x14ac:dyDescent="0.3">
      <c r="D1199" t="s">
        <v>1229</v>
      </c>
    </row>
    <row r="1200" spans="4:4" x14ac:dyDescent="0.3">
      <c r="D1200" t="s">
        <v>1230</v>
      </c>
    </row>
    <row r="1201" spans="4:4" x14ac:dyDescent="0.3">
      <c r="D1201" t="s">
        <v>1231</v>
      </c>
    </row>
    <row r="1202" spans="4:4" x14ac:dyDescent="0.3">
      <c r="D1202" t="s">
        <v>1232</v>
      </c>
    </row>
    <row r="1203" spans="4:4" x14ac:dyDescent="0.3">
      <c r="D1203" t="s">
        <v>1233</v>
      </c>
    </row>
    <row r="1204" spans="4:4" x14ac:dyDescent="0.3">
      <c r="D1204" t="s">
        <v>1234</v>
      </c>
    </row>
    <row r="1205" spans="4:4" x14ac:dyDescent="0.3">
      <c r="D1205" t="s">
        <v>1235</v>
      </c>
    </row>
    <row r="1206" spans="4:4" x14ac:dyDescent="0.3">
      <c r="D1206" t="s">
        <v>1236</v>
      </c>
    </row>
    <row r="1207" spans="4:4" x14ac:dyDescent="0.3">
      <c r="D1207" t="s">
        <v>1237</v>
      </c>
    </row>
    <row r="1208" spans="4:4" x14ac:dyDescent="0.3">
      <c r="D1208" t="s">
        <v>1238</v>
      </c>
    </row>
    <row r="1209" spans="4:4" x14ac:dyDescent="0.3">
      <c r="D1209" t="s">
        <v>1239</v>
      </c>
    </row>
    <row r="1210" spans="4:4" x14ac:dyDescent="0.3">
      <c r="D1210" t="s">
        <v>1240</v>
      </c>
    </row>
    <row r="1211" spans="4:4" x14ac:dyDescent="0.3">
      <c r="D1211" t="s">
        <v>1241</v>
      </c>
    </row>
    <row r="1212" spans="4:4" x14ac:dyDescent="0.3">
      <c r="D1212" t="s">
        <v>1242</v>
      </c>
    </row>
    <row r="1213" spans="4:4" x14ac:dyDescent="0.3">
      <c r="D1213" t="s">
        <v>1243</v>
      </c>
    </row>
    <row r="1214" spans="4:4" x14ac:dyDescent="0.3">
      <c r="D1214" t="s">
        <v>1244</v>
      </c>
    </row>
    <row r="1215" spans="4:4" x14ac:dyDescent="0.3">
      <c r="D1215" t="s">
        <v>1245</v>
      </c>
    </row>
    <row r="1216" spans="4:4" x14ac:dyDescent="0.3">
      <c r="D1216" t="s">
        <v>1246</v>
      </c>
    </row>
    <row r="1217" spans="4:4" x14ac:dyDescent="0.3">
      <c r="D1217" t="s">
        <v>1247</v>
      </c>
    </row>
    <row r="1218" spans="4:4" x14ac:dyDescent="0.3">
      <c r="D1218" t="s">
        <v>1248</v>
      </c>
    </row>
    <row r="1219" spans="4:4" x14ac:dyDescent="0.3">
      <c r="D1219" t="s">
        <v>1249</v>
      </c>
    </row>
    <row r="1220" spans="4:4" x14ac:dyDescent="0.3">
      <c r="D1220" t="s">
        <v>1250</v>
      </c>
    </row>
    <row r="1221" spans="4:4" x14ac:dyDescent="0.3">
      <c r="D1221" t="s">
        <v>1251</v>
      </c>
    </row>
    <row r="1222" spans="4:4" x14ac:dyDescent="0.3">
      <c r="D1222" t="s">
        <v>1252</v>
      </c>
    </row>
    <row r="1223" spans="4:4" x14ac:dyDescent="0.3">
      <c r="D1223" t="s">
        <v>1253</v>
      </c>
    </row>
    <row r="1224" spans="4:4" x14ac:dyDescent="0.3">
      <c r="D1224" t="s">
        <v>1254</v>
      </c>
    </row>
    <row r="1225" spans="4:4" x14ac:dyDescent="0.3">
      <c r="D1225" t="s">
        <v>1255</v>
      </c>
    </row>
    <row r="1226" spans="4:4" x14ac:dyDescent="0.3">
      <c r="D1226" t="s">
        <v>1256</v>
      </c>
    </row>
    <row r="1227" spans="4:4" x14ac:dyDescent="0.3">
      <c r="D1227" t="s">
        <v>1257</v>
      </c>
    </row>
    <row r="1228" spans="4:4" x14ac:dyDescent="0.3">
      <c r="D1228" t="s">
        <v>1258</v>
      </c>
    </row>
    <row r="1229" spans="4:4" x14ac:dyDescent="0.3">
      <c r="D1229" t="s">
        <v>1259</v>
      </c>
    </row>
    <row r="1230" spans="4:4" x14ac:dyDescent="0.3">
      <c r="D1230" t="s">
        <v>1260</v>
      </c>
    </row>
    <row r="1231" spans="4:4" x14ac:dyDescent="0.3">
      <c r="D1231" t="s">
        <v>1261</v>
      </c>
    </row>
    <row r="1232" spans="4:4" x14ac:dyDescent="0.3">
      <c r="D1232" t="s">
        <v>1262</v>
      </c>
    </row>
    <row r="1233" spans="4:4" x14ac:dyDescent="0.3">
      <c r="D1233" t="s">
        <v>1263</v>
      </c>
    </row>
    <row r="1234" spans="4:4" x14ac:dyDescent="0.3">
      <c r="D1234" t="s">
        <v>1264</v>
      </c>
    </row>
    <row r="1235" spans="4:4" x14ac:dyDescent="0.3">
      <c r="D1235" t="s">
        <v>1265</v>
      </c>
    </row>
    <row r="1236" spans="4:4" x14ac:dyDescent="0.3">
      <c r="D1236" t="s">
        <v>1266</v>
      </c>
    </row>
    <row r="1237" spans="4:4" x14ac:dyDescent="0.3">
      <c r="D1237" t="s">
        <v>1267</v>
      </c>
    </row>
    <row r="1238" spans="4:4" x14ac:dyDescent="0.3">
      <c r="D1238" t="s">
        <v>1268</v>
      </c>
    </row>
    <row r="1239" spans="4:4" x14ac:dyDescent="0.3">
      <c r="D1239" t="s">
        <v>1269</v>
      </c>
    </row>
    <row r="1240" spans="4:4" x14ac:dyDescent="0.3">
      <c r="D1240" t="s">
        <v>1270</v>
      </c>
    </row>
    <row r="1241" spans="4:4" x14ac:dyDescent="0.3">
      <c r="D1241" t="s">
        <v>1271</v>
      </c>
    </row>
    <row r="1242" spans="4:4" x14ac:dyDescent="0.3">
      <c r="D1242" t="s">
        <v>1272</v>
      </c>
    </row>
    <row r="1243" spans="4:4" x14ac:dyDescent="0.3">
      <c r="D1243" t="s">
        <v>1273</v>
      </c>
    </row>
    <row r="1244" spans="4:4" x14ac:dyDescent="0.3">
      <c r="D1244" t="s">
        <v>1274</v>
      </c>
    </row>
    <row r="1245" spans="4:4" x14ac:dyDescent="0.3">
      <c r="D1245" t="s">
        <v>1275</v>
      </c>
    </row>
    <row r="1246" spans="4:4" x14ac:dyDescent="0.3">
      <c r="D1246" t="s">
        <v>1276</v>
      </c>
    </row>
    <row r="1247" spans="4:4" x14ac:dyDescent="0.3">
      <c r="D1247" t="s">
        <v>1277</v>
      </c>
    </row>
    <row r="1248" spans="4:4" x14ac:dyDescent="0.3">
      <c r="D1248" t="s">
        <v>1278</v>
      </c>
    </row>
    <row r="1249" spans="4:4" x14ac:dyDescent="0.3">
      <c r="D1249" t="s">
        <v>1279</v>
      </c>
    </row>
    <row r="1250" spans="4:4" x14ac:dyDescent="0.3">
      <c r="D1250" t="s">
        <v>1280</v>
      </c>
    </row>
    <row r="1251" spans="4:4" x14ac:dyDescent="0.3">
      <c r="D1251" t="s">
        <v>1281</v>
      </c>
    </row>
    <row r="1252" spans="4:4" x14ac:dyDescent="0.3">
      <c r="D1252" t="s">
        <v>1282</v>
      </c>
    </row>
    <row r="1253" spans="4:4" x14ac:dyDescent="0.3">
      <c r="D1253" t="s">
        <v>1283</v>
      </c>
    </row>
    <row r="1254" spans="4:4" x14ac:dyDescent="0.3">
      <c r="D1254" t="s">
        <v>1284</v>
      </c>
    </row>
    <row r="1255" spans="4:4" x14ac:dyDescent="0.3">
      <c r="D1255" t="s">
        <v>1285</v>
      </c>
    </row>
    <row r="1256" spans="4:4" x14ac:dyDescent="0.3">
      <c r="D1256" t="s">
        <v>1286</v>
      </c>
    </row>
    <row r="1257" spans="4:4" x14ac:dyDescent="0.3">
      <c r="D1257" t="s">
        <v>1287</v>
      </c>
    </row>
    <row r="1258" spans="4:4" x14ac:dyDescent="0.3">
      <c r="D1258" t="s">
        <v>1288</v>
      </c>
    </row>
    <row r="1259" spans="4:4" x14ac:dyDescent="0.3">
      <c r="D1259" t="s">
        <v>1289</v>
      </c>
    </row>
    <row r="1260" spans="4:4" x14ac:dyDescent="0.3">
      <c r="D1260" t="s">
        <v>1290</v>
      </c>
    </row>
    <row r="1261" spans="4:4" x14ac:dyDescent="0.3">
      <c r="D1261" t="s">
        <v>1291</v>
      </c>
    </row>
    <row r="1262" spans="4:4" x14ac:dyDescent="0.3">
      <c r="D1262" t="s">
        <v>1292</v>
      </c>
    </row>
    <row r="1263" spans="4:4" x14ac:dyDescent="0.3">
      <c r="D1263" t="s">
        <v>1293</v>
      </c>
    </row>
    <row r="1264" spans="4:4" x14ac:dyDescent="0.3">
      <c r="D1264" t="s">
        <v>1294</v>
      </c>
    </row>
    <row r="1265" spans="4:4" x14ac:dyDescent="0.3">
      <c r="D1265" t="s">
        <v>1295</v>
      </c>
    </row>
    <row r="1266" spans="4:4" x14ac:dyDescent="0.3">
      <c r="D1266" t="s">
        <v>1296</v>
      </c>
    </row>
    <row r="1267" spans="4:4" x14ac:dyDescent="0.3">
      <c r="D1267" t="s">
        <v>1297</v>
      </c>
    </row>
    <row r="1268" spans="4:4" x14ac:dyDescent="0.3">
      <c r="D1268" t="s">
        <v>1298</v>
      </c>
    </row>
    <row r="1269" spans="4:4" x14ac:dyDescent="0.3">
      <c r="D1269" t="s">
        <v>1299</v>
      </c>
    </row>
    <row r="1270" spans="4:4" x14ac:dyDescent="0.3">
      <c r="D1270" t="s">
        <v>1300</v>
      </c>
    </row>
    <row r="1271" spans="4:4" x14ac:dyDescent="0.3">
      <c r="D1271" t="s">
        <v>1301</v>
      </c>
    </row>
    <row r="1272" spans="4:4" x14ac:dyDescent="0.3">
      <c r="D1272" t="s">
        <v>1302</v>
      </c>
    </row>
    <row r="1273" spans="4:4" x14ac:dyDescent="0.3">
      <c r="D1273" t="s">
        <v>1303</v>
      </c>
    </row>
    <row r="1274" spans="4:4" x14ac:dyDescent="0.3">
      <c r="D1274" t="s">
        <v>1304</v>
      </c>
    </row>
    <row r="1275" spans="4:4" x14ac:dyDescent="0.3">
      <c r="D1275" t="s">
        <v>1305</v>
      </c>
    </row>
    <row r="1276" spans="4:4" x14ac:dyDescent="0.3">
      <c r="D1276" t="s">
        <v>1306</v>
      </c>
    </row>
    <row r="1277" spans="4:4" x14ac:dyDescent="0.3">
      <c r="D1277" t="s">
        <v>1307</v>
      </c>
    </row>
    <row r="1278" spans="4:4" x14ac:dyDescent="0.3">
      <c r="D1278" t="s">
        <v>1308</v>
      </c>
    </row>
    <row r="1279" spans="4:4" x14ac:dyDescent="0.3">
      <c r="D1279" t="s">
        <v>1309</v>
      </c>
    </row>
    <row r="1280" spans="4:4" x14ac:dyDescent="0.3">
      <c r="D1280" t="s">
        <v>1310</v>
      </c>
    </row>
    <row r="1281" spans="4:4" x14ac:dyDescent="0.3">
      <c r="D1281" t="s">
        <v>1311</v>
      </c>
    </row>
    <row r="1282" spans="4:4" x14ac:dyDescent="0.3">
      <c r="D1282" t="s">
        <v>1312</v>
      </c>
    </row>
    <row r="1283" spans="4:4" x14ac:dyDescent="0.3">
      <c r="D1283" t="s">
        <v>1313</v>
      </c>
    </row>
    <row r="1284" spans="4:4" x14ac:dyDescent="0.3">
      <c r="D1284" t="s">
        <v>1314</v>
      </c>
    </row>
    <row r="1285" spans="4:4" x14ac:dyDescent="0.3">
      <c r="D1285" t="s">
        <v>1315</v>
      </c>
    </row>
    <row r="1286" spans="4:4" x14ac:dyDescent="0.3">
      <c r="D1286" t="s">
        <v>1316</v>
      </c>
    </row>
    <row r="1287" spans="4:4" x14ac:dyDescent="0.3">
      <c r="D1287" t="s">
        <v>1317</v>
      </c>
    </row>
    <row r="1288" spans="4:4" x14ac:dyDescent="0.3">
      <c r="D1288" t="s">
        <v>1318</v>
      </c>
    </row>
    <row r="1289" spans="4:4" x14ac:dyDescent="0.3">
      <c r="D1289" t="s">
        <v>1319</v>
      </c>
    </row>
    <row r="1290" spans="4:4" x14ac:dyDescent="0.3">
      <c r="D1290" t="s">
        <v>1320</v>
      </c>
    </row>
    <row r="1291" spans="4:4" x14ac:dyDescent="0.3">
      <c r="D1291" t="s">
        <v>1321</v>
      </c>
    </row>
    <row r="1292" spans="4:4" x14ac:dyDescent="0.3">
      <c r="D1292" t="s">
        <v>1322</v>
      </c>
    </row>
    <row r="1293" spans="4:4" x14ac:dyDescent="0.3">
      <c r="D1293" t="s">
        <v>1323</v>
      </c>
    </row>
    <row r="1294" spans="4:4" x14ac:dyDescent="0.3">
      <c r="D1294" t="s">
        <v>1324</v>
      </c>
    </row>
    <row r="1295" spans="4:4" x14ac:dyDescent="0.3">
      <c r="D1295" t="s">
        <v>1325</v>
      </c>
    </row>
    <row r="1296" spans="4:4" x14ac:dyDescent="0.3">
      <c r="D1296" t="s">
        <v>1326</v>
      </c>
    </row>
    <row r="1297" spans="4:4" x14ac:dyDescent="0.3">
      <c r="D1297" t="s">
        <v>1327</v>
      </c>
    </row>
    <row r="1298" spans="4:4" x14ac:dyDescent="0.3">
      <c r="D1298" t="s">
        <v>1328</v>
      </c>
    </row>
    <row r="1299" spans="4:4" x14ac:dyDescent="0.3">
      <c r="D1299" t="s">
        <v>1329</v>
      </c>
    </row>
    <row r="1300" spans="4:4" x14ac:dyDescent="0.3">
      <c r="D1300" t="s">
        <v>1330</v>
      </c>
    </row>
    <row r="1301" spans="4:4" x14ac:dyDescent="0.3">
      <c r="D1301" t="s">
        <v>1331</v>
      </c>
    </row>
    <row r="1302" spans="4:4" x14ac:dyDescent="0.3">
      <c r="D1302" t="s">
        <v>1332</v>
      </c>
    </row>
    <row r="1303" spans="4:4" x14ac:dyDescent="0.3">
      <c r="D1303" t="s">
        <v>1333</v>
      </c>
    </row>
    <row r="1304" spans="4:4" x14ac:dyDescent="0.3">
      <c r="D1304" t="s">
        <v>1334</v>
      </c>
    </row>
    <row r="1305" spans="4:4" x14ac:dyDescent="0.3">
      <c r="D1305" t="s">
        <v>1335</v>
      </c>
    </row>
    <row r="1306" spans="4:4" x14ac:dyDescent="0.3">
      <c r="D1306" t="s">
        <v>1336</v>
      </c>
    </row>
    <row r="1307" spans="4:4" x14ac:dyDescent="0.3">
      <c r="D1307" t="s">
        <v>1337</v>
      </c>
    </row>
    <row r="1308" spans="4:4" x14ac:dyDescent="0.3">
      <c r="D1308" t="s">
        <v>1338</v>
      </c>
    </row>
    <row r="1309" spans="4:4" x14ac:dyDescent="0.3">
      <c r="D1309" t="s">
        <v>1339</v>
      </c>
    </row>
    <row r="1310" spans="4:4" x14ac:dyDescent="0.3">
      <c r="D1310" t="s">
        <v>1340</v>
      </c>
    </row>
    <row r="1311" spans="4:4" x14ac:dyDescent="0.3">
      <c r="D1311" t="s">
        <v>1341</v>
      </c>
    </row>
    <row r="1312" spans="4:4" x14ac:dyDescent="0.3">
      <c r="D1312" t="s">
        <v>1342</v>
      </c>
    </row>
    <row r="1313" spans="4:4" x14ac:dyDescent="0.3">
      <c r="D1313" t="s">
        <v>1343</v>
      </c>
    </row>
    <row r="1314" spans="4:4" x14ac:dyDescent="0.3">
      <c r="D1314" t="s">
        <v>1344</v>
      </c>
    </row>
    <row r="1315" spans="4:4" x14ac:dyDescent="0.3">
      <c r="D1315" t="s">
        <v>1345</v>
      </c>
    </row>
    <row r="1316" spans="4:4" x14ac:dyDescent="0.3">
      <c r="D1316" t="s">
        <v>1346</v>
      </c>
    </row>
    <row r="1317" spans="4:4" x14ac:dyDescent="0.3">
      <c r="D1317" t="s">
        <v>1347</v>
      </c>
    </row>
    <row r="1318" spans="4:4" x14ac:dyDescent="0.3">
      <c r="D1318" t="s">
        <v>1348</v>
      </c>
    </row>
    <row r="1319" spans="4:4" x14ac:dyDescent="0.3">
      <c r="D1319" t="s">
        <v>1349</v>
      </c>
    </row>
    <row r="1320" spans="4:4" x14ac:dyDescent="0.3">
      <c r="D1320" t="s">
        <v>1350</v>
      </c>
    </row>
    <row r="1321" spans="4:4" x14ac:dyDescent="0.3">
      <c r="D1321" t="s">
        <v>1351</v>
      </c>
    </row>
    <row r="1322" spans="4:4" x14ac:dyDescent="0.3">
      <c r="D1322" t="s">
        <v>1352</v>
      </c>
    </row>
    <row r="1323" spans="4:4" x14ac:dyDescent="0.3">
      <c r="D1323" t="s">
        <v>1353</v>
      </c>
    </row>
    <row r="1324" spans="4:4" x14ac:dyDescent="0.3">
      <c r="D1324" t="s">
        <v>1354</v>
      </c>
    </row>
    <row r="1325" spans="4:4" x14ac:dyDescent="0.3">
      <c r="D1325" t="s">
        <v>1355</v>
      </c>
    </row>
    <row r="1326" spans="4:4" x14ac:dyDescent="0.3">
      <c r="D1326" t="s">
        <v>1356</v>
      </c>
    </row>
    <row r="1327" spans="4:4" x14ac:dyDescent="0.3">
      <c r="D1327" t="s">
        <v>1357</v>
      </c>
    </row>
    <row r="1328" spans="4:4" x14ac:dyDescent="0.3">
      <c r="D1328" t="s">
        <v>1358</v>
      </c>
    </row>
    <row r="1329" spans="4:4" x14ac:dyDescent="0.3">
      <c r="D1329" t="s">
        <v>1359</v>
      </c>
    </row>
    <row r="1330" spans="4:4" x14ac:dyDescent="0.3">
      <c r="D1330" t="s">
        <v>1360</v>
      </c>
    </row>
    <row r="1331" spans="4:4" x14ac:dyDescent="0.3">
      <c r="D1331" t="s">
        <v>1361</v>
      </c>
    </row>
    <row r="1332" spans="4:4" x14ac:dyDescent="0.3">
      <c r="D1332" t="s">
        <v>1362</v>
      </c>
    </row>
    <row r="1333" spans="4:4" x14ac:dyDescent="0.3">
      <c r="D1333" t="s">
        <v>1363</v>
      </c>
    </row>
    <row r="1334" spans="4:4" x14ac:dyDescent="0.3">
      <c r="D1334" t="s">
        <v>1364</v>
      </c>
    </row>
    <row r="1335" spans="4:4" x14ac:dyDescent="0.3">
      <c r="D1335" t="s">
        <v>1365</v>
      </c>
    </row>
    <row r="1336" spans="4:4" x14ac:dyDescent="0.3">
      <c r="D1336" t="s">
        <v>1366</v>
      </c>
    </row>
    <row r="1337" spans="4:4" x14ac:dyDescent="0.3">
      <c r="D1337" t="s">
        <v>1367</v>
      </c>
    </row>
    <row r="1338" spans="4:4" x14ac:dyDescent="0.3">
      <c r="D1338" t="s">
        <v>1368</v>
      </c>
    </row>
    <row r="1339" spans="4:4" x14ac:dyDescent="0.3">
      <c r="D1339" t="s">
        <v>1369</v>
      </c>
    </row>
    <row r="1340" spans="4:4" x14ac:dyDescent="0.3">
      <c r="D1340" t="s">
        <v>1370</v>
      </c>
    </row>
    <row r="1341" spans="4:4" x14ac:dyDescent="0.3">
      <c r="D1341" t="s">
        <v>1371</v>
      </c>
    </row>
    <row r="1342" spans="4:4" x14ac:dyDescent="0.3">
      <c r="D1342" t="s">
        <v>1372</v>
      </c>
    </row>
    <row r="1343" spans="4:4" x14ac:dyDescent="0.3">
      <c r="D1343" t="s">
        <v>1373</v>
      </c>
    </row>
    <row r="1344" spans="4:4" x14ac:dyDescent="0.3">
      <c r="D1344" t="s">
        <v>1374</v>
      </c>
    </row>
    <row r="1345" spans="4:4" x14ac:dyDescent="0.3">
      <c r="D1345" t="s">
        <v>1375</v>
      </c>
    </row>
    <row r="1346" spans="4:4" x14ac:dyDescent="0.3">
      <c r="D1346" t="s">
        <v>1376</v>
      </c>
    </row>
    <row r="1347" spans="4:4" x14ac:dyDescent="0.3">
      <c r="D1347" t="s">
        <v>1377</v>
      </c>
    </row>
    <row r="1348" spans="4:4" x14ac:dyDescent="0.3">
      <c r="D1348" t="s">
        <v>1378</v>
      </c>
    </row>
    <row r="1349" spans="4:4" x14ac:dyDescent="0.3">
      <c r="D1349" t="s">
        <v>1379</v>
      </c>
    </row>
    <row r="1350" spans="4:4" x14ac:dyDescent="0.3">
      <c r="D1350" t="s">
        <v>1380</v>
      </c>
    </row>
    <row r="1351" spans="4:4" x14ac:dyDescent="0.3">
      <c r="D1351" t="s">
        <v>1381</v>
      </c>
    </row>
    <row r="1352" spans="4:4" x14ac:dyDescent="0.3">
      <c r="D1352" t="s">
        <v>1382</v>
      </c>
    </row>
    <row r="1353" spans="4:4" x14ac:dyDescent="0.3">
      <c r="D1353" t="s">
        <v>1383</v>
      </c>
    </row>
    <row r="1354" spans="4:4" x14ac:dyDescent="0.3">
      <c r="D1354" t="s">
        <v>1384</v>
      </c>
    </row>
    <row r="1355" spans="4:4" x14ac:dyDescent="0.3">
      <c r="D1355" t="s">
        <v>1385</v>
      </c>
    </row>
    <row r="1356" spans="4:4" x14ac:dyDescent="0.3">
      <c r="D1356" t="s">
        <v>1386</v>
      </c>
    </row>
    <row r="1357" spans="4:4" x14ac:dyDescent="0.3">
      <c r="D1357" t="s">
        <v>1387</v>
      </c>
    </row>
    <row r="1358" spans="4:4" x14ac:dyDescent="0.3">
      <c r="D1358" t="s">
        <v>1388</v>
      </c>
    </row>
    <row r="1359" spans="4:4" x14ac:dyDescent="0.3">
      <c r="D1359" t="s">
        <v>1389</v>
      </c>
    </row>
    <row r="1360" spans="4:4" x14ac:dyDescent="0.3">
      <c r="D1360" t="s">
        <v>1390</v>
      </c>
    </row>
    <row r="1361" spans="4:4" x14ac:dyDescent="0.3">
      <c r="D1361" t="s">
        <v>1391</v>
      </c>
    </row>
    <row r="1362" spans="4:4" x14ac:dyDescent="0.3">
      <c r="D1362" t="s">
        <v>1392</v>
      </c>
    </row>
    <row r="1363" spans="4:4" x14ac:dyDescent="0.3">
      <c r="D1363" t="s">
        <v>1393</v>
      </c>
    </row>
    <row r="1364" spans="4:4" x14ac:dyDescent="0.3">
      <c r="D1364" t="s">
        <v>1394</v>
      </c>
    </row>
    <row r="1365" spans="4:4" x14ac:dyDescent="0.3">
      <c r="D1365" t="s">
        <v>1395</v>
      </c>
    </row>
    <row r="1366" spans="4:4" x14ac:dyDescent="0.3">
      <c r="D1366" t="s">
        <v>1396</v>
      </c>
    </row>
    <row r="1367" spans="4:4" x14ac:dyDescent="0.3">
      <c r="D1367" t="s">
        <v>1397</v>
      </c>
    </row>
    <row r="1368" spans="4:4" x14ac:dyDescent="0.3">
      <c r="D1368" t="s">
        <v>1398</v>
      </c>
    </row>
    <row r="1369" spans="4:4" x14ac:dyDescent="0.3">
      <c r="D1369" t="s">
        <v>1399</v>
      </c>
    </row>
    <row r="1370" spans="4:4" x14ac:dyDescent="0.3">
      <c r="D1370" t="s">
        <v>1400</v>
      </c>
    </row>
    <row r="1371" spans="4:4" x14ac:dyDescent="0.3">
      <c r="D1371" t="s">
        <v>1401</v>
      </c>
    </row>
    <row r="1372" spans="4:4" x14ac:dyDescent="0.3">
      <c r="D1372" t="s">
        <v>1402</v>
      </c>
    </row>
    <row r="1373" spans="4:4" x14ac:dyDescent="0.3">
      <c r="D1373" t="s">
        <v>1403</v>
      </c>
    </row>
    <row r="1374" spans="4:4" x14ac:dyDescent="0.3">
      <c r="D1374" t="s">
        <v>1404</v>
      </c>
    </row>
    <row r="1375" spans="4:4" x14ac:dyDescent="0.3">
      <c r="D1375" t="s">
        <v>1405</v>
      </c>
    </row>
    <row r="1376" spans="4:4" x14ac:dyDescent="0.3">
      <c r="D1376" t="s">
        <v>1406</v>
      </c>
    </row>
    <row r="1377" spans="4:4" x14ac:dyDescent="0.3">
      <c r="D1377" t="s">
        <v>1407</v>
      </c>
    </row>
    <row r="1378" spans="4:4" x14ac:dyDescent="0.3">
      <c r="D1378" t="s">
        <v>1408</v>
      </c>
    </row>
    <row r="1379" spans="4:4" x14ac:dyDescent="0.3">
      <c r="D1379" t="s">
        <v>1409</v>
      </c>
    </row>
    <row r="1380" spans="4:4" x14ac:dyDescent="0.3">
      <c r="D1380" t="s">
        <v>1410</v>
      </c>
    </row>
    <row r="1381" spans="4:4" x14ac:dyDescent="0.3">
      <c r="D1381" t="s">
        <v>1411</v>
      </c>
    </row>
    <row r="1382" spans="4:4" x14ac:dyDescent="0.3">
      <c r="D1382" t="s">
        <v>1412</v>
      </c>
    </row>
    <row r="1383" spans="4:4" x14ac:dyDescent="0.3">
      <c r="D1383" t="s">
        <v>1413</v>
      </c>
    </row>
    <row r="1384" spans="4:4" x14ac:dyDescent="0.3">
      <c r="D1384" t="s">
        <v>1414</v>
      </c>
    </row>
    <row r="1385" spans="4:4" x14ac:dyDescent="0.3">
      <c r="D1385" t="s">
        <v>1415</v>
      </c>
    </row>
    <row r="1386" spans="4:4" x14ac:dyDescent="0.3">
      <c r="D1386" t="s">
        <v>1416</v>
      </c>
    </row>
    <row r="1387" spans="4:4" x14ac:dyDescent="0.3">
      <c r="D1387" t="s">
        <v>1417</v>
      </c>
    </row>
    <row r="1388" spans="4:4" x14ac:dyDescent="0.3">
      <c r="D1388" t="s">
        <v>1418</v>
      </c>
    </row>
    <row r="1389" spans="4:4" x14ac:dyDescent="0.3">
      <c r="D1389" t="s">
        <v>1419</v>
      </c>
    </row>
    <row r="1390" spans="4:4" x14ac:dyDescent="0.3">
      <c r="D1390" t="s">
        <v>1420</v>
      </c>
    </row>
    <row r="1391" spans="4:4" x14ac:dyDescent="0.3">
      <c r="D1391" t="s">
        <v>1421</v>
      </c>
    </row>
    <row r="1392" spans="4:4" x14ac:dyDescent="0.3">
      <c r="D1392" t="s">
        <v>1422</v>
      </c>
    </row>
    <row r="1393" spans="4:4" x14ac:dyDescent="0.3">
      <c r="D1393" t="s">
        <v>1423</v>
      </c>
    </row>
    <row r="1394" spans="4:4" x14ac:dyDescent="0.3">
      <c r="D1394" t="s">
        <v>1424</v>
      </c>
    </row>
    <row r="1395" spans="4:4" x14ac:dyDescent="0.3">
      <c r="D1395" t="s">
        <v>1425</v>
      </c>
    </row>
    <row r="1396" spans="4:4" x14ac:dyDescent="0.3">
      <c r="D1396" t="s">
        <v>1426</v>
      </c>
    </row>
    <row r="1397" spans="4:4" x14ac:dyDescent="0.3">
      <c r="D1397" t="s">
        <v>1427</v>
      </c>
    </row>
    <row r="1398" spans="4:4" x14ac:dyDescent="0.3">
      <c r="D1398" t="s">
        <v>1428</v>
      </c>
    </row>
    <row r="1399" spans="4:4" x14ac:dyDescent="0.3">
      <c r="D1399" t="s">
        <v>1429</v>
      </c>
    </row>
    <row r="1400" spans="4:4" x14ac:dyDescent="0.3">
      <c r="D1400" t="s">
        <v>1430</v>
      </c>
    </row>
    <row r="1401" spans="4:4" x14ac:dyDescent="0.3">
      <c r="D1401" t="s">
        <v>1431</v>
      </c>
    </row>
    <row r="1402" spans="4:4" x14ac:dyDescent="0.3">
      <c r="D1402" t="s">
        <v>1432</v>
      </c>
    </row>
    <row r="1403" spans="4:4" x14ac:dyDescent="0.3">
      <c r="D1403" t="s">
        <v>1433</v>
      </c>
    </row>
    <row r="1404" spans="4:4" x14ac:dyDescent="0.3">
      <c r="D1404" t="s">
        <v>1434</v>
      </c>
    </row>
    <row r="1405" spans="4:4" x14ac:dyDescent="0.3">
      <c r="D1405" t="s">
        <v>1435</v>
      </c>
    </row>
    <row r="1406" spans="4:4" x14ac:dyDescent="0.3">
      <c r="D1406" t="s">
        <v>1436</v>
      </c>
    </row>
    <row r="1407" spans="4:4" x14ac:dyDescent="0.3">
      <c r="D1407" t="s">
        <v>1437</v>
      </c>
    </row>
    <row r="1408" spans="4:4" x14ac:dyDescent="0.3">
      <c r="D1408" t="s">
        <v>1438</v>
      </c>
    </row>
    <row r="1409" spans="4:4" x14ac:dyDescent="0.3">
      <c r="D1409" t="s">
        <v>1439</v>
      </c>
    </row>
    <row r="1410" spans="4:4" x14ac:dyDescent="0.3">
      <c r="D1410" t="s">
        <v>1440</v>
      </c>
    </row>
    <row r="1411" spans="4:4" x14ac:dyDescent="0.3">
      <c r="D1411" t="s">
        <v>1441</v>
      </c>
    </row>
    <row r="1412" spans="4:4" x14ac:dyDescent="0.3">
      <c r="D1412" t="s">
        <v>1442</v>
      </c>
    </row>
    <row r="1413" spans="4:4" x14ac:dyDescent="0.3">
      <c r="D1413" t="s">
        <v>1443</v>
      </c>
    </row>
    <row r="1414" spans="4:4" x14ac:dyDescent="0.3">
      <c r="D1414" t="s">
        <v>1444</v>
      </c>
    </row>
    <row r="1415" spans="4:4" x14ac:dyDescent="0.3">
      <c r="D1415" t="s">
        <v>1445</v>
      </c>
    </row>
    <row r="1416" spans="4:4" x14ac:dyDescent="0.3">
      <c r="D1416" t="s">
        <v>1446</v>
      </c>
    </row>
    <row r="1417" spans="4:4" x14ac:dyDescent="0.3">
      <c r="D1417" t="s">
        <v>1447</v>
      </c>
    </row>
    <row r="1418" spans="4:4" x14ac:dyDescent="0.3">
      <c r="D1418" t="s">
        <v>1448</v>
      </c>
    </row>
    <row r="1419" spans="4:4" x14ac:dyDescent="0.3">
      <c r="D1419" t="s">
        <v>1449</v>
      </c>
    </row>
    <row r="1420" spans="4:4" x14ac:dyDescent="0.3">
      <c r="D1420" t="s">
        <v>1450</v>
      </c>
    </row>
    <row r="1421" spans="4:4" x14ac:dyDescent="0.3">
      <c r="D1421" t="s">
        <v>1451</v>
      </c>
    </row>
    <row r="1422" spans="4:4" x14ac:dyDescent="0.3">
      <c r="D1422" t="s">
        <v>1452</v>
      </c>
    </row>
    <row r="1423" spans="4:4" x14ac:dyDescent="0.3">
      <c r="D1423" t="s">
        <v>1453</v>
      </c>
    </row>
    <row r="1424" spans="4:4" x14ac:dyDescent="0.3">
      <c r="D1424" t="s">
        <v>1454</v>
      </c>
    </row>
    <row r="1425" spans="4:4" x14ac:dyDescent="0.3">
      <c r="D1425" t="s">
        <v>1455</v>
      </c>
    </row>
    <row r="1426" spans="4:4" x14ac:dyDescent="0.3">
      <c r="D1426" t="s">
        <v>1456</v>
      </c>
    </row>
    <row r="1427" spans="4:4" x14ac:dyDescent="0.3">
      <c r="D1427" t="s">
        <v>1457</v>
      </c>
    </row>
    <row r="1428" spans="4:4" x14ac:dyDescent="0.3">
      <c r="D1428" t="s">
        <v>1458</v>
      </c>
    </row>
    <row r="1429" spans="4:4" x14ac:dyDescent="0.3">
      <c r="D1429" t="s">
        <v>1459</v>
      </c>
    </row>
    <row r="1430" spans="4:4" x14ac:dyDescent="0.3">
      <c r="D1430" t="s">
        <v>1460</v>
      </c>
    </row>
    <row r="1431" spans="4:4" x14ac:dyDescent="0.3">
      <c r="D1431" t="s">
        <v>1461</v>
      </c>
    </row>
    <row r="1432" spans="4:4" x14ac:dyDescent="0.3">
      <c r="D1432" t="s">
        <v>1462</v>
      </c>
    </row>
    <row r="1433" spans="4:4" x14ac:dyDescent="0.3">
      <c r="D1433" t="s">
        <v>1463</v>
      </c>
    </row>
    <row r="1434" spans="4:4" x14ac:dyDescent="0.3">
      <c r="D1434" t="s">
        <v>1464</v>
      </c>
    </row>
    <row r="1435" spans="4:4" x14ac:dyDescent="0.3">
      <c r="D1435" t="s">
        <v>1465</v>
      </c>
    </row>
    <row r="1436" spans="4:4" x14ac:dyDescent="0.3">
      <c r="D1436" t="s">
        <v>1466</v>
      </c>
    </row>
    <row r="1437" spans="4:4" x14ac:dyDescent="0.3">
      <c r="D1437" t="s">
        <v>1467</v>
      </c>
    </row>
    <row r="1438" spans="4:4" x14ac:dyDescent="0.3">
      <c r="D1438" t="s">
        <v>1468</v>
      </c>
    </row>
    <row r="1439" spans="4:4" x14ac:dyDescent="0.3">
      <c r="D1439" t="s">
        <v>1469</v>
      </c>
    </row>
    <row r="1440" spans="4:4" x14ac:dyDescent="0.3">
      <c r="D1440" t="s">
        <v>1470</v>
      </c>
    </row>
    <row r="1441" spans="4:4" x14ac:dyDescent="0.3">
      <c r="D1441" t="s">
        <v>1471</v>
      </c>
    </row>
    <row r="1442" spans="4:4" x14ac:dyDescent="0.3">
      <c r="D1442" t="s">
        <v>1472</v>
      </c>
    </row>
    <row r="1443" spans="4:4" x14ac:dyDescent="0.3">
      <c r="D1443" t="s">
        <v>1473</v>
      </c>
    </row>
    <row r="1444" spans="4:4" x14ac:dyDescent="0.3">
      <c r="D1444" t="s">
        <v>1474</v>
      </c>
    </row>
    <row r="1445" spans="4:4" x14ac:dyDescent="0.3">
      <c r="D1445" t="s">
        <v>1475</v>
      </c>
    </row>
    <row r="1446" spans="4:4" x14ac:dyDescent="0.3">
      <c r="D1446" t="s">
        <v>1476</v>
      </c>
    </row>
    <row r="1447" spans="4:4" x14ac:dyDescent="0.3">
      <c r="D1447" t="s">
        <v>1477</v>
      </c>
    </row>
    <row r="1448" spans="4:4" x14ac:dyDescent="0.3">
      <c r="D1448" t="s">
        <v>1478</v>
      </c>
    </row>
    <row r="1449" spans="4:4" x14ac:dyDescent="0.3">
      <c r="D1449" t="s">
        <v>1479</v>
      </c>
    </row>
    <row r="1450" spans="4:4" x14ac:dyDescent="0.3">
      <c r="D1450" t="s">
        <v>1480</v>
      </c>
    </row>
    <row r="1451" spans="4:4" x14ac:dyDescent="0.3">
      <c r="D1451" t="s">
        <v>1481</v>
      </c>
    </row>
    <row r="1452" spans="4:4" x14ac:dyDescent="0.3">
      <c r="D1452" t="s">
        <v>1482</v>
      </c>
    </row>
    <row r="1453" spans="4:4" x14ac:dyDescent="0.3">
      <c r="D1453" t="s">
        <v>1483</v>
      </c>
    </row>
    <row r="1454" spans="4:4" x14ac:dyDescent="0.3">
      <c r="D1454" t="s">
        <v>1484</v>
      </c>
    </row>
    <row r="1455" spans="4:4" x14ac:dyDescent="0.3">
      <c r="D1455" t="s">
        <v>1485</v>
      </c>
    </row>
    <row r="1456" spans="4:4" x14ac:dyDescent="0.3">
      <c r="D1456" t="s">
        <v>1486</v>
      </c>
    </row>
    <row r="1457" spans="4:4" x14ac:dyDescent="0.3">
      <c r="D1457" t="s">
        <v>1487</v>
      </c>
    </row>
    <row r="1458" spans="4:4" x14ac:dyDescent="0.3">
      <c r="D1458" t="s">
        <v>1488</v>
      </c>
    </row>
    <row r="1459" spans="4:4" x14ac:dyDescent="0.3">
      <c r="D1459" t="s">
        <v>1489</v>
      </c>
    </row>
    <row r="1460" spans="4:4" x14ac:dyDescent="0.3">
      <c r="D1460" t="s">
        <v>1490</v>
      </c>
    </row>
    <row r="1461" spans="4:4" x14ac:dyDescent="0.3">
      <c r="D1461" t="s">
        <v>1491</v>
      </c>
    </row>
    <row r="1462" spans="4:4" x14ac:dyDescent="0.3">
      <c r="D1462" t="s">
        <v>1492</v>
      </c>
    </row>
    <row r="1463" spans="4:4" x14ac:dyDescent="0.3">
      <c r="D1463" t="s">
        <v>1493</v>
      </c>
    </row>
    <row r="1464" spans="4:4" x14ac:dyDescent="0.3">
      <c r="D1464" t="s">
        <v>1494</v>
      </c>
    </row>
    <row r="1465" spans="4:4" x14ac:dyDescent="0.3">
      <c r="D1465" t="s">
        <v>1495</v>
      </c>
    </row>
    <row r="1466" spans="4:4" x14ac:dyDescent="0.3">
      <c r="D1466" t="s">
        <v>1496</v>
      </c>
    </row>
    <row r="1467" spans="4:4" x14ac:dyDescent="0.3">
      <c r="D1467" t="s">
        <v>1497</v>
      </c>
    </row>
    <row r="1468" spans="4:4" x14ac:dyDescent="0.3">
      <c r="D1468" t="s">
        <v>1498</v>
      </c>
    </row>
    <row r="1469" spans="4:4" x14ac:dyDescent="0.3">
      <c r="D1469" t="s">
        <v>1499</v>
      </c>
    </row>
    <row r="1470" spans="4:4" x14ac:dyDescent="0.3">
      <c r="D1470" t="s">
        <v>1500</v>
      </c>
    </row>
    <row r="1471" spans="4:4" x14ac:dyDescent="0.3">
      <c r="D1471" t="s">
        <v>1501</v>
      </c>
    </row>
    <row r="1472" spans="4:4" x14ac:dyDescent="0.3">
      <c r="D1472" t="s">
        <v>1502</v>
      </c>
    </row>
    <row r="1473" spans="4:4" x14ac:dyDescent="0.3">
      <c r="D1473" t="s">
        <v>1503</v>
      </c>
    </row>
    <row r="1474" spans="4:4" x14ac:dyDescent="0.3">
      <c r="D1474" t="s">
        <v>1504</v>
      </c>
    </row>
    <row r="1475" spans="4:4" x14ac:dyDescent="0.3">
      <c r="D1475" t="s">
        <v>1505</v>
      </c>
    </row>
    <row r="1476" spans="4:4" x14ac:dyDescent="0.3">
      <c r="D1476" t="s">
        <v>1506</v>
      </c>
    </row>
    <row r="1477" spans="4:4" x14ac:dyDescent="0.3">
      <c r="D1477" t="s">
        <v>1507</v>
      </c>
    </row>
    <row r="1478" spans="4:4" x14ac:dyDescent="0.3">
      <c r="D1478" t="s">
        <v>1508</v>
      </c>
    </row>
    <row r="1479" spans="4:4" x14ac:dyDescent="0.3">
      <c r="D1479" t="s">
        <v>1509</v>
      </c>
    </row>
    <row r="1480" spans="4:4" x14ac:dyDescent="0.3">
      <c r="D1480" t="s">
        <v>1510</v>
      </c>
    </row>
    <row r="1481" spans="4:4" x14ac:dyDescent="0.3">
      <c r="D1481" t="s">
        <v>1511</v>
      </c>
    </row>
    <row r="1482" spans="4:4" x14ac:dyDescent="0.3">
      <c r="D1482" t="s">
        <v>1512</v>
      </c>
    </row>
    <row r="1483" spans="4:4" x14ac:dyDescent="0.3">
      <c r="D1483" t="s">
        <v>1513</v>
      </c>
    </row>
    <row r="1484" spans="4:4" x14ac:dyDescent="0.3">
      <c r="D1484" t="s">
        <v>1514</v>
      </c>
    </row>
    <row r="1485" spans="4:4" x14ac:dyDescent="0.3">
      <c r="D1485" t="s">
        <v>1515</v>
      </c>
    </row>
    <row r="1486" spans="4:4" x14ac:dyDescent="0.3">
      <c r="D1486" t="s">
        <v>1516</v>
      </c>
    </row>
    <row r="1487" spans="4:4" x14ac:dyDescent="0.3">
      <c r="D1487" t="s">
        <v>1517</v>
      </c>
    </row>
    <row r="1488" spans="4:4" x14ac:dyDescent="0.3">
      <c r="D1488" t="s">
        <v>1518</v>
      </c>
    </row>
    <row r="1489" spans="4:4" x14ac:dyDescent="0.3">
      <c r="D1489" t="s">
        <v>1519</v>
      </c>
    </row>
    <row r="1490" spans="4:4" x14ac:dyDescent="0.3">
      <c r="D1490" t="s">
        <v>1520</v>
      </c>
    </row>
    <row r="1491" spans="4:4" x14ac:dyDescent="0.3">
      <c r="D1491" t="s">
        <v>1521</v>
      </c>
    </row>
    <row r="1492" spans="4:4" x14ac:dyDescent="0.3">
      <c r="D1492" t="s">
        <v>1522</v>
      </c>
    </row>
    <row r="1493" spans="4:4" x14ac:dyDescent="0.3">
      <c r="D1493" t="s">
        <v>1523</v>
      </c>
    </row>
    <row r="1494" spans="4:4" x14ac:dyDescent="0.3">
      <c r="D1494" t="s">
        <v>1524</v>
      </c>
    </row>
    <row r="1495" spans="4:4" x14ac:dyDescent="0.3">
      <c r="D1495" t="s">
        <v>1525</v>
      </c>
    </row>
    <row r="1496" spans="4:4" x14ac:dyDescent="0.3">
      <c r="D1496" t="s">
        <v>1526</v>
      </c>
    </row>
    <row r="1497" spans="4:4" x14ac:dyDescent="0.3">
      <c r="D1497" t="s">
        <v>1527</v>
      </c>
    </row>
    <row r="1498" spans="4:4" x14ac:dyDescent="0.3">
      <c r="D1498" t="s">
        <v>1528</v>
      </c>
    </row>
    <row r="1499" spans="4:4" x14ac:dyDescent="0.3">
      <c r="D1499" t="s">
        <v>1529</v>
      </c>
    </row>
    <row r="1500" spans="4:4" x14ac:dyDescent="0.3">
      <c r="D1500" t="s">
        <v>1530</v>
      </c>
    </row>
    <row r="1501" spans="4:4" x14ac:dyDescent="0.3">
      <c r="D1501" t="s">
        <v>1531</v>
      </c>
    </row>
    <row r="1502" spans="4:4" x14ac:dyDescent="0.3">
      <c r="D1502" t="s">
        <v>1532</v>
      </c>
    </row>
    <row r="1503" spans="4:4" x14ac:dyDescent="0.3">
      <c r="D1503" t="s">
        <v>1533</v>
      </c>
    </row>
    <row r="1504" spans="4:4" x14ac:dyDescent="0.3">
      <c r="D1504" t="s">
        <v>1534</v>
      </c>
    </row>
    <row r="1505" spans="4:4" x14ac:dyDescent="0.3">
      <c r="D1505" t="s">
        <v>1535</v>
      </c>
    </row>
    <row r="1506" spans="4:4" x14ac:dyDescent="0.3">
      <c r="D1506" t="s">
        <v>1536</v>
      </c>
    </row>
    <row r="1507" spans="4:4" x14ac:dyDescent="0.3">
      <c r="D1507" t="s">
        <v>1537</v>
      </c>
    </row>
    <row r="1508" spans="4:4" x14ac:dyDescent="0.3">
      <c r="D1508" t="s">
        <v>1538</v>
      </c>
    </row>
    <row r="1509" spans="4:4" x14ac:dyDescent="0.3">
      <c r="D1509" t="s">
        <v>1539</v>
      </c>
    </row>
    <row r="1510" spans="4:4" x14ac:dyDescent="0.3">
      <c r="D1510" t="s">
        <v>1540</v>
      </c>
    </row>
    <row r="1511" spans="4:4" x14ac:dyDescent="0.3">
      <c r="D1511" t="s">
        <v>1541</v>
      </c>
    </row>
    <row r="1512" spans="4:4" x14ac:dyDescent="0.3">
      <c r="D1512" t="s">
        <v>1542</v>
      </c>
    </row>
    <row r="1513" spans="4:4" x14ac:dyDescent="0.3">
      <c r="D1513" t="s">
        <v>1543</v>
      </c>
    </row>
    <row r="1514" spans="4:4" x14ac:dyDescent="0.3">
      <c r="D1514" t="s">
        <v>1544</v>
      </c>
    </row>
    <row r="1515" spans="4:4" x14ac:dyDescent="0.3">
      <c r="D1515" t="s">
        <v>1545</v>
      </c>
    </row>
    <row r="1516" spans="4:4" x14ac:dyDescent="0.3">
      <c r="D1516" t="s">
        <v>1546</v>
      </c>
    </row>
    <row r="1517" spans="4:4" x14ac:dyDescent="0.3">
      <c r="D1517" t="s">
        <v>1547</v>
      </c>
    </row>
    <row r="1518" spans="4:4" x14ac:dyDescent="0.3">
      <c r="D1518" t="s">
        <v>1548</v>
      </c>
    </row>
    <row r="1519" spans="4:4" x14ac:dyDescent="0.3">
      <c r="D1519" t="s">
        <v>1549</v>
      </c>
    </row>
    <row r="1520" spans="4:4" x14ac:dyDescent="0.3">
      <c r="D1520" t="s">
        <v>1550</v>
      </c>
    </row>
    <row r="1521" spans="4:4" x14ac:dyDescent="0.3">
      <c r="D1521" t="s">
        <v>1551</v>
      </c>
    </row>
    <row r="1522" spans="4:4" x14ac:dyDescent="0.3">
      <c r="D1522" t="s">
        <v>1552</v>
      </c>
    </row>
    <row r="1523" spans="4:4" x14ac:dyDescent="0.3">
      <c r="D1523" t="s">
        <v>1553</v>
      </c>
    </row>
    <row r="1524" spans="4:4" x14ac:dyDescent="0.3">
      <c r="D1524" t="s">
        <v>1554</v>
      </c>
    </row>
    <row r="1525" spans="4:4" x14ac:dyDescent="0.3">
      <c r="D1525" t="s">
        <v>1555</v>
      </c>
    </row>
    <row r="1526" spans="4:4" x14ac:dyDescent="0.3">
      <c r="D1526" t="s">
        <v>1556</v>
      </c>
    </row>
    <row r="1527" spans="4:4" x14ac:dyDescent="0.3">
      <c r="D1527" t="s">
        <v>1557</v>
      </c>
    </row>
    <row r="1528" spans="4:4" x14ac:dyDescent="0.3">
      <c r="D1528" t="s">
        <v>1558</v>
      </c>
    </row>
    <row r="1529" spans="4:4" x14ac:dyDescent="0.3">
      <c r="D1529" t="s">
        <v>1559</v>
      </c>
    </row>
    <row r="1530" spans="4:4" x14ac:dyDescent="0.3">
      <c r="D1530" t="s">
        <v>1560</v>
      </c>
    </row>
    <row r="1531" spans="4:4" x14ac:dyDescent="0.3">
      <c r="D1531" t="s">
        <v>1561</v>
      </c>
    </row>
    <row r="1532" spans="4:4" x14ac:dyDescent="0.3">
      <c r="D1532" t="s">
        <v>1562</v>
      </c>
    </row>
    <row r="1533" spans="4:4" x14ac:dyDescent="0.3">
      <c r="D1533" t="s">
        <v>1563</v>
      </c>
    </row>
    <row r="1534" spans="4:4" x14ac:dyDescent="0.3">
      <c r="D1534" t="s">
        <v>1564</v>
      </c>
    </row>
    <row r="1535" spans="4:4" x14ac:dyDescent="0.3">
      <c r="D1535" t="s">
        <v>1565</v>
      </c>
    </row>
    <row r="1536" spans="4:4" x14ac:dyDescent="0.3">
      <c r="D1536" t="s">
        <v>1566</v>
      </c>
    </row>
    <row r="1537" spans="4:4" x14ac:dyDescent="0.3">
      <c r="D1537" t="s">
        <v>1567</v>
      </c>
    </row>
    <row r="1538" spans="4:4" x14ac:dyDescent="0.3">
      <c r="D1538" t="s">
        <v>1568</v>
      </c>
    </row>
    <row r="1539" spans="4:4" x14ac:dyDescent="0.3">
      <c r="D1539" t="s">
        <v>1569</v>
      </c>
    </row>
    <row r="1540" spans="4:4" x14ac:dyDescent="0.3">
      <c r="D1540" t="s">
        <v>1570</v>
      </c>
    </row>
    <row r="1541" spans="4:4" x14ac:dyDescent="0.3">
      <c r="D1541" t="s">
        <v>1571</v>
      </c>
    </row>
    <row r="1542" spans="4:4" x14ac:dyDescent="0.3">
      <c r="D1542" t="s">
        <v>1572</v>
      </c>
    </row>
    <row r="1543" spans="4:4" x14ac:dyDescent="0.3">
      <c r="D1543" t="s">
        <v>1573</v>
      </c>
    </row>
    <row r="1544" spans="4:4" x14ac:dyDescent="0.3">
      <c r="D1544" t="s">
        <v>1574</v>
      </c>
    </row>
    <row r="1545" spans="4:4" x14ac:dyDescent="0.3">
      <c r="D1545" t="s">
        <v>1575</v>
      </c>
    </row>
    <row r="1546" spans="4:4" x14ac:dyDescent="0.3">
      <c r="D1546" t="s">
        <v>1576</v>
      </c>
    </row>
    <row r="1547" spans="4:4" x14ac:dyDescent="0.3">
      <c r="D1547" t="s">
        <v>1577</v>
      </c>
    </row>
    <row r="1548" spans="4:4" x14ac:dyDescent="0.3">
      <c r="D1548" t="s">
        <v>1578</v>
      </c>
    </row>
    <row r="1549" spans="4:4" x14ac:dyDescent="0.3">
      <c r="D1549" t="s">
        <v>1579</v>
      </c>
    </row>
    <row r="1550" spans="4:4" x14ac:dyDescent="0.3">
      <c r="D1550" t="s">
        <v>1580</v>
      </c>
    </row>
    <row r="1551" spans="4:4" x14ac:dyDescent="0.3">
      <c r="D1551" t="s">
        <v>1581</v>
      </c>
    </row>
    <row r="1552" spans="4:4" x14ac:dyDescent="0.3">
      <c r="D1552" t="s">
        <v>1582</v>
      </c>
    </row>
    <row r="1553" spans="4:4" x14ac:dyDescent="0.3">
      <c r="D1553" t="s">
        <v>1583</v>
      </c>
    </row>
    <row r="1554" spans="4:4" x14ac:dyDescent="0.3">
      <c r="D1554" t="s">
        <v>1584</v>
      </c>
    </row>
    <row r="1555" spans="4:4" x14ac:dyDescent="0.3">
      <c r="D1555" t="s">
        <v>1585</v>
      </c>
    </row>
    <row r="1556" spans="4:4" x14ac:dyDescent="0.3">
      <c r="D1556" t="s">
        <v>1586</v>
      </c>
    </row>
    <row r="1557" spans="4:4" x14ac:dyDescent="0.3">
      <c r="D1557" t="s">
        <v>1587</v>
      </c>
    </row>
    <row r="1558" spans="4:4" x14ac:dyDescent="0.3">
      <c r="D1558" t="s">
        <v>1588</v>
      </c>
    </row>
    <row r="1559" spans="4:4" x14ac:dyDescent="0.3">
      <c r="D1559" t="s">
        <v>1589</v>
      </c>
    </row>
    <row r="1560" spans="4:4" x14ac:dyDescent="0.3">
      <c r="D1560" t="s">
        <v>1590</v>
      </c>
    </row>
    <row r="1561" spans="4:4" x14ac:dyDescent="0.3">
      <c r="D1561" t="s">
        <v>1591</v>
      </c>
    </row>
    <row r="1562" spans="4:4" x14ac:dyDescent="0.3">
      <c r="D1562" t="s">
        <v>1592</v>
      </c>
    </row>
    <row r="1563" spans="4:4" x14ac:dyDescent="0.3">
      <c r="D1563" t="s">
        <v>1593</v>
      </c>
    </row>
    <row r="1564" spans="4:4" x14ac:dyDescent="0.3">
      <c r="D1564" t="s">
        <v>1594</v>
      </c>
    </row>
    <row r="1565" spans="4:4" x14ac:dyDescent="0.3">
      <c r="D1565" t="s">
        <v>1595</v>
      </c>
    </row>
    <row r="1566" spans="4:4" x14ac:dyDescent="0.3">
      <c r="D1566" t="s">
        <v>1596</v>
      </c>
    </row>
    <row r="1567" spans="4:4" x14ac:dyDescent="0.3">
      <c r="D1567" t="s">
        <v>1597</v>
      </c>
    </row>
    <row r="1568" spans="4:4" x14ac:dyDescent="0.3">
      <c r="D1568" t="s">
        <v>1598</v>
      </c>
    </row>
    <row r="1569" spans="4:4" x14ac:dyDescent="0.3">
      <c r="D1569" t="s">
        <v>1599</v>
      </c>
    </row>
    <row r="1570" spans="4:4" x14ac:dyDescent="0.3">
      <c r="D1570" t="s">
        <v>1600</v>
      </c>
    </row>
    <row r="1571" spans="4:4" x14ac:dyDescent="0.3">
      <c r="D1571" t="s">
        <v>1601</v>
      </c>
    </row>
    <row r="1572" spans="4:4" x14ac:dyDescent="0.3">
      <c r="D1572" t="s">
        <v>1602</v>
      </c>
    </row>
    <row r="1573" spans="4:4" x14ac:dyDescent="0.3">
      <c r="D1573" t="s">
        <v>1603</v>
      </c>
    </row>
    <row r="1574" spans="4:4" x14ac:dyDescent="0.3">
      <c r="D1574" t="s">
        <v>1604</v>
      </c>
    </row>
    <row r="1575" spans="4:4" x14ac:dyDescent="0.3">
      <c r="D1575" t="s">
        <v>1605</v>
      </c>
    </row>
    <row r="1576" spans="4:4" x14ac:dyDescent="0.3">
      <c r="D1576" t="s">
        <v>1606</v>
      </c>
    </row>
    <row r="1577" spans="4:4" x14ac:dyDescent="0.3">
      <c r="D1577" t="s">
        <v>1607</v>
      </c>
    </row>
    <row r="1578" spans="4:4" x14ac:dyDescent="0.3">
      <c r="D1578" t="s">
        <v>1608</v>
      </c>
    </row>
    <row r="1579" spans="4:4" x14ac:dyDescent="0.3">
      <c r="D1579" t="s">
        <v>1609</v>
      </c>
    </row>
    <row r="1580" spans="4:4" x14ac:dyDescent="0.3">
      <c r="D1580" t="s">
        <v>1610</v>
      </c>
    </row>
    <row r="1581" spans="4:4" x14ac:dyDescent="0.3">
      <c r="D1581" t="s">
        <v>1611</v>
      </c>
    </row>
    <row r="1582" spans="4:4" x14ac:dyDescent="0.3">
      <c r="D1582" t="s">
        <v>1612</v>
      </c>
    </row>
    <row r="1583" spans="4:4" x14ac:dyDescent="0.3">
      <c r="D1583" t="s">
        <v>1613</v>
      </c>
    </row>
    <row r="1584" spans="4:4" x14ac:dyDescent="0.3">
      <c r="D1584" t="s">
        <v>1614</v>
      </c>
    </row>
    <row r="1585" spans="4:4" x14ac:dyDescent="0.3">
      <c r="D1585" t="s">
        <v>1615</v>
      </c>
    </row>
    <row r="1586" spans="4:4" x14ac:dyDescent="0.3">
      <c r="D1586" t="s">
        <v>1616</v>
      </c>
    </row>
    <row r="1587" spans="4:4" x14ac:dyDescent="0.3">
      <c r="D1587" t="s">
        <v>1617</v>
      </c>
    </row>
    <row r="1588" spans="4:4" x14ac:dyDescent="0.3">
      <c r="D1588" t="s">
        <v>1618</v>
      </c>
    </row>
    <row r="1589" spans="4:4" x14ac:dyDescent="0.3">
      <c r="D1589" t="s">
        <v>1619</v>
      </c>
    </row>
    <row r="1590" spans="4:4" x14ac:dyDescent="0.3">
      <c r="D1590" t="s">
        <v>1620</v>
      </c>
    </row>
    <row r="1591" spans="4:4" x14ac:dyDescent="0.3">
      <c r="D1591" t="s">
        <v>1621</v>
      </c>
    </row>
    <row r="1592" spans="4:4" x14ac:dyDescent="0.3">
      <c r="D1592" t="s">
        <v>1622</v>
      </c>
    </row>
    <row r="1593" spans="4:4" x14ac:dyDescent="0.3">
      <c r="D1593" t="s">
        <v>1623</v>
      </c>
    </row>
    <row r="1594" spans="4:4" x14ac:dyDescent="0.3">
      <c r="D1594" t="s">
        <v>1624</v>
      </c>
    </row>
    <row r="1595" spans="4:4" x14ac:dyDescent="0.3">
      <c r="D1595" t="s">
        <v>1625</v>
      </c>
    </row>
    <row r="1596" spans="4:4" x14ac:dyDescent="0.3">
      <c r="D1596" t="s">
        <v>1626</v>
      </c>
    </row>
    <row r="1597" spans="4:4" x14ac:dyDescent="0.3">
      <c r="D1597" t="s">
        <v>1627</v>
      </c>
    </row>
    <row r="1598" spans="4:4" x14ac:dyDescent="0.3">
      <c r="D1598" t="s">
        <v>1628</v>
      </c>
    </row>
    <row r="1599" spans="4:4" x14ac:dyDescent="0.3">
      <c r="D1599" t="s">
        <v>1629</v>
      </c>
    </row>
    <row r="1600" spans="4:4" x14ac:dyDescent="0.3">
      <c r="D1600" t="s">
        <v>1630</v>
      </c>
    </row>
    <row r="1601" spans="4:4" x14ac:dyDescent="0.3">
      <c r="D1601" t="s">
        <v>1631</v>
      </c>
    </row>
    <row r="1602" spans="4:4" x14ac:dyDescent="0.3">
      <c r="D1602" t="s">
        <v>1632</v>
      </c>
    </row>
    <row r="1603" spans="4:4" x14ac:dyDescent="0.3">
      <c r="D1603" t="s">
        <v>1633</v>
      </c>
    </row>
    <row r="1604" spans="4:4" x14ac:dyDescent="0.3">
      <c r="D1604" t="s">
        <v>1634</v>
      </c>
    </row>
    <row r="1605" spans="4:4" x14ac:dyDescent="0.3">
      <c r="D1605" t="s">
        <v>1635</v>
      </c>
    </row>
    <row r="1606" spans="4:4" x14ac:dyDescent="0.3">
      <c r="D1606" t="s">
        <v>1636</v>
      </c>
    </row>
    <row r="1607" spans="4:4" x14ac:dyDescent="0.3">
      <c r="D1607" t="s">
        <v>1637</v>
      </c>
    </row>
    <row r="1608" spans="4:4" x14ac:dyDescent="0.3">
      <c r="D1608" t="s">
        <v>1638</v>
      </c>
    </row>
    <row r="1609" spans="4:4" x14ac:dyDescent="0.3">
      <c r="D1609" t="s">
        <v>1639</v>
      </c>
    </row>
    <row r="1610" spans="4:4" x14ac:dyDescent="0.3">
      <c r="D1610" t="s">
        <v>1640</v>
      </c>
    </row>
    <row r="1611" spans="4:4" x14ac:dyDescent="0.3">
      <c r="D1611" t="s">
        <v>1641</v>
      </c>
    </row>
    <row r="1612" spans="4:4" x14ac:dyDescent="0.3">
      <c r="D1612" t="s">
        <v>1642</v>
      </c>
    </row>
    <row r="1613" spans="4:4" x14ac:dyDescent="0.3">
      <c r="D1613" t="s">
        <v>1643</v>
      </c>
    </row>
    <row r="1614" spans="4:4" x14ac:dyDescent="0.3">
      <c r="D1614" t="s">
        <v>1644</v>
      </c>
    </row>
    <row r="1615" spans="4:4" x14ac:dyDescent="0.3">
      <c r="D1615" t="s">
        <v>1645</v>
      </c>
    </row>
    <row r="1616" spans="4:4" x14ac:dyDescent="0.3">
      <c r="D1616" t="s">
        <v>1646</v>
      </c>
    </row>
    <row r="1617" spans="4:4" x14ac:dyDescent="0.3">
      <c r="D1617" t="s">
        <v>1647</v>
      </c>
    </row>
    <row r="1618" spans="4:4" x14ac:dyDescent="0.3">
      <c r="D1618" t="s">
        <v>1648</v>
      </c>
    </row>
    <row r="1619" spans="4:4" x14ac:dyDescent="0.3">
      <c r="D1619" t="s">
        <v>1649</v>
      </c>
    </row>
    <row r="1620" spans="4:4" x14ac:dyDescent="0.3">
      <c r="D1620" t="s">
        <v>1650</v>
      </c>
    </row>
    <row r="1621" spans="4:4" x14ac:dyDescent="0.3">
      <c r="D1621" t="s">
        <v>1651</v>
      </c>
    </row>
    <row r="1622" spans="4:4" x14ac:dyDescent="0.3">
      <c r="D1622" t="s">
        <v>1652</v>
      </c>
    </row>
    <row r="1623" spans="4:4" x14ac:dyDescent="0.3">
      <c r="D1623" t="s">
        <v>1653</v>
      </c>
    </row>
    <row r="1624" spans="4:4" x14ac:dyDescent="0.3">
      <c r="D1624" t="s">
        <v>1654</v>
      </c>
    </row>
    <row r="1625" spans="4:4" x14ac:dyDescent="0.3">
      <c r="D1625" t="s">
        <v>1655</v>
      </c>
    </row>
    <row r="1626" spans="4:4" x14ac:dyDescent="0.3">
      <c r="D1626" t="s">
        <v>1656</v>
      </c>
    </row>
    <row r="1627" spans="4:4" x14ac:dyDescent="0.3">
      <c r="D1627" t="s">
        <v>1657</v>
      </c>
    </row>
    <row r="1628" spans="4:4" x14ac:dyDescent="0.3">
      <c r="D1628" t="s">
        <v>1658</v>
      </c>
    </row>
    <row r="1629" spans="4:4" x14ac:dyDescent="0.3">
      <c r="D1629" t="s">
        <v>1659</v>
      </c>
    </row>
    <row r="1630" spans="4:4" x14ac:dyDescent="0.3">
      <c r="D1630" t="s">
        <v>1660</v>
      </c>
    </row>
    <row r="1631" spans="4:4" x14ac:dyDescent="0.3">
      <c r="D1631" t="s">
        <v>1661</v>
      </c>
    </row>
    <row r="1632" spans="4:4" x14ac:dyDescent="0.3">
      <c r="D1632" t="s">
        <v>1662</v>
      </c>
    </row>
    <row r="1633" spans="4:4" x14ac:dyDescent="0.3">
      <c r="D1633" t="s">
        <v>1663</v>
      </c>
    </row>
    <row r="1634" spans="4:4" x14ac:dyDescent="0.3">
      <c r="D1634" t="s">
        <v>1664</v>
      </c>
    </row>
    <row r="1635" spans="4:4" x14ac:dyDescent="0.3">
      <c r="D1635" t="s">
        <v>1665</v>
      </c>
    </row>
    <row r="1636" spans="4:4" x14ac:dyDescent="0.3">
      <c r="D1636" t="s">
        <v>1666</v>
      </c>
    </row>
    <row r="1637" spans="4:4" x14ac:dyDescent="0.3">
      <c r="D1637" t="s">
        <v>1667</v>
      </c>
    </row>
    <row r="1638" spans="4:4" x14ac:dyDescent="0.3">
      <c r="D1638" t="s">
        <v>1668</v>
      </c>
    </row>
    <row r="1639" spans="4:4" x14ac:dyDescent="0.3">
      <c r="D1639" t="s">
        <v>1669</v>
      </c>
    </row>
    <row r="1640" spans="4:4" x14ac:dyDescent="0.3">
      <c r="D1640" t="s">
        <v>1670</v>
      </c>
    </row>
    <row r="1641" spans="4:4" x14ac:dyDescent="0.3">
      <c r="D1641" t="s">
        <v>1671</v>
      </c>
    </row>
    <row r="1642" spans="4:4" x14ac:dyDescent="0.3">
      <c r="D1642" t="s">
        <v>1672</v>
      </c>
    </row>
    <row r="1643" spans="4:4" x14ac:dyDescent="0.3">
      <c r="D1643" t="s">
        <v>1673</v>
      </c>
    </row>
    <row r="1644" spans="4:4" x14ac:dyDescent="0.3">
      <c r="D1644" t="s">
        <v>1674</v>
      </c>
    </row>
    <row r="1645" spans="4:4" x14ac:dyDescent="0.3">
      <c r="D1645" t="s">
        <v>1675</v>
      </c>
    </row>
    <row r="1646" spans="4:4" x14ac:dyDescent="0.3">
      <c r="D1646" t="s">
        <v>1676</v>
      </c>
    </row>
    <row r="1647" spans="4:4" x14ac:dyDescent="0.3">
      <c r="D1647" t="s">
        <v>1677</v>
      </c>
    </row>
    <row r="1648" spans="4:4" x14ac:dyDescent="0.3">
      <c r="D1648" t="s">
        <v>1678</v>
      </c>
    </row>
    <row r="1649" spans="4:4" x14ac:dyDescent="0.3">
      <c r="D1649" t="s">
        <v>1679</v>
      </c>
    </row>
    <row r="1650" spans="4:4" x14ac:dyDescent="0.3">
      <c r="D1650" t="s">
        <v>1680</v>
      </c>
    </row>
    <row r="1651" spans="4:4" x14ac:dyDescent="0.3">
      <c r="D1651" t="s">
        <v>1681</v>
      </c>
    </row>
    <row r="1652" spans="4:4" x14ac:dyDescent="0.3">
      <c r="D1652" t="s">
        <v>1682</v>
      </c>
    </row>
    <row r="1653" spans="4:4" x14ac:dyDescent="0.3">
      <c r="D1653" t="s">
        <v>1683</v>
      </c>
    </row>
    <row r="1654" spans="4:4" x14ac:dyDescent="0.3">
      <c r="D1654" t="s">
        <v>1684</v>
      </c>
    </row>
    <row r="1655" spans="4:4" x14ac:dyDescent="0.3">
      <c r="D1655" t="s">
        <v>1685</v>
      </c>
    </row>
    <row r="1656" spans="4:4" x14ac:dyDescent="0.3">
      <c r="D1656" t="s">
        <v>1686</v>
      </c>
    </row>
    <row r="1657" spans="4:4" x14ac:dyDescent="0.3">
      <c r="D1657" t="s">
        <v>1687</v>
      </c>
    </row>
    <row r="1658" spans="4:4" x14ac:dyDescent="0.3">
      <c r="D1658" t="s">
        <v>1688</v>
      </c>
    </row>
    <row r="1659" spans="4:4" x14ac:dyDescent="0.3">
      <c r="D1659" t="s">
        <v>1689</v>
      </c>
    </row>
    <row r="1660" spans="4:4" x14ac:dyDescent="0.3">
      <c r="D1660" t="s">
        <v>1690</v>
      </c>
    </row>
    <row r="1661" spans="4:4" x14ac:dyDescent="0.3">
      <c r="D1661" t="s">
        <v>1691</v>
      </c>
    </row>
    <row r="1662" spans="4:4" x14ac:dyDescent="0.3">
      <c r="D1662" t="s">
        <v>1692</v>
      </c>
    </row>
    <row r="1663" spans="4:4" x14ac:dyDescent="0.3">
      <c r="D1663" t="s">
        <v>1693</v>
      </c>
    </row>
    <row r="1664" spans="4:4" x14ac:dyDescent="0.3">
      <c r="D1664" t="s">
        <v>1694</v>
      </c>
    </row>
    <row r="1665" spans="4:4" x14ac:dyDescent="0.3">
      <c r="D1665" t="s">
        <v>1695</v>
      </c>
    </row>
    <row r="1666" spans="4:4" x14ac:dyDescent="0.3">
      <c r="D1666" t="s">
        <v>1696</v>
      </c>
    </row>
    <row r="1667" spans="4:4" x14ac:dyDescent="0.3">
      <c r="D1667" t="s">
        <v>1697</v>
      </c>
    </row>
    <row r="1668" spans="4:4" x14ac:dyDescent="0.3">
      <c r="D1668" t="s">
        <v>1698</v>
      </c>
    </row>
    <row r="1669" spans="4:4" x14ac:dyDescent="0.3">
      <c r="D1669" t="s">
        <v>1699</v>
      </c>
    </row>
    <row r="1670" spans="4:4" x14ac:dyDescent="0.3">
      <c r="D1670" t="s">
        <v>1700</v>
      </c>
    </row>
    <row r="1671" spans="4:4" x14ac:dyDescent="0.3">
      <c r="D1671" t="s">
        <v>1701</v>
      </c>
    </row>
    <row r="1672" spans="4:4" x14ac:dyDescent="0.3">
      <c r="D1672" t="s">
        <v>1702</v>
      </c>
    </row>
    <row r="1673" spans="4:4" x14ac:dyDescent="0.3">
      <c r="D1673" t="s">
        <v>1703</v>
      </c>
    </row>
    <row r="1674" spans="4:4" x14ac:dyDescent="0.3">
      <c r="D1674" t="s">
        <v>1704</v>
      </c>
    </row>
    <row r="1675" spans="4:4" x14ac:dyDescent="0.3">
      <c r="D1675" t="s">
        <v>1705</v>
      </c>
    </row>
    <row r="1676" spans="4:4" x14ac:dyDescent="0.3">
      <c r="D1676" t="s">
        <v>1706</v>
      </c>
    </row>
    <row r="1677" spans="4:4" x14ac:dyDescent="0.3">
      <c r="D1677" t="s">
        <v>1707</v>
      </c>
    </row>
    <row r="1678" spans="4:4" x14ac:dyDescent="0.3">
      <c r="D1678" t="s">
        <v>1708</v>
      </c>
    </row>
    <row r="1679" spans="4:4" x14ac:dyDescent="0.3">
      <c r="D1679" t="s">
        <v>1709</v>
      </c>
    </row>
    <row r="1680" spans="4:4" x14ac:dyDescent="0.3">
      <c r="D1680" t="s">
        <v>1710</v>
      </c>
    </row>
    <row r="1681" spans="4:4" x14ac:dyDescent="0.3">
      <c r="D1681" t="s">
        <v>1711</v>
      </c>
    </row>
    <row r="1682" spans="4:4" x14ac:dyDescent="0.3">
      <c r="D1682" t="s">
        <v>1712</v>
      </c>
    </row>
    <row r="1683" spans="4:4" x14ac:dyDescent="0.3">
      <c r="D1683" t="s">
        <v>1713</v>
      </c>
    </row>
    <row r="1684" spans="4:4" x14ac:dyDescent="0.3">
      <c r="D1684" t="s">
        <v>1714</v>
      </c>
    </row>
    <row r="1685" spans="4:4" x14ac:dyDescent="0.3">
      <c r="D1685" t="s">
        <v>1715</v>
      </c>
    </row>
    <row r="1686" spans="4:4" x14ac:dyDescent="0.3">
      <c r="D1686" t="s">
        <v>1716</v>
      </c>
    </row>
    <row r="1687" spans="4:4" x14ac:dyDescent="0.3">
      <c r="D1687" t="s">
        <v>1717</v>
      </c>
    </row>
    <row r="1688" spans="4:4" x14ac:dyDescent="0.3">
      <c r="D1688" t="s">
        <v>1718</v>
      </c>
    </row>
    <row r="1689" spans="4:4" x14ac:dyDescent="0.3">
      <c r="D1689" t="s">
        <v>1719</v>
      </c>
    </row>
    <row r="1690" spans="4:4" x14ac:dyDescent="0.3">
      <c r="D1690" t="s">
        <v>1720</v>
      </c>
    </row>
    <row r="1691" spans="4:4" x14ac:dyDescent="0.3">
      <c r="D1691" t="s">
        <v>1721</v>
      </c>
    </row>
    <row r="1692" spans="4:4" x14ac:dyDescent="0.3">
      <c r="D1692" t="s">
        <v>1722</v>
      </c>
    </row>
    <row r="1693" spans="4:4" x14ac:dyDescent="0.3">
      <c r="D1693" t="s">
        <v>1723</v>
      </c>
    </row>
    <row r="1694" spans="4:4" x14ac:dyDescent="0.3">
      <c r="D1694" t="s">
        <v>1724</v>
      </c>
    </row>
    <row r="1695" spans="4:4" x14ac:dyDescent="0.3">
      <c r="D1695" t="s">
        <v>1725</v>
      </c>
    </row>
    <row r="1696" spans="4:4" x14ac:dyDescent="0.3">
      <c r="D1696" t="s">
        <v>1726</v>
      </c>
    </row>
    <row r="1697" spans="4:4" x14ac:dyDescent="0.3">
      <c r="D1697" t="s">
        <v>1727</v>
      </c>
    </row>
    <row r="1698" spans="4:4" x14ac:dyDescent="0.3">
      <c r="D1698" t="s">
        <v>1728</v>
      </c>
    </row>
    <row r="1699" spans="4:4" x14ac:dyDescent="0.3">
      <c r="D1699" t="s">
        <v>1729</v>
      </c>
    </row>
    <row r="1700" spans="4:4" x14ac:dyDescent="0.3">
      <c r="D1700" t="s">
        <v>1730</v>
      </c>
    </row>
    <row r="1701" spans="4:4" x14ac:dyDescent="0.3">
      <c r="D1701" t="s">
        <v>1731</v>
      </c>
    </row>
    <row r="1702" spans="4:4" x14ac:dyDescent="0.3">
      <c r="D1702" t="s">
        <v>1732</v>
      </c>
    </row>
    <row r="1703" spans="4:4" x14ac:dyDescent="0.3">
      <c r="D1703" t="s">
        <v>1733</v>
      </c>
    </row>
    <row r="1704" spans="4:4" x14ac:dyDescent="0.3">
      <c r="D1704" t="s">
        <v>1734</v>
      </c>
    </row>
    <row r="1705" spans="4:4" x14ac:dyDescent="0.3">
      <c r="D1705" t="s">
        <v>1735</v>
      </c>
    </row>
    <row r="1706" spans="4:4" x14ac:dyDescent="0.3">
      <c r="D1706" t="s">
        <v>1736</v>
      </c>
    </row>
    <row r="1707" spans="4:4" x14ac:dyDescent="0.3">
      <c r="D1707" t="s">
        <v>1737</v>
      </c>
    </row>
    <row r="1708" spans="4:4" x14ac:dyDescent="0.3">
      <c r="D1708" t="s">
        <v>1738</v>
      </c>
    </row>
    <row r="1709" spans="4:4" x14ac:dyDescent="0.3">
      <c r="D1709" t="s">
        <v>1739</v>
      </c>
    </row>
    <row r="1710" spans="4:4" x14ac:dyDescent="0.3">
      <c r="D1710" t="s">
        <v>1740</v>
      </c>
    </row>
    <row r="1711" spans="4:4" x14ac:dyDescent="0.3">
      <c r="D1711" t="s">
        <v>1741</v>
      </c>
    </row>
    <row r="1712" spans="4:4" x14ac:dyDescent="0.3">
      <c r="D1712" t="s">
        <v>1742</v>
      </c>
    </row>
    <row r="1713" spans="4:4" x14ac:dyDescent="0.3">
      <c r="D1713" t="s">
        <v>1743</v>
      </c>
    </row>
    <row r="1714" spans="4:4" x14ac:dyDescent="0.3">
      <c r="D1714" t="s">
        <v>1744</v>
      </c>
    </row>
    <row r="1715" spans="4:4" x14ac:dyDescent="0.3">
      <c r="D1715" t="s">
        <v>1745</v>
      </c>
    </row>
    <row r="1716" spans="4:4" x14ac:dyDescent="0.3">
      <c r="D1716" t="s">
        <v>1746</v>
      </c>
    </row>
    <row r="1717" spans="4:4" x14ac:dyDescent="0.3">
      <c r="D1717" t="s">
        <v>1747</v>
      </c>
    </row>
    <row r="1718" spans="4:4" x14ac:dyDescent="0.3">
      <c r="D1718" t="s">
        <v>1748</v>
      </c>
    </row>
    <row r="1719" spans="4:4" x14ac:dyDescent="0.3">
      <c r="D1719" t="s">
        <v>1749</v>
      </c>
    </row>
    <row r="1720" spans="4:4" x14ac:dyDescent="0.3">
      <c r="D1720" t="s">
        <v>1750</v>
      </c>
    </row>
    <row r="1721" spans="4:4" x14ac:dyDescent="0.3">
      <c r="D1721" t="s">
        <v>1751</v>
      </c>
    </row>
    <row r="1722" spans="4:4" x14ac:dyDescent="0.3">
      <c r="D1722" t="s">
        <v>1752</v>
      </c>
    </row>
    <row r="1723" spans="4:4" x14ac:dyDescent="0.3">
      <c r="D1723" t="s">
        <v>1753</v>
      </c>
    </row>
    <row r="1724" spans="4:4" x14ac:dyDescent="0.3">
      <c r="D1724" t="s">
        <v>1754</v>
      </c>
    </row>
    <row r="1725" spans="4:4" x14ac:dyDescent="0.3">
      <c r="D1725" t="s">
        <v>1755</v>
      </c>
    </row>
    <row r="1726" spans="4:4" x14ac:dyDescent="0.3">
      <c r="D1726" t="s">
        <v>1756</v>
      </c>
    </row>
    <row r="1727" spans="4:4" x14ac:dyDescent="0.3">
      <c r="D1727" t="s">
        <v>1757</v>
      </c>
    </row>
    <row r="1728" spans="4:4" x14ac:dyDescent="0.3">
      <c r="D1728" t="s">
        <v>1758</v>
      </c>
    </row>
    <row r="1729" spans="4:4" x14ac:dyDescent="0.3">
      <c r="D1729" t="s">
        <v>1759</v>
      </c>
    </row>
    <row r="1730" spans="4:4" x14ac:dyDescent="0.3">
      <c r="D1730" t="s">
        <v>1760</v>
      </c>
    </row>
    <row r="1731" spans="4:4" x14ac:dyDescent="0.3">
      <c r="D1731" t="s">
        <v>1761</v>
      </c>
    </row>
    <row r="1732" spans="4:4" x14ac:dyDescent="0.3">
      <c r="D1732" t="s">
        <v>1762</v>
      </c>
    </row>
    <row r="1733" spans="4:4" x14ac:dyDescent="0.3">
      <c r="D1733" t="s">
        <v>1763</v>
      </c>
    </row>
    <row r="1734" spans="4:4" x14ac:dyDescent="0.3">
      <c r="D1734" t="s">
        <v>1764</v>
      </c>
    </row>
    <row r="1735" spans="4:4" x14ac:dyDescent="0.3">
      <c r="D1735" t="s">
        <v>1765</v>
      </c>
    </row>
    <row r="1736" spans="4:4" x14ac:dyDescent="0.3">
      <c r="D1736" t="s">
        <v>1766</v>
      </c>
    </row>
    <row r="1737" spans="4:4" x14ac:dyDescent="0.3">
      <c r="D1737" t="s">
        <v>1767</v>
      </c>
    </row>
    <row r="1738" spans="4:4" x14ac:dyDescent="0.3">
      <c r="D1738" t="s">
        <v>1768</v>
      </c>
    </row>
    <row r="1739" spans="4:4" x14ac:dyDescent="0.3">
      <c r="D1739" t="s">
        <v>1769</v>
      </c>
    </row>
    <row r="1740" spans="4:4" x14ac:dyDescent="0.3">
      <c r="D1740" t="s">
        <v>1770</v>
      </c>
    </row>
    <row r="1741" spans="4:4" x14ac:dyDescent="0.3">
      <c r="D1741" t="s">
        <v>1771</v>
      </c>
    </row>
    <row r="1742" spans="4:4" x14ac:dyDescent="0.3">
      <c r="D1742" t="s">
        <v>1772</v>
      </c>
    </row>
    <row r="1743" spans="4:4" x14ac:dyDescent="0.3">
      <c r="D1743" t="s">
        <v>1773</v>
      </c>
    </row>
    <row r="1744" spans="4:4" x14ac:dyDescent="0.3">
      <c r="D1744" t="s">
        <v>1774</v>
      </c>
    </row>
    <row r="1745" spans="4:4" x14ac:dyDescent="0.3">
      <c r="D1745" t="s">
        <v>1775</v>
      </c>
    </row>
    <row r="1746" spans="4:4" x14ac:dyDescent="0.3">
      <c r="D1746" t="s">
        <v>1776</v>
      </c>
    </row>
    <row r="1747" spans="4:4" x14ac:dyDescent="0.3">
      <c r="D1747" t="s">
        <v>1777</v>
      </c>
    </row>
    <row r="1748" spans="4:4" x14ac:dyDescent="0.3">
      <c r="D1748" t="s">
        <v>1778</v>
      </c>
    </row>
    <row r="1749" spans="4:4" x14ac:dyDescent="0.3">
      <c r="D1749" t="s">
        <v>1779</v>
      </c>
    </row>
    <row r="1750" spans="4:4" x14ac:dyDescent="0.3">
      <c r="D1750" t="s">
        <v>1780</v>
      </c>
    </row>
    <row r="1751" spans="4:4" x14ac:dyDescent="0.3">
      <c r="D1751" t="s">
        <v>1781</v>
      </c>
    </row>
    <row r="1752" spans="4:4" x14ac:dyDescent="0.3">
      <c r="D1752" t="s">
        <v>1782</v>
      </c>
    </row>
    <row r="1753" spans="4:4" x14ac:dyDescent="0.3">
      <c r="D1753" t="s">
        <v>1783</v>
      </c>
    </row>
    <row r="1754" spans="4:4" x14ac:dyDescent="0.3">
      <c r="D1754" t="s">
        <v>1784</v>
      </c>
    </row>
    <row r="1755" spans="4:4" x14ac:dyDescent="0.3">
      <c r="D1755" t="s">
        <v>1785</v>
      </c>
    </row>
    <row r="1756" spans="4:4" x14ac:dyDescent="0.3">
      <c r="D1756" t="s">
        <v>1786</v>
      </c>
    </row>
    <row r="1757" spans="4:4" x14ac:dyDescent="0.3">
      <c r="D1757" t="s">
        <v>1787</v>
      </c>
    </row>
    <row r="1758" spans="4:4" x14ac:dyDescent="0.3">
      <c r="D1758" t="s">
        <v>1788</v>
      </c>
    </row>
    <row r="1759" spans="4:4" x14ac:dyDescent="0.3">
      <c r="D1759" t="s">
        <v>1789</v>
      </c>
    </row>
    <row r="1760" spans="4:4" x14ac:dyDescent="0.3">
      <c r="D1760" t="s">
        <v>1790</v>
      </c>
    </row>
    <row r="1761" spans="4:4" x14ac:dyDescent="0.3">
      <c r="D1761" t="s">
        <v>1791</v>
      </c>
    </row>
    <row r="1762" spans="4:4" x14ac:dyDescent="0.3">
      <c r="D1762" t="s">
        <v>1792</v>
      </c>
    </row>
    <row r="1763" spans="4:4" x14ac:dyDescent="0.3">
      <c r="D1763" t="s">
        <v>1793</v>
      </c>
    </row>
    <row r="1764" spans="4:4" x14ac:dyDescent="0.3">
      <c r="D1764" t="s">
        <v>1794</v>
      </c>
    </row>
    <row r="1765" spans="4:4" x14ac:dyDescent="0.3">
      <c r="D1765" t="s">
        <v>1795</v>
      </c>
    </row>
    <row r="1766" spans="4:4" x14ac:dyDescent="0.3">
      <c r="D1766" t="s">
        <v>1796</v>
      </c>
    </row>
    <row r="1767" spans="4:4" x14ac:dyDescent="0.3">
      <c r="D1767" t="s">
        <v>1797</v>
      </c>
    </row>
    <row r="1768" spans="4:4" x14ac:dyDescent="0.3">
      <c r="D1768" t="s">
        <v>1798</v>
      </c>
    </row>
    <row r="1769" spans="4:4" x14ac:dyDescent="0.3">
      <c r="D1769" t="s">
        <v>1799</v>
      </c>
    </row>
    <row r="1770" spans="4:4" x14ac:dyDescent="0.3">
      <c r="D1770" t="s">
        <v>1800</v>
      </c>
    </row>
    <row r="1771" spans="4:4" x14ac:dyDescent="0.3">
      <c r="D1771" t="s">
        <v>1801</v>
      </c>
    </row>
    <row r="1772" spans="4:4" x14ac:dyDescent="0.3">
      <c r="D1772" t="s">
        <v>1802</v>
      </c>
    </row>
    <row r="1773" spans="4:4" x14ac:dyDescent="0.3">
      <c r="D1773" t="s">
        <v>1803</v>
      </c>
    </row>
    <row r="1774" spans="4:4" x14ac:dyDescent="0.3">
      <c r="D1774" t="s">
        <v>1804</v>
      </c>
    </row>
    <row r="1775" spans="4:4" x14ac:dyDescent="0.3">
      <c r="D1775" t="s">
        <v>1805</v>
      </c>
    </row>
    <row r="1776" spans="4:4" x14ac:dyDescent="0.3">
      <c r="D1776" t="s">
        <v>1806</v>
      </c>
    </row>
    <row r="1777" spans="4:4" x14ac:dyDescent="0.3">
      <c r="D1777" t="s">
        <v>1807</v>
      </c>
    </row>
    <row r="1778" spans="4:4" x14ac:dyDescent="0.3">
      <c r="D1778" t="s">
        <v>1808</v>
      </c>
    </row>
    <row r="1779" spans="4:4" x14ac:dyDescent="0.3">
      <c r="D1779" t="s">
        <v>1809</v>
      </c>
    </row>
    <row r="1780" spans="4:4" x14ac:dyDescent="0.3">
      <c r="D1780" t="s">
        <v>1810</v>
      </c>
    </row>
    <row r="1781" spans="4:4" x14ac:dyDescent="0.3">
      <c r="D1781" t="s">
        <v>1811</v>
      </c>
    </row>
    <row r="1782" spans="4:4" x14ac:dyDescent="0.3">
      <c r="D1782" t="s">
        <v>1812</v>
      </c>
    </row>
    <row r="1783" spans="4:4" x14ac:dyDescent="0.3">
      <c r="D1783" t="s">
        <v>1813</v>
      </c>
    </row>
    <row r="1784" spans="4:4" x14ac:dyDescent="0.3">
      <c r="D1784" t="s">
        <v>1814</v>
      </c>
    </row>
    <row r="1785" spans="4:4" x14ac:dyDescent="0.3">
      <c r="D1785" t="s">
        <v>1815</v>
      </c>
    </row>
    <row r="1786" spans="4:4" x14ac:dyDescent="0.3">
      <c r="D1786" t="s">
        <v>1816</v>
      </c>
    </row>
    <row r="1787" spans="4:4" x14ac:dyDescent="0.3">
      <c r="D1787" t="s">
        <v>1817</v>
      </c>
    </row>
    <row r="1788" spans="4:4" x14ac:dyDescent="0.3">
      <c r="D1788" t="s">
        <v>1818</v>
      </c>
    </row>
    <row r="1789" spans="4:4" x14ac:dyDescent="0.3">
      <c r="D1789" t="s">
        <v>1819</v>
      </c>
    </row>
    <row r="1790" spans="4:4" x14ac:dyDescent="0.3">
      <c r="D1790" t="s">
        <v>1820</v>
      </c>
    </row>
    <row r="1791" spans="4:4" x14ac:dyDescent="0.3">
      <c r="D1791" t="s">
        <v>1821</v>
      </c>
    </row>
    <row r="1792" spans="4:4" x14ac:dyDescent="0.3">
      <c r="D1792" t="s">
        <v>1822</v>
      </c>
    </row>
    <row r="1793" spans="4:4" x14ac:dyDescent="0.3">
      <c r="D1793" t="s">
        <v>1823</v>
      </c>
    </row>
    <row r="1794" spans="4:4" x14ac:dyDescent="0.3">
      <c r="D1794" t="s">
        <v>1824</v>
      </c>
    </row>
    <row r="1795" spans="4:4" x14ac:dyDescent="0.3">
      <c r="D1795" t="s">
        <v>1825</v>
      </c>
    </row>
    <row r="1796" spans="4:4" x14ac:dyDescent="0.3">
      <c r="D1796" t="s">
        <v>1826</v>
      </c>
    </row>
    <row r="1797" spans="4:4" x14ac:dyDescent="0.3">
      <c r="D1797" t="s">
        <v>1827</v>
      </c>
    </row>
    <row r="1798" spans="4:4" x14ac:dyDescent="0.3">
      <c r="D1798" t="s">
        <v>1828</v>
      </c>
    </row>
    <row r="1799" spans="4:4" x14ac:dyDescent="0.3">
      <c r="D1799" t="s">
        <v>1829</v>
      </c>
    </row>
    <row r="1800" spans="4:4" x14ac:dyDescent="0.3">
      <c r="D1800" t="s">
        <v>1830</v>
      </c>
    </row>
    <row r="1801" spans="4:4" x14ac:dyDescent="0.3">
      <c r="D1801" t="s">
        <v>1831</v>
      </c>
    </row>
    <row r="1802" spans="4:4" x14ac:dyDescent="0.3">
      <c r="D1802" t="s">
        <v>1832</v>
      </c>
    </row>
    <row r="1803" spans="4:4" x14ac:dyDescent="0.3">
      <c r="D1803" t="s">
        <v>1833</v>
      </c>
    </row>
    <row r="1804" spans="4:4" x14ac:dyDescent="0.3">
      <c r="D1804" t="s">
        <v>1834</v>
      </c>
    </row>
    <row r="1805" spans="4:4" x14ac:dyDescent="0.3">
      <c r="D1805" t="s">
        <v>1835</v>
      </c>
    </row>
    <row r="1806" spans="4:4" x14ac:dyDescent="0.3">
      <c r="D1806" t="s">
        <v>1836</v>
      </c>
    </row>
    <row r="1807" spans="4:4" x14ac:dyDescent="0.3">
      <c r="D1807" t="s">
        <v>1837</v>
      </c>
    </row>
    <row r="1808" spans="4:4" x14ac:dyDescent="0.3">
      <c r="D1808" t="s">
        <v>1838</v>
      </c>
    </row>
    <row r="1809" spans="4:4" x14ac:dyDescent="0.3">
      <c r="D1809" t="s">
        <v>1839</v>
      </c>
    </row>
    <row r="1810" spans="4:4" x14ac:dyDescent="0.3">
      <c r="D1810" t="s">
        <v>1840</v>
      </c>
    </row>
    <row r="1811" spans="4:4" x14ac:dyDescent="0.3">
      <c r="D1811" t="s">
        <v>1841</v>
      </c>
    </row>
    <row r="1812" spans="4:4" x14ac:dyDescent="0.3">
      <c r="D1812" t="s">
        <v>1842</v>
      </c>
    </row>
    <row r="1813" spans="4:4" x14ac:dyDescent="0.3">
      <c r="D1813" t="s">
        <v>1843</v>
      </c>
    </row>
    <row r="1814" spans="4:4" x14ac:dyDescent="0.3">
      <c r="D1814" t="s">
        <v>1844</v>
      </c>
    </row>
    <row r="1815" spans="4:4" x14ac:dyDescent="0.3">
      <c r="D1815" t="s">
        <v>1845</v>
      </c>
    </row>
    <row r="1816" spans="4:4" x14ac:dyDescent="0.3">
      <c r="D1816" t="s">
        <v>1846</v>
      </c>
    </row>
    <row r="1817" spans="4:4" x14ac:dyDescent="0.3">
      <c r="D1817" t="s">
        <v>1847</v>
      </c>
    </row>
    <row r="1818" spans="4:4" x14ac:dyDescent="0.3">
      <c r="D1818" t="s">
        <v>1848</v>
      </c>
    </row>
    <row r="1819" spans="4:4" x14ac:dyDescent="0.3">
      <c r="D1819" t="s">
        <v>1849</v>
      </c>
    </row>
    <row r="1820" spans="4:4" x14ac:dyDescent="0.3">
      <c r="D1820" t="s">
        <v>1850</v>
      </c>
    </row>
    <row r="1821" spans="4:4" x14ac:dyDescent="0.3">
      <c r="D1821" t="s">
        <v>1851</v>
      </c>
    </row>
    <row r="1822" spans="4:4" x14ac:dyDescent="0.3">
      <c r="D1822" t="s">
        <v>1852</v>
      </c>
    </row>
    <row r="1823" spans="4:4" x14ac:dyDescent="0.3">
      <c r="D1823" t="s">
        <v>1853</v>
      </c>
    </row>
    <row r="1824" spans="4:4" x14ac:dyDescent="0.3">
      <c r="D1824" t="s">
        <v>1854</v>
      </c>
    </row>
    <row r="1825" spans="4:4" x14ac:dyDescent="0.3">
      <c r="D1825" t="s">
        <v>1855</v>
      </c>
    </row>
    <row r="1826" spans="4:4" x14ac:dyDescent="0.3">
      <c r="D1826" t="s">
        <v>1856</v>
      </c>
    </row>
    <row r="1827" spans="4:4" x14ac:dyDescent="0.3">
      <c r="D1827" t="s">
        <v>1857</v>
      </c>
    </row>
    <row r="1828" spans="4:4" x14ac:dyDescent="0.3">
      <c r="D1828" t="s">
        <v>1858</v>
      </c>
    </row>
    <row r="1829" spans="4:4" x14ac:dyDescent="0.3">
      <c r="D1829" t="s">
        <v>1859</v>
      </c>
    </row>
    <row r="1830" spans="4:4" x14ac:dyDescent="0.3">
      <c r="D1830" t="s">
        <v>1860</v>
      </c>
    </row>
    <row r="1831" spans="4:4" x14ac:dyDescent="0.3">
      <c r="D1831" t="s">
        <v>1861</v>
      </c>
    </row>
    <row r="1832" spans="4:4" x14ac:dyDescent="0.3">
      <c r="D1832" t="s">
        <v>1862</v>
      </c>
    </row>
    <row r="1833" spans="4:4" x14ac:dyDescent="0.3">
      <c r="D1833" t="s">
        <v>1863</v>
      </c>
    </row>
    <row r="1834" spans="4:4" x14ac:dyDescent="0.3">
      <c r="D1834" t="s">
        <v>1864</v>
      </c>
    </row>
    <row r="1835" spans="4:4" x14ac:dyDescent="0.3">
      <c r="D1835" t="s">
        <v>1865</v>
      </c>
    </row>
    <row r="1836" spans="4:4" x14ac:dyDescent="0.3">
      <c r="D1836" t="s">
        <v>1866</v>
      </c>
    </row>
    <row r="1837" spans="4:4" x14ac:dyDescent="0.3">
      <c r="D1837" t="s">
        <v>1867</v>
      </c>
    </row>
    <row r="1838" spans="4:4" x14ac:dyDescent="0.3">
      <c r="D1838" t="s">
        <v>1868</v>
      </c>
    </row>
    <row r="1839" spans="4:4" x14ac:dyDescent="0.3">
      <c r="D1839" t="s">
        <v>1869</v>
      </c>
    </row>
    <row r="1840" spans="4:4" x14ac:dyDescent="0.3">
      <c r="D1840" t="s">
        <v>1870</v>
      </c>
    </row>
    <row r="1841" spans="4:4" x14ac:dyDescent="0.3">
      <c r="D1841" t="s">
        <v>1871</v>
      </c>
    </row>
    <row r="1842" spans="4:4" x14ac:dyDescent="0.3">
      <c r="D1842" t="s">
        <v>1872</v>
      </c>
    </row>
    <row r="1843" spans="4:4" x14ac:dyDescent="0.3">
      <c r="D1843" t="s">
        <v>1873</v>
      </c>
    </row>
    <row r="1844" spans="4:4" x14ac:dyDescent="0.3">
      <c r="D1844" t="s">
        <v>1874</v>
      </c>
    </row>
    <row r="1845" spans="4:4" x14ac:dyDescent="0.3">
      <c r="D1845" t="s">
        <v>1875</v>
      </c>
    </row>
    <row r="1846" spans="4:4" x14ac:dyDescent="0.3">
      <c r="D1846" t="s">
        <v>1876</v>
      </c>
    </row>
    <row r="1847" spans="4:4" x14ac:dyDescent="0.3">
      <c r="D1847" t="s">
        <v>1877</v>
      </c>
    </row>
    <row r="1848" spans="4:4" x14ac:dyDescent="0.3">
      <c r="D1848" t="s">
        <v>1878</v>
      </c>
    </row>
    <row r="1849" spans="4:4" x14ac:dyDescent="0.3">
      <c r="D1849" t="s">
        <v>1879</v>
      </c>
    </row>
    <row r="1850" spans="4:4" x14ac:dyDescent="0.3">
      <c r="D1850" t="s">
        <v>1880</v>
      </c>
    </row>
    <row r="1851" spans="4:4" x14ac:dyDescent="0.3">
      <c r="D1851" t="s">
        <v>1881</v>
      </c>
    </row>
    <row r="1852" spans="4:4" x14ac:dyDescent="0.3">
      <c r="D1852" t="s">
        <v>1882</v>
      </c>
    </row>
    <row r="1853" spans="4:4" x14ac:dyDescent="0.3">
      <c r="D1853" t="s">
        <v>1883</v>
      </c>
    </row>
    <row r="1854" spans="4:4" x14ac:dyDescent="0.3">
      <c r="D1854" t="s">
        <v>1884</v>
      </c>
    </row>
    <row r="1855" spans="4:4" x14ac:dyDescent="0.3">
      <c r="D1855" t="s">
        <v>1885</v>
      </c>
    </row>
    <row r="1856" spans="4:4" x14ac:dyDescent="0.3">
      <c r="D1856" t="s">
        <v>1886</v>
      </c>
    </row>
    <row r="1857" spans="4:4" x14ac:dyDescent="0.3">
      <c r="D1857" t="s">
        <v>1887</v>
      </c>
    </row>
    <row r="1858" spans="4:4" x14ac:dyDescent="0.3">
      <c r="D1858" t="s">
        <v>1888</v>
      </c>
    </row>
    <row r="1859" spans="4:4" x14ac:dyDescent="0.3">
      <c r="D1859" t="s">
        <v>1889</v>
      </c>
    </row>
    <row r="1860" spans="4:4" x14ac:dyDescent="0.3">
      <c r="D1860" t="s">
        <v>1890</v>
      </c>
    </row>
    <row r="1861" spans="4:4" x14ac:dyDescent="0.3">
      <c r="D1861" t="s">
        <v>1891</v>
      </c>
    </row>
    <row r="1862" spans="4:4" x14ac:dyDescent="0.3">
      <c r="D1862" t="s">
        <v>1892</v>
      </c>
    </row>
    <row r="1863" spans="4:4" x14ac:dyDescent="0.3">
      <c r="D1863" t="s">
        <v>1893</v>
      </c>
    </row>
    <row r="1864" spans="4:4" x14ac:dyDescent="0.3">
      <c r="D1864" t="s">
        <v>1894</v>
      </c>
    </row>
    <row r="1865" spans="4:4" x14ac:dyDescent="0.3">
      <c r="D1865" t="s">
        <v>1895</v>
      </c>
    </row>
    <row r="1866" spans="4:4" x14ac:dyDescent="0.3">
      <c r="D1866" t="s">
        <v>1896</v>
      </c>
    </row>
    <row r="1867" spans="4:4" x14ac:dyDescent="0.3">
      <c r="D1867" t="s">
        <v>1897</v>
      </c>
    </row>
    <row r="1868" spans="4:4" x14ac:dyDescent="0.3">
      <c r="D1868" t="s">
        <v>1898</v>
      </c>
    </row>
    <row r="1869" spans="4:4" x14ac:dyDescent="0.3">
      <c r="D1869" t="s">
        <v>1899</v>
      </c>
    </row>
    <row r="1870" spans="4:4" x14ac:dyDescent="0.3">
      <c r="D1870" t="s">
        <v>1900</v>
      </c>
    </row>
    <row r="1871" spans="4:4" x14ac:dyDescent="0.3">
      <c r="D1871" t="s">
        <v>1901</v>
      </c>
    </row>
    <row r="1872" spans="4:4" x14ac:dyDescent="0.3">
      <c r="D1872" t="s">
        <v>1902</v>
      </c>
    </row>
    <row r="1873" spans="4:4" x14ac:dyDescent="0.3">
      <c r="D1873" t="s">
        <v>1903</v>
      </c>
    </row>
    <row r="1874" spans="4:4" x14ac:dyDescent="0.3">
      <c r="D1874" t="s">
        <v>1904</v>
      </c>
    </row>
    <row r="1875" spans="4:4" x14ac:dyDescent="0.3">
      <c r="D1875" t="s">
        <v>1905</v>
      </c>
    </row>
    <row r="1876" spans="4:4" x14ac:dyDescent="0.3">
      <c r="D1876" t="s">
        <v>1906</v>
      </c>
    </row>
    <row r="1877" spans="4:4" x14ac:dyDescent="0.3">
      <c r="D1877" t="s">
        <v>1907</v>
      </c>
    </row>
    <row r="1878" spans="4:4" x14ac:dyDescent="0.3">
      <c r="D1878" t="s">
        <v>1908</v>
      </c>
    </row>
    <row r="1879" spans="4:4" x14ac:dyDescent="0.3">
      <c r="D1879" t="s">
        <v>1909</v>
      </c>
    </row>
    <row r="1880" spans="4:4" x14ac:dyDescent="0.3">
      <c r="D1880" t="s">
        <v>1910</v>
      </c>
    </row>
    <row r="1881" spans="4:4" x14ac:dyDescent="0.3">
      <c r="D1881" t="s">
        <v>1911</v>
      </c>
    </row>
    <row r="1882" spans="4:4" x14ac:dyDescent="0.3">
      <c r="D1882" t="s">
        <v>1912</v>
      </c>
    </row>
    <row r="1883" spans="4:4" x14ac:dyDescent="0.3">
      <c r="D1883" t="s">
        <v>1913</v>
      </c>
    </row>
    <row r="1884" spans="4:4" x14ac:dyDescent="0.3">
      <c r="D1884" t="s">
        <v>1914</v>
      </c>
    </row>
    <row r="1885" spans="4:4" x14ac:dyDescent="0.3">
      <c r="D1885" t="s">
        <v>1915</v>
      </c>
    </row>
    <row r="1886" spans="4:4" x14ac:dyDescent="0.3">
      <c r="D1886" t="s">
        <v>1916</v>
      </c>
    </row>
    <row r="1887" spans="4:4" x14ac:dyDescent="0.3">
      <c r="D1887" t="s">
        <v>1917</v>
      </c>
    </row>
    <row r="1888" spans="4:4" x14ac:dyDescent="0.3">
      <c r="D1888" t="s">
        <v>1918</v>
      </c>
    </row>
    <row r="1889" spans="4:4" x14ac:dyDescent="0.3">
      <c r="D1889" t="s">
        <v>1919</v>
      </c>
    </row>
    <row r="1890" spans="4:4" x14ac:dyDescent="0.3">
      <c r="D1890" t="s">
        <v>1920</v>
      </c>
    </row>
    <row r="1891" spans="4:4" x14ac:dyDescent="0.3">
      <c r="D1891" t="s">
        <v>1921</v>
      </c>
    </row>
    <row r="1892" spans="4:4" x14ac:dyDescent="0.3">
      <c r="D1892" t="s">
        <v>1922</v>
      </c>
    </row>
    <row r="1893" spans="4:4" x14ac:dyDescent="0.3">
      <c r="D1893" t="s">
        <v>1923</v>
      </c>
    </row>
    <row r="1894" spans="4:4" x14ac:dyDescent="0.3">
      <c r="D1894" t="s">
        <v>1924</v>
      </c>
    </row>
    <row r="1895" spans="4:4" x14ac:dyDescent="0.3">
      <c r="D1895" t="s">
        <v>1925</v>
      </c>
    </row>
    <row r="1896" spans="4:4" x14ac:dyDescent="0.3">
      <c r="D1896" t="s">
        <v>1926</v>
      </c>
    </row>
    <row r="1897" spans="4:4" x14ac:dyDescent="0.3">
      <c r="D1897" t="s">
        <v>1927</v>
      </c>
    </row>
    <row r="1898" spans="4:4" x14ac:dyDescent="0.3">
      <c r="D1898" t="s">
        <v>1928</v>
      </c>
    </row>
    <row r="1899" spans="4:4" x14ac:dyDescent="0.3">
      <c r="D1899" t="s">
        <v>1929</v>
      </c>
    </row>
    <row r="1900" spans="4:4" x14ac:dyDescent="0.3">
      <c r="D1900" t="s">
        <v>1930</v>
      </c>
    </row>
    <row r="1901" spans="4:4" x14ac:dyDescent="0.3">
      <c r="D1901" t="s">
        <v>1931</v>
      </c>
    </row>
    <row r="1902" spans="4:4" x14ac:dyDescent="0.3">
      <c r="D1902" t="s">
        <v>1932</v>
      </c>
    </row>
    <row r="1903" spans="4:4" x14ac:dyDescent="0.3">
      <c r="D1903" t="s">
        <v>1933</v>
      </c>
    </row>
    <row r="1904" spans="4:4" x14ac:dyDescent="0.3">
      <c r="D1904" t="s">
        <v>1934</v>
      </c>
    </row>
    <row r="1905" spans="4:4" x14ac:dyDescent="0.3">
      <c r="D1905" t="s">
        <v>1935</v>
      </c>
    </row>
    <row r="1906" spans="4:4" x14ac:dyDescent="0.3">
      <c r="D1906" t="s">
        <v>1936</v>
      </c>
    </row>
    <row r="1907" spans="4:4" x14ac:dyDescent="0.3">
      <c r="D1907" t="s">
        <v>1937</v>
      </c>
    </row>
    <row r="1908" spans="4:4" x14ac:dyDescent="0.3">
      <c r="D1908" t="s">
        <v>1938</v>
      </c>
    </row>
    <row r="1909" spans="4:4" x14ac:dyDescent="0.3">
      <c r="D1909" t="s">
        <v>1939</v>
      </c>
    </row>
    <row r="1910" spans="4:4" x14ac:dyDescent="0.3">
      <c r="D1910" t="s">
        <v>1940</v>
      </c>
    </row>
    <row r="1911" spans="4:4" x14ac:dyDescent="0.3">
      <c r="D1911" t="s">
        <v>1941</v>
      </c>
    </row>
    <row r="1912" spans="4:4" x14ac:dyDescent="0.3">
      <c r="D1912" t="s">
        <v>1942</v>
      </c>
    </row>
    <row r="1913" spans="4:4" x14ac:dyDescent="0.3">
      <c r="D1913" t="s">
        <v>1943</v>
      </c>
    </row>
    <row r="1914" spans="4:4" x14ac:dyDescent="0.3">
      <c r="D1914" t="s">
        <v>1944</v>
      </c>
    </row>
    <row r="1915" spans="4:4" x14ac:dyDescent="0.3">
      <c r="D1915" t="s">
        <v>1945</v>
      </c>
    </row>
    <row r="1916" spans="4:4" x14ac:dyDescent="0.3">
      <c r="D1916" t="s">
        <v>1946</v>
      </c>
    </row>
    <row r="1917" spans="4:4" x14ac:dyDescent="0.3">
      <c r="D1917" t="s">
        <v>1947</v>
      </c>
    </row>
    <row r="1918" spans="4:4" x14ac:dyDescent="0.3">
      <c r="D1918" t="s">
        <v>1948</v>
      </c>
    </row>
    <row r="1919" spans="4:4" x14ac:dyDescent="0.3">
      <c r="D1919" t="s">
        <v>1949</v>
      </c>
    </row>
    <row r="1920" spans="4:4" x14ac:dyDescent="0.3">
      <c r="D1920" t="s">
        <v>1950</v>
      </c>
    </row>
    <row r="1921" spans="4:4" x14ac:dyDescent="0.3">
      <c r="D1921" t="s">
        <v>1951</v>
      </c>
    </row>
    <row r="1922" spans="4:4" x14ac:dyDescent="0.3">
      <c r="D1922" t="s">
        <v>1952</v>
      </c>
    </row>
    <row r="1923" spans="4:4" x14ac:dyDescent="0.3">
      <c r="D1923" t="s">
        <v>1953</v>
      </c>
    </row>
    <row r="1924" spans="4:4" x14ac:dyDescent="0.3">
      <c r="D1924" t="s">
        <v>1954</v>
      </c>
    </row>
    <row r="1925" spans="4:4" x14ac:dyDescent="0.3">
      <c r="D1925" t="s">
        <v>1955</v>
      </c>
    </row>
    <row r="1926" spans="4:4" x14ac:dyDescent="0.3">
      <c r="D1926" t="s">
        <v>1956</v>
      </c>
    </row>
    <row r="1927" spans="4:4" x14ac:dyDescent="0.3">
      <c r="D1927" t="s">
        <v>1957</v>
      </c>
    </row>
    <row r="1928" spans="4:4" x14ac:dyDescent="0.3">
      <c r="D1928" t="s">
        <v>1958</v>
      </c>
    </row>
    <row r="1929" spans="4:4" x14ac:dyDescent="0.3">
      <c r="D1929" t="s">
        <v>1959</v>
      </c>
    </row>
    <row r="1930" spans="4:4" x14ac:dyDescent="0.3">
      <c r="D1930" t="s">
        <v>1960</v>
      </c>
    </row>
    <row r="1931" spans="4:4" x14ac:dyDescent="0.3">
      <c r="D1931" t="s">
        <v>1961</v>
      </c>
    </row>
    <row r="1932" spans="4:4" x14ac:dyDescent="0.3">
      <c r="D1932" t="s">
        <v>1962</v>
      </c>
    </row>
    <row r="1933" spans="4:4" x14ac:dyDescent="0.3">
      <c r="D1933" t="s">
        <v>1963</v>
      </c>
    </row>
    <row r="1934" spans="4:4" x14ac:dyDescent="0.3">
      <c r="D1934" t="s">
        <v>1964</v>
      </c>
    </row>
    <row r="1935" spans="4:4" x14ac:dyDescent="0.3">
      <c r="D1935" t="s">
        <v>1965</v>
      </c>
    </row>
    <row r="1936" spans="4:4" x14ac:dyDescent="0.3">
      <c r="D1936" t="s">
        <v>1966</v>
      </c>
    </row>
    <row r="1937" spans="4:4" x14ac:dyDescent="0.3">
      <c r="D1937" t="s">
        <v>1967</v>
      </c>
    </row>
    <row r="1938" spans="4:4" x14ac:dyDescent="0.3">
      <c r="D1938" t="s">
        <v>1968</v>
      </c>
    </row>
    <row r="1939" spans="4:4" x14ac:dyDescent="0.3">
      <c r="D1939" t="s">
        <v>1969</v>
      </c>
    </row>
    <row r="1940" spans="4:4" x14ac:dyDescent="0.3">
      <c r="D1940" t="s">
        <v>1970</v>
      </c>
    </row>
    <row r="1941" spans="4:4" x14ac:dyDescent="0.3">
      <c r="D1941" t="s">
        <v>1971</v>
      </c>
    </row>
    <row r="1942" spans="4:4" x14ac:dyDescent="0.3">
      <c r="D1942" t="s">
        <v>1972</v>
      </c>
    </row>
    <row r="1943" spans="4:4" x14ac:dyDescent="0.3">
      <c r="D1943" t="s">
        <v>1973</v>
      </c>
    </row>
    <row r="1944" spans="4:4" x14ac:dyDescent="0.3">
      <c r="D1944" t="s">
        <v>1974</v>
      </c>
    </row>
    <row r="1945" spans="4:4" x14ac:dyDescent="0.3">
      <c r="D1945" t="s">
        <v>1975</v>
      </c>
    </row>
    <row r="1946" spans="4:4" x14ac:dyDescent="0.3">
      <c r="D1946" t="s">
        <v>1976</v>
      </c>
    </row>
    <row r="1947" spans="4:4" x14ac:dyDescent="0.3">
      <c r="D1947" t="s">
        <v>1977</v>
      </c>
    </row>
    <row r="1948" spans="4:4" x14ac:dyDescent="0.3">
      <c r="D1948" t="s">
        <v>1978</v>
      </c>
    </row>
    <row r="1949" spans="4:4" x14ac:dyDescent="0.3">
      <c r="D1949" t="s">
        <v>1979</v>
      </c>
    </row>
    <row r="1950" spans="4:4" x14ac:dyDescent="0.3">
      <c r="D1950" t="s">
        <v>1980</v>
      </c>
    </row>
    <row r="1951" spans="4:4" x14ac:dyDescent="0.3">
      <c r="D1951" t="s">
        <v>1981</v>
      </c>
    </row>
    <row r="1952" spans="4:4" x14ac:dyDescent="0.3">
      <c r="D1952" t="s">
        <v>1982</v>
      </c>
    </row>
    <row r="1953" spans="4:4" x14ac:dyDescent="0.3">
      <c r="D1953" t="s">
        <v>1983</v>
      </c>
    </row>
    <row r="1954" spans="4:4" x14ac:dyDescent="0.3">
      <c r="D1954" t="s">
        <v>1984</v>
      </c>
    </row>
    <row r="1955" spans="4:4" x14ac:dyDescent="0.3">
      <c r="D1955" t="s">
        <v>1985</v>
      </c>
    </row>
    <row r="1956" spans="4:4" x14ac:dyDescent="0.3">
      <c r="D1956" t="s">
        <v>1986</v>
      </c>
    </row>
    <row r="1957" spans="4:4" x14ac:dyDescent="0.3">
      <c r="D1957" t="s">
        <v>1987</v>
      </c>
    </row>
    <row r="1958" spans="4:4" x14ac:dyDescent="0.3">
      <c r="D1958" t="s">
        <v>1988</v>
      </c>
    </row>
    <row r="1959" spans="4:4" x14ac:dyDescent="0.3">
      <c r="D1959" t="s">
        <v>1989</v>
      </c>
    </row>
    <row r="1960" spans="4:4" x14ac:dyDescent="0.3">
      <c r="D1960" t="s">
        <v>1990</v>
      </c>
    </row>
    <row r="1961" spans="4:4" x14ac:dyDescent="0.3">
      <c r="D1961" t="s">
        <v>1991</v>
      </c>
    </row>
    <row r="1962" spans="4:4" x14ac:dyDescent="0.3">
      <c r="D1962" t="s">
        <v>1992</v>
      </c>
    </row>
    <row r="1963" spans="4:4" x14ac:dyDescent="0.3">
      <c r="D1963" t="s">
        <v>1993</v>
      </c>
    </row>
    <row r="1964" spans="4:4" x14ac:dyDescent="0.3">
      <c r="D1964" t="s">
        <v>1994</v>
      </c>
    </row>
    <row r="1965" spans="4:4" x14ac:dyDescent="0.3">
      <c r="D1965" t="s">
        <v>1995</v>
      </c>
    </row>
    <row r="1966" spans="4:4" x14ac:dyDescent="0.3">
      <c r="D1966" t="s">
        <v>1996</v>
      </c>
    </row>
    <row r="1967" spans="4:4" x14ac:dyDescent="0.3">
      <c r="D1967" t="s">
        <v>1997</v>
      </c>
    </row>
    <row r="1968" spans="4:4" x14ac:dyDescent="0.3">
      <c r="D1968" t="s">
        <v>1998</v>
      </c>
    </row>
    <row r="1969" spans="4:4" x14ac:dyDescent="0.3">
      <c r="D1969" t="s">
        <v>1999</v>
      </c>
    </row>
    <row r="1970" spans="4:4" x14ac:dyDescent="0.3">
      <c r="D1970" t="s">
        <v>2000</v>
      </c>
    </row>
    <row r="1971" spans="4:4" x14ac:dyDescent="0.3">
      <c r="D1971" t="s">
        <v>2001</v>
      </c>
    </row>
    <row r="1972" spans="4:4" x14ac:dyDescent="0.3">
      <c r="D1972" t="s">
        <v>2002</v>
      </c>
    </row>
    <row r="1973" spans="4:4" x14ac:dyDescent="0.3">
      <c r="D1973" t="s">
        <v>2003</v>
      </c>
    </row>
    <row r="1974" spans="4:4" x14ac:dyDescent="0.3">
      <c r="D1974" t="s">
        <v>2004</v>
      </c>
    </row>
    <row r="1975" spans="4:4" x14ac:dyDescent="0.3">
      <c r="D1975" t="s">
        <v>2005</v>
      </c>
    </row>
    <row r="1976" spans="4:4" x14ac:dyDescent="0.3">
      <c r="D1976" t="s">
        <v>2006</v>
      </c>
    </row>
    <row r="1977" spans="4:4" x14ac:dyDescent="0.3">
      <c r="D1977" t="s">
        <v>2007</v>
      </c>
    </row>
    <row r="1978" spans="4:4" x14ac:dyDescent="0.3">
      <c r="D1978" t="s">
        <v>2008</v>
      </c>
    </row>
    <row r="1979" spans="4:4" x14ac:dyDescent="0.3">
      <c r="D1979" t="s">
        <v>2009</v>
      </c>
    </row>
    <row r="1980" spans="4:4" x14ac:dyDescent="0.3">
      <c r="D1980" t="s">
        <v>2010</v>
      </c>
    </row>
    <row r="1981" spans="4:4" x14ac:dyDescent="0.3">
      <c r="D1981" t="s">
        <v>2011</v>
      </c>
    </row>
    <row r="1982" spans="4:4" x14ac:dyDescent="0.3">
      <c r="D1982" t="s">
        <v>2012</v>
      </c>
    </row>
    <row r="1983" spans="4:4" x14ac:dyDescent="0.3">
      <c r="D1983" t="s">
        <v>2013</v>
      </c>
    </row>
    <row r="1984" spans="4:4" x14ac:dyDescent="0.3">
      <c r="D1984" t="s">
        <v>2014</v>
      </c>
    </row>
    <row r="1985" spans="4:4" x14ac:dyDescent="0.3">
      <c r="D1985" t="s">
        <v>2015</v>
      </c>
    </row>
    <row r="1986" spans="4:4" x14ac:dyDescent="0.3">
      <c r="D1986" t="s">
        <v>2016</v>
      </c>
    </row>
    <row r="1987" spans="4:4" x14ac:dyDescent="0.3">
      <c r="D1987" t="s">
        <v>2017</v>
      </c>
    </row>
    <row r="1988" spans="4:4" x14ac:dyDescent="0.3">
      <c r="D1988" t="s">
        <v>2018</v>
      </c>
    </row>
    <row r="1989" spans="4:4" x14ac:dyDescent="0.3">
      <c r="D1989" t="s">
        <v>2019</v>
      </c>
    </row>
    <row r="1990" spans="4:4" x14ac:dyDescent="0.3">
      <c r="D1990" t="s">
        <v>2020</v>
      </c>
    </row>
    <row r="1991" spans="4:4" x14ac:dyDescent="0.3">
      <c r="D1991" t="s">
        <v>2021</v>
      </c>
    </row>
    <row r="1992" spans="4:4" x14ac:dyDescent="0.3">
      <c r="D1992" t="s">
        <v>2022</v>
      </c>
    </row>
    <row r="1993" spans="4:4" x14ac:dyDescent="0.3">
      <c r="D1993" t="s">
        <v>2023</v>
      </c>
    </row>
    <row r="1994" spans="4:4" x14ac:dyDescent="0.3">
      <c r="D1994" t="s">
        <v>2024</v>
      </c>
    </row>
    <row r="1995" spans="4:4" x14ac:dyDescent="0.3">
      <c r="D1995" t="s">
        <v>2025</v>
      </c>
    </row>
    <row r="1996" spans="4:4" x14ac:dyDescent="0.3">
      <c r="D1996" t="s">
        <v>2026</v>
      </c>
    </row>
    <row r="1997" spans="4:4" x14ac:dyDescent="0.3">
      <c r="D1997" t="s">
        <v>2027</v>
      </c>
    </row>
    <row r="1998" spans="4:4" x14ac:dyDescent="0.3">
      <c r="D1998" t="s">
        <v>2028</v>
      </c>
    </row>
    <row r="1999" spans="4:4" x14ac:dyDescent="0.3">
      <c r="D1999" t="s">
        <v>2029</v>
      </c>
    </row>
    <row r="2000" spans="4:4" x14ac:dyDescent="0.3">
      <c r="D2000" t="s">
        <v>2030</v>
      </c>
    </row>
    <row r="2001" spans="4:4" x14ac:dyDescent="0.3">
      <c r="D2001" t="s">
        <v>2031</v>
      </c>
    </row>
    <row r="2002" spans="4:4" x14ac:dyDescent="0.3">
      <c r="D2002" t="s">
        <v>2032</v>
      </c>
    </row>
    <row r="2003" spans="4:4" x14ac:dyDescent="0.3">
      <c r="D2003" t="s">
        <v>2033</v>
      </c>
    </row>
    <row r="2004" spans="4:4" x14ac:dyDescent="0.3">
      <c r="D2004" t="s">
        <v>2034</v>
      </c>
    </row>
    <row r="2005" spans="4:4" x14ac:dyDescent="0.3">
      <c r="D2005" t="s">
        <v>2035</v>
      </c>
    </row>
    <row r="2006" spans="4:4" x14ac:dyDescent="0.3">
      <c r="D2006" t="s">
        <v>2036</v>
      </c>
    </row>
    <row r="2007" spans="4:4" x14ac:dyDescent="0.3">
      <c r="D2007" t="s">
        <v>2037</v>
      </c>
    </row>
    <row r="2008" spans="4:4" x14ac:dyDescent="0.3">
      <c r="D2008" t="s">
        <v>2038</v>
      </c>
    </row>
    <row r="2009" spans="4:4" x14ac:dyDescent="0.3">
      <c r="D2009" t="s">
        <v>2039</v>
      </c>
    </row>
    <row r="2010" spans="4:4" x14ac:dyDescent="0.3">
      <c r="D2010" t="s">
        <v>2040</v>
      </c>
    </row>
    <row r="2011" spans="4:4" x14ac:dyDescent="0.3">
      <c r="D2011" t="s">
        <v>2041</v>
      </c>
    </row>
    <row r="2012" spans="4:4" x14ac:dyDescent="0.3">
      <c r="D2012" t="s">
        <v>2042</v>
      </c>
    </row>
    <row r="2013" spans="4:4" x14ac:dyDescent="0.3">
      <c r="D2013" t="s">
        <v>2043</v>
      </c>
    </row>
    <row r="2014" spans="4:4" x14ac:dyDescent="0.3">
      <c r="D2014" t="s">
        <v>2044</v>
      </c>
    </row>
    <row r="2015" spans="4:4" x14ac:dyDescent="0.3">
      <c r="D2015" t="s">
        <v>2045</v>
      </c>
    </row>
    <row r="2016" spans="4:4" x14ac:dyDescent="0.3">
      <c r="D2016" t="s">
        <v>2046</v>
      </c>
    </row>
    <row r="2017" spans="4:4" x14ac:dyDescent="0.3">
      <c r="D2017" t="s">
        <v>2047</v>
      </c>
    </row>
    <row r="2018" spans="4:4" x14ac:dyDescent="0.3">
      <c r="D2018" t="s">
        <v>2048</v>
      </c>
    </row>
    <row r="2019" spans="4:4" x14ac:dyDescent="0.3">
      <c r="D2019" t="s">
        <v>2049</v>
      </c>
    </row>
    <row r="2020" spans="4:4" x14ac:dyDescent="0.3">
      <c r="D2020" t="s">
        <v>2050</v>
      </c>
    </row>
    <row r="2021" spans="4:4" x14ac:dyDescent="0.3">
      <c r="D2021" t="s">
        <v>2051</v>
      </c>
    </row>
    <row r="2022" spans="4:4" x14ac:dyDescent="0.3">
      <c r="D2022" t="s">
        <v>2052</v>
      </c>
    </row>
    <row r="2023" spans="4:4" x14ac:dyDescent="0.3">
      <c r="D2023" t="s">
        <v>2053</v>
      </c>
    </row>
    <row r="2024" spans="4:4" x14ac:dyDescent="0.3">
      <c r="D2024" t="s">
        <v>2054</v>
      </c>
    </row>
    <row r="2025" spans="4:4" x14ac:dyDescent="0.3">
      <c r="D2025" t="s">
        <v>2055</v>
      </c>
    </row>
    <row r="2026" spans="4:4" x14ac:dyDescent="0.3">
      <c r="D2026" t="s">
        <v>2056</v>
      </c>
    </row>
    <row r="2027" spans="4:4" x14ac:dyDescent="0.3">
      <c r="D2027" t="s">
        <v>2057</v>
      </c>
    </row>
    <row r="2028" spans="4:4" x14ac:dyDescent="0.3">
      <c r="D2028" t="s">
        <v>2058</v>
      </c>
    </row>
    <row r="2029" spans="4:4" x14ac:dyDescent="0.3">
      <c r="D2029" t="s">
        <v>2059</v>
      </c>
    </row>
    <row r="2030" spans="4:4" x14ac:dyDescent="0.3">
      <c r="D2030" t="s">
        <v>2060</v>
      </c>
    </row>
    <row r="2031" spans="4:4" x14ac:dyDescent="0.3">
      <c r="D2031" t="s">
        <v>2061</v>
      </c>
    </row>
    <row r="2032" spans="4:4" x14ac:dyDescent="0.3">
      <c r="D2032" t="s">
        <v>2062</v>
      </c>
    </row>
    <row r="2033" spans="4:4" x14ac:dyDescent="0.3">
      <c r="D2033" t="s">
        <v>2063</v>
      </c>
    </row>
    <row r="2034" spans="4:4" x14ac:dyDescent="0.3">
      <c r="D2034" t="s">
        <v>2064</v>
      </c>
    </row>
    <row r="2035" spans="4:4" x14ac:dyDescent="0.3">
      <c r="D2035" t="s">
        <v>2065</v>
      </c>
    </row>
    <row r="2036" spans="4:4" x14ac:dyDescent="0.3">
      <c r="D2036" t="s">
        <v>2066</v>
      </c>
    </row>
    <row r="2037" spans="4:4" x14ac:dyDescent="0.3">
      <c r="D2037" t="s">
        <v>2067</v>
      </c>
    </row>
    <row r="2038" spans="4:4" x14ac:dyDescent="0.3">
      <c r="D2038" t="s">
        <v>2068</v>
      </c>
    </row>
    <row r="2039" spans="4:4" x14ac:dyDescent="0.3">
      <c r="D2039" t="s">
        <v>2069</v>
      </c>
    </row>
    <row r="2040" spans="4:4" x14ac:dyDescent="0.3">
      <c r="D2040" t="s">
        <v>2070</v>
      </c>
    </row>
    <row r="2041" spans="4:4" x14ac:dyDescent="0.3">
      <c r="D2041" t="s">
        <v>2071</v>
      </c>
    </row>
    <row r="2042" spans="4:4" x14ac:dyDescent="0.3">
      <c r="D2042" t="s">
        <v>2072</v>
      </c>
    </row>
    <row r="2043" spans="4:4" x14ac:dyDescent="0.3">
      <c r="D2043" t="s">
        <v>2073</v>
      </c>
    </row>
    <row r="2044" spans="4:4" x14ac:dyDescent="0.3">
      <c r="D2044" t="s">
        <v>2074</v>
      </c>
    </row>
    <row r="2045" spans="4:4" x14ac:dyDescent="0.3">
      <c r="D2045" t="s">
        <v>2075</v>
      </c>
    </row>
    <row r="2046" spans="4:4" x14ac:dyDescent="0.3">
      <c r="D2046" t="s">
        <v>2076</v>
      </c>
    </row>
    <row r="2047" spans="4:4" x14ac:dyDescent="0.3">
      <c r="D2047" t="s">
        <v>2077</v>
      </c>
    </row>
    <row r="2048" spans="4:4" x14ac:dyDescent="0.3">
      <c r="D2048" t="s">
        <v>2078</v>
      </c>
    </row>
    <row r="2049" spans="4:4" x14ac:dyDescent="0.3">
      <c r="D2049" t="s">
        <v>2079</v>
      </c>
    </row>
    <row r="2050" spans="4:4" x14ac:dyDescent="0.3">
      <c r="D2050" t="s">
        <v>2080</v>
      </c>
    </row>
    <row r="2051" spans="4:4" x14ac:dyDescent="0.3">
      <c r="D2051" t="s">
        <v>2081</v>
      </c>
    </row>
    <row r="2052" spans="4:4" x14ac:dyDescent="0.3">
      <c r="D2052" t="s">
        <v>2082</v>
      </c>
    </row>
    <row r="2053" spans="4:4" x14ac:dyDescent="0.3">
      <c r="D2053" t="s">
        <v>2083</v>
      </c>
    </row>
    <row r="2054" spans="4:4" x14ac:dyDescent="0.3">
      <c r="D2054" t="s">
        <v>2084</v>
      </c>
    </row>
    <row r="2055" spans="4:4" x14ac:dyDescent="0.3">
      <c r="D2055" t="s">
        <v>2085</v>
      </c>
    </row>
    <row r="2056" spans="4:4" x14ac:dyDescent="0.3">
      <c r="D2056" t="s">
        <v>2086</v>
      </c>
    </row>
    <row r="2057" spans="4:4" x14ac:dyDescent="0.3">
      <c r="D2057" t="s">
        <v>2087</v>
      </c>
    </row>
    <row r="2058" spans="4:4" x14ac:dyDescent="0.3">
      <c r="D2058" t="s">
        <v>2088</v>
      </c>
    </row>
    <row r="2059" spans="4:4" x14ac:dyDescent="0.3">
      <c r="D2059" t="s">
        <v>2089</v>
      </c>
    </row>
    <row r="2060" spans="4:4" x14ac:dyDescent="0.3">
      <c r="D2060" t="s">
        <v>2090</v>
      </c>
    </row>
    <row r="2061" spans="4:4" x14ac:dyDescent="0.3">
      <c r="D2061" t="s">
        <v>2091</v>
      </c>
    </row>
    <row r="2062" spans="4:4" x14ac:dyDescent="0.3">
      <c r="D2062" t="s">
        <v>2092</v>
      </c>
    </row>
    <row r="2063" spans="4:4" x14ac:dyDescent="0.3">
      <c r="D2063" t="s">
        <v>2093</v>
      </c>
    </row>
    <row r="2064" spans="4:4" x14ac:dyDescent="0.3">
      <c r="D2064" t="s">
        <v>2094</v>
      </c>
    </row>
    <row r="2065" spans="4:4" x14ac:dyDescent="0.3">
      <c r="D2065" t="s">
        <v>2095</v>
      </c>
    </row>
    <row r="2066" spans="4:4" x14ac:dyDescent="0.3">
      <c r="D2066" t="s">
        <v>2096</v>
      </c>
    </row>
    <row r="2067" spans="4:4" x14ac:dyDescent="0.3">
      <c r="D2067" t="s">
        <v>2097</v>
      </c>
    </row>
    <row r="2068" spans="4:4" x14ac:dyDescent="0.3">
      <c r="D2068" t="s">
        <v>2098</v>
      </c>
    </row>
    <row r="2069" spans="4:4" x14ac:dyDescent="0.3">
      <c r="D2069" t="s">
        <v>2099</v>
      </c>
    </row>
    <row r="2070" spans="4:4" x14ac:dyDescent="0.3">
      <c r="D2070" t="s">
        <v>2100</v>
      </c>
    </row>
    <row r="2071" spans="4:4" x14ac:dyDescent="0.3">
      <c r="D2071" t="s">
        <v>2101</v>
      </c>
    </row>
    <row r="2072" spans="4:4" x14ac:dyDescent="0.3">
      <c r="D2072" t="s">
        <v>2102</v>
      </c>
    </row>
    <row r="2073" spans="4:4" x14ac:dyDescent="0.3">
      <c r="D2073" t="s">
        <v>2103</v>
      </c>
    </row>
    <row r="2074" spans="4:4" x14ac:dyDescent="0.3">
      <c r="D2074" t="s">
        <v>2104</v>
      </c>
    </row>
    <row r="2075" spans="4:4" x14ac:dyDescent="0.3">
      <c r="D2075" t="s">
        <v>2105</v>
      </c>
    </row>
    <row r="2076" spans="4:4" x14ac:dyDescent="0.3">
      <c r="D2076" t="s">
        <v>2106</v>
      </c>
    </row>
    <row r="2077" spans="4:4" x14ac:dyDescent="0.3">
      <c r="D2077" t="s">
        <v>2107</v>
      </c>
    </row>
    <row r="2078" spans="4:4" x14ac:dyDescent="0.3">
      <c r="D2078" t="s">
        <v>2108</v>
      </c>
    </row>
    <row r="2079" spans="4:4" x14ac:dyDescent="0.3">
      <c r="D2079" t="s">
        <v>2109</v>
      </c>
    </row>
    <row r="2080" spans="4:4" x14ac:dyDescent="0.3">
      <c r="D2080" t="s">
        <v>2110</v>
      </c>
    </row>
    <row r="2081" spans="4:4" x14ac:dyDescent="0.3">
      <c r="D2081" t="s">
        <v>2111</v>
      </c>
    </row>
    <row r="2082" spans="4:4" x14ac:dyDescent="0.3">
      <c r="D2082" t="s">
        <v>2112</v>
      </c>
    </row>
    <row r="2083" spans="4:4" x14ac:dyDescent="0.3">
      <c r="D2083" t="s">
        <v>2113</v>
      </c>
    </row>
    <row r="2084" spans="4:4" x14ac:dyDescent="0.3">
      <c r="D2084" t="s">
        <v>2114</v>
      </c>
    </row>
    <row r="2085" spans="4:4" x14ac:dyDescent="0.3">
      <c r="D2085" t="s">
        <v>2115</v>
      </c>
    </row>
    <row r="2086" spans="4:4" x14ac:dyDescent="0.3">
      <c r="D2086" t="s">
        <v>2116</v>
      </c>
    </row>
    <row r="2087" spans="4:4" x14ac:dyDescent="0.3">
      <c r="D2087" t="s">
        <v>2117</v>
      </c>
    </row>
    <row r="2088" spans="4:4" x14ac:dyDescent="0.3">
      <c r="D2088" t="s">
        <v>2118</v>
      </c>
    </row>
    <row r="2089" spans="4:4" x14ac:dyDescent="0.3">
      <c r="D2089" t="s">
        <v>2119</v>
      </c>
    </row>
    <row r="2090" spans="4:4" x14ac:dyDescent="0.3">
      <c r="D2090" t="s">
        <v>2120</v>
      </c>
    </row>
    <row r="2091" spans="4:4" x14ac:dyDescent="0.3">
      <c r="D2091" t="s">
        <v>2121</v>
      </c>
    </row>
    <row r="2092" spans="4:4" x14ac:dyDescent="0.3">
      <c r="D2092" t="s">
        <v>2122</v>
      </c>
    </row>
    <row r="2093" spans="4:4" x14ac:dyDescent="0.3">
      <c r="D2093" t="s">
        <v>2123</v>
      </c>
    </row>
    <row r="2094" spans="4:4" x14ac:dyDescent="0.3">
      <c r="D2094" t="s">
        <v>2124</v>
      </c>
    </row>
    <row r="2095" spans="4:4" x14ac:dyDescent="0.3">
      <c r="D2095" t="s">
        <v>2125</v>
      </c>
    </row>
    <row r="2096" spans="4:4" x14ac:dyDescent="0.3">
      <c r="D2096" t="s">
        <v>2126</v>
      </c>
    </row>
    <row r="2097" spans="4:4" x14ac:dyDescent="0.3">
      <c r="D2097" t="s">
        <v>2127</v>
      </c>
    </row>
    <row r="2098" spans="4:4" x14ac:dyDescent="0.3">
      <c r="D2098" t="s">
        <v>2128</v>
      </c>
    </row>
    <row r="2099" spans="4:4" x14ac:dyDescent="0.3">
      <c r="D2099" t="s">
        <v>2129</v>
      </c>
    </row>
    <row r="2100" spans="4:4" x14ac:dyDescent="0.3">
      <c r="D2100" t="s">
        <v>2130</v>
      </c>
    </row>
    <row r="2101" spans="4:4" x14ac:dyDescent="0.3">
      <c r="D2101" t="s">
        <v>2131</v>
      </c>
    </row>
    <row r="2102" spans="4:4" x14ac:dyDescent="0.3">
      <c r="D2102" t="s">
        <v>2132</v>
      </c>
    </row>
    <row r="2103" spans="4:4" x14ac:dyDescent="0.3">
      <c r="D2103" t="s">
        <v>2133</v>
      </c>
    </row>
    <row r="2104" spans="4:4" x14ac:dyDescent="0.3">
      <c r="D2104" t="s">
        <v>2134</v>
      </c>
    </row>
    <row r="2105" spans="4:4" x14ac:dyDescent="0.3">
      <c r="D2105" t="s">
        <v>2135</v>
      </c>
    </row>
    <row r="2106" spans="4:4" x14ac:dyDescent="0.3">
      <c r="D2106" t="s">
        <v>2136</v>
      </c>
    </row>
    <row r="2107" spans="4:4" x14ac:dyDescent="0.3">
      <c r="D2107" t="s">
        <v>2137</v>
      </c>
    </row>
    <row r="2108" spans="4:4" x14ac:dyDescent="0.3">
      <c r="D2108" t="s">
        <v>2138</v>
      </c>
    </row>
    <row r="2109" spans="4:4" x14ac:dyDescent="0.3">
      <c r="D2109" t="s">
        <v>2139</v>
      </c>
    </row>
    <row r="2110" spans="4:4" x14ac:dyDescent="0.3">
      <c r="D2110" t="s">
        <v>2140</v>
      </c>
    </row>
    <row r="2111" spans="4:4" x14ac:dyDescent="0.3">
      <c r="D2111" t="s">
        <v>2141</v>
      </c>
    </row>
    <row r="2112" spans="4:4" x14ac:dyDescent="0.3">
      <c r="D2112" t="s">
        <v>2142</v>
      </c>
    </row>
    <row r="2113" spans="4:4" x14ac:dyDescent="0.3">
      <c r="D2113" t="s">
        <v>2143</v>
      </c>
    </row>
    <row r="2114" spans="4:4" x14ac:dyDescent="0.3">
      <c r="D2114" t="s">
        <v>2144</v>
      </c>
    </row>
    <row r="2115" spans="4:4" x14ac:dyDescent="0.3">
      <c r="D2115" t="s">
        <v>2145</v>
      </c>
    </row>
    <row r="2116" spans="4:4" x14ac:dyDescent="0.3">
      <c r="D2116" t="s">
        <v>2146</v>
      </c>
    </row>
    <row r="2117" spans="4:4" x14ac:dyDescent="0.3">
      <c r="D2117" t="s">
        <v>2147</v>
      </c>
    </row>
    <row r="2118" spans="4:4" x14ac:dyDescent="0.3">
      <c r="D2118" t="s">
        <v>2148</v>
      </c>
    </row>
    <row r="2119" spans="4:4" x14ac:dyDescent="0.3">
      <c r="D2119" t="s">
        <v>2149</v>
      </c>
    </row>
    <row r="2120" spans="4:4" x14ac:dyDescent="0.3">
      <c r="D2120" t="s">
        <v>2150</v>
      </c>
    </row>
    <row r="2121" spans="4:4" x14ac:dyDescent="0.3">
      <c r="D2121" t="s">
        <v>2151</v>
      </c>
    </row>
    <row r="2122" spans="4:4" x14ac:dyDescent="0.3">
      <c r="D2122" t="s">
        <v>2152</v>
      </c>
    </row>
    <row r="2123" spans="4:4" x14ac:dyDescent="0.3">
      <c r="D2123" t="s">
        <v>2153</v>
      </c>
    </row>
    <row r="2124" spans="4:4" x14ac:dyDescent="0.3">
      <c r="D2124" t="s">
        <v>2154</v>
      </c>
    </row>
    <row r="2125" spans="4:4" x14ac:dyDescent="0.3">
      <c r="D2125" t="s">
        <v>2155</v>
      </c>
    </row>
    <row r="2126" spans="4:4" x14ac:dyDescent="0.3">
      <c r="D2126" t="s">
        <v>2156</v>
      </c>
    </row>
    <row r="2127" spans="4:4" x14ac:dyDescent="0.3">
      <c r="D2127" t="s">
        <v>2157</v>
      </c>
    </row>
    <row r="2128" spans="4:4" x14ac:dyDescent="0.3">
      <c r="D2128" t="s">
        <v>2158</v>
      </c>
    </row>
    <row r="2129" spans="4:4" x14ac:dyDescent="0.3">
      <c r="D2129" t="s">
        <v>2159</v>
      </c>
    </row>
    <row r="2130" spans="4:4" x14ac:dyDescent="0.3">
      <c r="D2130" t="s">
        <v>2160</v>
      </c>
    </row>
    <row r="2131" spans="4:4" x14ac:dyDescent="0.3">
      <c r="D2131" t="s">
        <v>2161</v>
      </c>
    </row>
    <row r="2132" spans="4:4" x14ac:dyDescent="0.3">
      <c r="D2132" t="s">
        <v>2162</v>
      </c>
    </row>
    <row r="2133" spans="4:4" x14ac:dyDescent="0.3">
      <c r="D2133" t="s">
        <v>2163</v>
      </c>
    </row>
    <row r="2134" spans="4:4" x14ac:dyDescent="0.3">
      <c r="D2134" t="s">
        <v>2164</v>
      </c>
    </row>
    <row r="2135" spans="4:4" x14ac:dyDescent="0.3">
      <c r="D2135" t="s">
        <v>2165</v>
      </c>
    </row>
    <row r="2136" spans="4:4" x14ac:dyDescent="0.3">
      <c r="D2136" t="s">
        <v>2166</v>
      </c>
    </row>
    <row r="2137" spans="4:4" x14ac:dyDescent="0.3">
      <c r="D2137" t="s">
        <v>2167</v>
      </c>
    </row>
    <row r="2138" spans="4:4" x14ac:dyDescent="0.3">
      <c r="D2138" t="s">
        <v>2168</v>
      </c>
    </row>
    <row r="2139" spans="4:4" x14ac:dyDescent="0.3">
      <c r="D2139" t="s">
        <v>2169</v>
      </c>
    </row>
    <row r="2140" spans="4:4" x14ac:dyDescent="0.3">
      <c r="D2140" t="s">
        <v>2170</v>
      </c>
    </row>
    <row r="2141" spans="4:4" x14ac:dyDescent="0.3">
      <c r="D2141" t="s">
        <v>2171</v>
      </c>
    </row>
    <row r="2142" spans="4:4" x14ac:dyDescent="0.3">
      <c r="D2142" t="s">
        <v>2172</v>
      </c>
    </row>
    <row r="2143" spans="4:4" x14ac:dyDescent="0.3">
      <c r="D2143" t="s">
        <v>2173</v>
      </c>
    </row>
    <row r="2144" spans="4:4" x14ac:dyDescent="0.3">
      <c r="D2144" t="s">
        <v>2174</v>
      </c>
    </row>
    <row r="2145" spans="4:4" x14ac:dyDescent="0.3">
      <c r="D2145" t="s">
        <v>2175</v>
      </c>
    </row>
    <row r="2146" spans="4:4" x14ac:dyDescent="0.3">
      <c r="D2146" t="s">
        <v>2176</v>
      </c>
    </row>
    <row r="2147" spans="4:4" x14ac:dyDescent="0.3">
      <c r="D2147" t="s">
        <v>2177</v>
      </c>
    </row>
    <row r="2148" spans="4:4" x14ac:dyDescent="0.3">
      <c r="D2148" t="s">
        <v>2178</v>
      </c>
    </row>
    <row r="2149" spans="4:4" x14ac:dyDescent="0.3">
      <c r="D2149" t="s">
        <v>2179</v>
      </c>
    </row>
    <row r="2150" spans="4:4" x14ac:dyDescent="0.3">
      <c r="D2150" t="s">
        <v>2180</v>
      </c>
    </row>
    <row r="2151" spans="4:4" x14ac:dyDescent="0.3">
      <c r="D2151" t="s">
        <v>2181</v>
      </c>
    </row>
    <row r="2152" spans="4:4" x14ac:dyDescent="0.3">
      <c r="D2152" t="s">
        <v>2182</v>
      </c>
    </row>
    <row r="2153" spans="4:4" x14ac:dyDescent="0.3">
      <c r="D2153" t="s">
        <v>2183</v>
      </c>
    </row>
    <row r="2154" spans="4:4" x14ac:dyDescent="0.3">
      <c r="D2154" t="s">
        <v>2184</v>
      </c>
    </row>
    <row r="2155" spans="4:4" x14ac:dyDescent="0.3">
      <c r="D2155" t="s">
        <v>2185</v>
      </c>
    </row>
    <row r="2156" spans="4:4" x14ac:dyDescent="0.3">
      <c r="D2156" t="s">
        <v>2186</v>
      </c>
    </row>
    <row r="2157" spans="4:4" x14ac:dyDescent="0.3">
      <c r="D2157" t="s">
        <v>2187</v>
      </c>
    </row>
    <row r="2158" spans="4:4" x14ac:dyDescent="0.3">
      <c r="D2158" t="s">
        <v>2188</v>
      </c>
    </row>
    <row r="2159" spans="4:4" x14ac:dyDescent="0.3">
      <c r="D2159" t="s">
        <v>2189</v>
      </c>
    </row>
    <row r="2160" spans="4:4" x14ac:dyDescent="0.3">
      <c r="D2160" t="s">
        <v>2190</v>
      </c>
    </row>
    <row r="2161" spans="4:4" x14ac:dyDescent="0.3">
      <c r="D2161" t="s">
        <v>2191</v>
      </c>
    </row>
    <row r="2162" spans="4:4" x14ac:dyDescent="0.3">
      <c r="D2162" t="s">
        <v>2192</v>
      </c>
    </row>
    <row r="2163" spans="4:4" x14ac:dyDescent="0.3">
      <c r="D2163" t="s">
        <v>2193</v>
      </c>
    </row>
    <row r="2164" spans="4:4" x14ac:dyDescent="0.3">
      <c r="D2164" t="s">
        <v>2194</v>
      </c>
    </row>
    <row r="2165" spans="4:4" x14ac:dyDescent="0.3">
      <c r="D2165" t="s">
        <v>2195</v>
      </c>
    </row>
    <row r="2166" spans="4:4" x14ac:dyDescent="0.3">
      <c r="D2166" t="s">
        <v>2196</v>
      </c>
    </row>
    <row r="2167" spans="4:4" x14ac:dyDescent="0.3">
      <c r="D2167" t="s">
        <v>2197</v>
      </c>
    </row>
    <row r="2168" spans="4:4" x14ac:dyDescent="0.3">
      <c r="D2168" t="s">
        <v>2198</v>
      </c>
    </row>
    <row r="2169" spans="4:4" x14ac:dyDescent="0.3">
      <c r="D2169" t="s">
        <v>2199</v>
      </c>
    </row>
    <row r="2170" spans="4:4" x14ac:dyDescent="0.3">
      <c r="D2170" t="s">
        <v>2200</v>
      </c>
    </row>
    <row r="2171" spans="4:4" x14ac:dyDescent="0.3">
      <c r="D2171" t="s">
        <v>2201</v>
      </c>
    </row>
    <row r="2172" spans="4:4" x14ac:dyDescent="0.3">
      <c r="D2172" t="s">
        <v>2202</v>
      </c>
    </row>
    <row r="2173" spans="4:4" x14ac:dyDescent="0.3">
      <c r="D2173" t="s">
        <v>2203</v>
      </c>
    </row>
    <row r="2174" spans="4:4" x14ac:dyDescent="0.3">
      <c r="D2174" t="s">
        <v>2204</v>
      </c>
    </row>
    <row r="2175" spans="4:4" x14ac:dyDescent="0.3">
      <c r="D2175" t="s">
        <v>2205</v>
      </c>
    </row>
    <row r="2176" spans="4:4" x14ac:dyDescent="0.3">
      <c r="D2176" t="s">
        <v>2206</v>
      </c>
    </row>
    <row r="2177" spans="4:4" x14ac:dyDescent="0.3">
      <c r="D2177" t="s">
        <v>2207</v>
      </c>
    </row>
    <row r="2178" spans="4:4" x14ac:dyDescent="0.3">
      <c r="D2178" t="s">
        <v>2208</v>
      </c>
    </row>
    <row r="2179" spans="4:4" x14ac:dyDescent="0.3">
      <c r="D2179" t="s">
        <v>2209</v>
      </c>
    </row>
    <row r="2180" spans="4:4" x14ac:dyDescent="0.3">
      <c r="D2180" t="s">
        <v>2210</v>
      </c>
    </row>
    <row r="2181" spans="4:4" x14ac:dyDescent="0.3">
      <c r="D2181" t="s">
        <v>2211</v>
      </c>
    </row>
    <row r="2182" spans="4:4" x14ac:dyDescent="0.3">
      <c r="D2182" t="s">
        <v>2212</v>
      </c>
    </row>
    <row r="2183" spans="4:4" x14ac:dyDescent="0.3">
      <c r="D2183" t="s">
        <v>2213</v>
      </c>
    </row>
    <row r="2184" spans="4:4" x14ac:dyDescent="0.3">
      <c r="D2184" t="s">
        <v>2214</v>
      </c>
    </row>
    <row r="2185" spans="4:4" x14ac:dyDescent="0.3">
      <c r="D2185" t="s">
        <v>2215</v>
      </c>
    </row>
    <row r="2186" spans="4:4" x14ac:dyDescent="0.3">
      <c r="D2186" t="s">
        <v>2216</v>
      </c>
    </row>
    <row r="2187" spans="4:4" x14ac:dyDescent="0.3">
      <c r="D2187" t="s">
        <v>2217</v>
      </c>
    </row>
    <row r="2188" spans="4:4" x14ac:dyDescent="0.3">
      <c r="D2188" t="s">
        <v>2218</v>
      </c>
    </row>
    <row r="2189" spans="4:4" x14ac:dyDescent="0.3">
      <c r="D2189" t="s">
        <v>2219</v>
      </c>
    </row>
    <row r="2190" spans="4:4" x14ac:dyDescent="0.3">
      <c r="D2190" t="s">
        <v>2220</v>
      </c>
    </row>
    <row r="2191" spans="4:4" x14ac:dyDescent="0.3">
      <c r="D2191" t="s">
        <v>2221</v>
      </c>
    </row>
    <row r="2192" spans="4:4" x14ac:dyDescent="0.3">
      <c r="D2192" t="s">
        <v>2222</v>
      </c>
    </row>
    <row r="2193" spans="4:4" x14ac:dyDescent="0.3">
      <c r="D2193" t="s">
        <v>2223</v>
      </c>
    </row>
    <row r="2194" spans="4:4" x14ac:dyDescent="0.3">
      <c r="D2194" t="s">
        <v>2224</v>
      </c>
    </row>
    <row r="2195" spans="4:4" x14ac:dyDescent="0.3">
      <c r="D2195" t="s">
        <v>2225</v>
      </c>
    </row>
    <row r="2196" spans="4:4" x14ac:dyDescent="0.3">
      <c r="D2196" t="s">
        <v>2226</v>
      </c>
    </row>
    <row r="2197" spans="4:4" x14ac:dyDescent="0.3">
      <c r="D2197" t="s">
        <v>2227</v>
      </c>
    </row>
    <row r="2198" spans="4:4" x14ac:dyDescent="0.3">
      <c r="D2198" t="s">
        <v>2228</v>
      </c>
    </row>
    <row r="2199" spans="4:4" x14ac:dyDescent="0.3">
      <c r="D2199" t="s">
        <v>2229</v>
      </c>
    </row>
    <row r="2200" spans="4:4" x14ac:dyDescent="0.3">
      <c r="D2200" t="s">
        <v>2230</v>
      </c>
    </row>
    <row r="2201" spans="4:4" x14ac:dyDescent="0.3">
      <c r="D2201" t="s">
        <v>2231</v>
      </c>
    </row>
    <row r="2202" spans="4:4" x14ac:dyDescent="0.3">
      <c r="D2202" t="s">
        <v>2232</v>
      </c>
    </row>
    <row r="2203" spans="4:4" x14ac:dyDescent="0.3">
      <c r="D2203" t="s">
        <v>2233</v>
      </c>
    </row>
    <row r="2204" spans="4:4" x14ac:dyDescent="0.3">
      <c r="D2204" t="s">
        <v>2234</v>
      </c>
    </row>
    <row r="2205" spans="4:4" x14ac:dyDescent="0.3">
      <c r="D2205" t="s">
        <v>2235</v>
      </c>
    </row>
    <row r="2206" spans="4:4" x14ac:dyDescent="0.3">
      <c r="D2206" t="s">
        <v>2236</v>
      </c>
    </row>
    <row r="2207" spans="4:4" x14ac:dyDescent="0.3">
      <c r="D2207" t="s">
        <v>2237</v>
      </c>
    </row>
    <row r="2208" spans="4:4" x14ac:dyDescent="0.3">
      <c r="D2208" t="s">
        <v>2238</v>
      </c>
    </row>
    <row r="2209" spans="4:4" x14ac:dyDescent="0.3">
      <c r="D2209" t="s">
        <v>2239</v>
      </c>
    </row>
    <row r="2210" spans="4:4" x14ac:dyDescent="0.3">
      <c r="D2210" t="s">
        <v>2240</v>
      </c>
    </row>
    <row r="2211" spans="4:4" x14ac:dyDescent="0.3">
      <c r="D2211" t="s">
        <v>2241</v>
      </c>
    </row>
    <row r="2212" spans="4:4" x14ac:dyDescent="0.3">
      <c r="D2212" t="s">
        <v>2242</v>
      </c>
    </row>
    <row r="2213" spans="4:4" x14ac:dyDescent="0.3">
      <c r="D2213" t="s">
        <v>2243</v>
      </c>
    </row>
    <row r="2214" spans="4:4" x14ac:dyDescent="0.3">
      <c r="D2214" t="s">
        <v>2244</v>
      </c>
    </row>
    <row r="2215" spans="4:4" x14ac:dyDescent="0.3">
      <c r="D2215" t="s">
        <v>2245</v>
      </c>
    </row>
    <row r="2216" spans="4:4" x14ac:dyDescent="0.3">
      <c r="D2216" t="s">
        <v>2246</v>
      </c>
    </row>
    <row r="2217" spans="4:4" x14ac:dyDescent="0.3">
      <c r="D2217" t="s">
        <v>2247</v>
      </c>
    </row>
    <row r="2218" spans="4:4" x14ac:dyDescent="0.3">
      <c r="D2218" t="s">
        <v>2248</v>
      </c>
    </row>
    <row r="2219" spans="4:4" x14ac:dyDescent="0.3">
      <c r="D2219" t="s">
        <v>2249</v>
      </c>
    </row>
    <row r="2220" spans="4:4" x14ac:dyDescent="0.3">
      <c r="D2220" t="s">
        <v>2250</v>
      </c>
    </row>
    <row r="2221" spans="4:4" x14ac:dyDescent="0.3">
      <c r="D2221" t="s">
        <v>2251</v>
      </c>
    </row>
    <row r="2222" spans="4:4" x14ac:dyDescent="0.3">
      <c r="D2222" t="s">
        <v>2252</v>
      </c>
    </row>
    <row r="2223" spans="4:4" x14ac:dyDescent="0.3">
      <c r="D2223" t="s">
        <v>2253</v>
      </c>
    </row>
    <row r="2224" spans="4:4" x14ac:dyDescent="0.3">
      <c r="D2224" t="s">
        <v>2254</v>
      </c>
    </row>
    <row r="2225" spans="4:4" x14ac:dyDescent="0.3">
      <c r="D2225" t="s">
        <v>2255</v>
      </c>
    </row>
    <row r="2226" spans="4:4" x14ac:dyDescent="0.3">
      <c r="D2226" t="s">
        <v>2256</v>
      </c>
    </row>
    <row r="2227" spans="4:4" x14ac:dyDescent="0.3">
      <c r="D2227" t="s">
        <v>2257</v>
      </c>
    </row>
    <row r="2228" spans="4:4" x14ac:dyDescent="0.3">
      <c r="D2228" t="s">
        <v>2258</v>
      </c>
    </row>
    <row r="2229" spans="4:4" x14ac:dyDescent="0.3">
      <c r="D2229" t="s">
        <v>2259</v>
      </c>
    </row>
    <row r="2230" spans="4:4" x14ac:dyDescent="0.3">
      <c r="D2230" t="s">
        <v>2260</v>
      </c>
    </row>
    <row r="2231" spans="4:4" x14ac:dyDescent="0.3">
      <c r="D2231" t="s">
        <v>2261</v>
      </c>
    </row>
    <row r="2232" spans="4:4" x14ac:dyDescent="0.3">
      <c r="D2232" t="s">
        <v>2262</v>
      </c>
    </row>
    <row r="2233" spans="4:4" x14ac:dyDescent="0.3">
      <c r="D2233" t="s">
        <v>2263</v>
      </c>
    </row>
    <row r="2234" spans="4:4" x14ac:dyDescent="0.3">
      <c r="D2234" t="s">
        <v>2264</v>
      </c>
    </row>
    <row r="2235" spans="4:4" x14ac:dyDescent="0.3">
      <c r="D2235" t="s">
        <v>2265</v>
      </c>
    </row>
    <row r="2236" spans="4:4" x14ac:dyDescent="0.3">
      <c r="D2236" t="s">
        <v>2266</v>
      </c>
    </row>
    <row r="2237" spans="4:4" x14ac:dyDescent="0.3">
      <c r="D2237" t="s">
        <v>2267</v>
      </c>
    </row>
    <row r="2238" spans="4:4" x14ac:dyDescent="0.3">
      <c r="D2238" t="s">
        <v>2268</v>
      </c>
    </row>
    <row r="2239" spans="4:4" x14ac:dyDescent="0.3">
      <c r="D2239" t="s">
        <v>2269</v>
      </c>
    </row>
    <row r="2240" spans="4:4" x14ac:dyDescent="0.3">
      <c r="D2240" t="s">
        <v>2270</v>
      </c>
    </row>
    <row r="2241" spans="4:4" x14ac:dyDescent="0.3">
      <c r="D2241" t="s">
        <v>2271</v>
      </c>
    </row>
    <row r="2242" spans="4:4" x14ac:dyDescent="0.3">
      <c r="D2242" t="s">
        <v>2272</v>
      </c>
    </row>
    <row r="2243" spans="4:4" x14ac:dyDescent="0.3">
      <c r="D2243" t="s">
        <v>2273</v>
      </c>
    </row>
    <row r="2244" spans="4:4" x14ac:dyDescent="0.3">
      <c r="D2244" t="s">
        <v>2274</v>
      </c>
    </row>
    <row r="2245" spans="4:4" x14ac:dyDescent="0.3">
      <c r="D2245" t="s">
        <v>2275</v>
      </c>
    </row>
    <row r="2246" spans="4:4" x14ac:dyDescent="0.3">
      <c r="D2246" t="s">
        <v>2276</v>
      </c>
    </row>
    <row r="2247" spans="4:4" x14ac:dyDescent="0.3">
      <c r="D2247" t="s">
        <v>2277</v>
      </c>
    </row>
    <row r="2248" spans="4:4" x14ac:dyDescent="0.3">
      <c r="D2248" t="s">
        <v>2278</v>
      </c>
    </row>
    <row r="2249" spans="4:4" x14ac:dyDescent="0.3">
      <c r="D2249" t="s">
        <v>2279</v>
      </c>
    </row>
    <row r="2250" spans="4:4" x14ac:dyDescent="0.3">
      <c r="D2250" t="s">
        <v>2280</v>
      </c>
    </row>
    <row r="2251" spans="4:4" x14ac:dyDescent="0.3">
      <c r="D2251" t="s">
        <v>2281</v>
      </c>
    </row>
    <row r="2252" spans="4:4" x14ac:dyDescent="0.3">
      <c r="D2252" t="s">
        <v>2282</v>
      </c>
    </row>
    <row r="2253" spans="4:4" x14ac:dyDescent="0.3">
      <c r="D2253" t="s">
        <v>2283</v>
      </c>
    </row>
    <row r="2254" spans="4:4" x14ac:dyDescent="0.3">
      <c r="D2254" t="s">
        <v>2284</v>
      </c>
    </row>
    <row r="2255" spans="4:4" x14ac:dyDescent="0.3">
      <c r="D2255" t="s">
        <v>2285</v>
      </c>
    </row>
    <row r="2256" spans="4:4" x14ac:dyDescent="0.3">
      <c r="D2256" t="s">
        <v>2286</v>
      </c>
    </row>
    <row r="2257" spans="4:4" x14ac:dyDescent="0.3">
      <c r="D2257" t="s">
        <v>2287</v>
      </c>
    </row>
    <row r="2258" spans="4:4" x14ac:dyDescent="0.3">
      <c r="D2258" t="s">
        <v>2288</v>
      </c>
    </row>
    <row r="2259" spans="4:4" x14ac:dyDescent="0.3">
      <c r="D2259" t="s">
        <v>2289</v>
      </c>
    </row>
    <row r="2260" spans="4:4" x14ac:dyDescent="0.3">
      <c r="D2260" t="s">
        <v>2290</v>
      </c>
    </row>
    <row r="2261" spans="4:4" x14ac:dyDescent="0.3">
      <c r="D2261" t="s">
        <v>2291</v>
      </c>
    </row>
    <row r="2262" spans="4:4" x14ac:dyDescent="0.3">
      <c r="D2262" t="s">
        <v>2292</v>
      </c>
    </row>
    <row r="2263" spans="4:4" x14ac:dyDescent="0.3">
      <c r="D2263" t="s">
        <v>2293</v>
      </c>
    </row>
    <row r="2264" spans="4:4" x14ac:dyDescent="0.3">
      <c r="D2264" t="s">
        <v>2294</v>
      </c>
    </row>
    <row r="2265" spans="4:4" x14ac:dyDescent="0.3">
      <c r="D2265" t="s">
        <v>2295</v>
      </c>
    </row>
    <row r="2266" spans="4:4" x14ac:dyDescent="0.3">
      <c r="D2266" t="s">
        <v>2296</v>
      </c>
    </row>
    <row r="2267" spans="4:4" x14ac:dyDescent="0.3">
      <c r="D2267" t="s">
        <v>2297</v>
      </c>
    </row>
    <row r="2268" spans="4:4" x14ac:dyDescent="0.3">
      <c r="D2268" t="s">
        <v>2298</v>
      </c>
    </row>
    <row r="2269" spans="4:4" x14ac:dyDescent="0.3">
      <c r="D2269" t="s">
        <v>2299</v>
      </c>
    </row>
    <row r="2270" spans="4:4" x14ac:dyDescent="0.3">
      <c r="D2270" t="s">
        <v>2300</v>
      </c>
    </row>
    <row r="2271" spans="4:4" x14ac:dyDescent="0.3">
      <c r="D2271" t="s">
        <v>2301</v>
      </c>
    </row>
    <row r="2272" spans="4:4" x14ac:dyDescent="0.3">
      <c r="D2272" t="s">
        <v>2302</v>
      </c>
    </row>
    <row r="2273" spans="4:4" x14ac:dyDescent="0.3">
      <c r="D2273" t="s">
        <v>2303</v>
      </c>
    </row>
    <row r="2274" spans="4:4" x14ac:dyDescent="0.3">
      <c r="D2274" t="s">
        <v>2304</v>
      </c>
    </row>
    <row r="2275" spans="4:4" x14ac:dyDescent="0.3">
      <c r="D2275" t="s">
        <v>2305</v>
      </c>
    </row>
    <row r="2276" spans="4:4" x14ac:dyDescent="0.3">
      <c r="D2276" t="s">
        <v>2306</v>
      </c>
    </row>
    <row r="2277" spans="4:4" x14ac:dyDescent="0.3">
      <c r="D2277" t="s">
        <v>2307</v>
      </c>
    </row>
    <row r="2278" spans="4:4" x14ac:dyDescent="0.3">
      <c r="D2278" t="s">
        <v>2308</v>
      </c>
    </row>
    <row r="2279" spans="4:4" x14ac:dyDescent="0.3">
      <c r="D2279" t="s">
        <v>2309</v>
      </c>
    </row>
    <row r="2280" spans="4:4" x14ac:dyDescent="0.3">
      <c r="D2280" t="s">
        <v>2310</v>
      </c>
    </row>
    <row r="2281" spans="4:4" x14ac:dyDescent="0.3">
      <c r="D2281" t="s">
        <v>2311</v>
      </c>
    </row>
    <row r="2282" spans="4:4" x14ac:dyDescent="0.3">
      <c r="D2282" t="s">
        <v>2312</v>
      </c>
    </row>
    <row r="2283" spans="4:4" x14ac:dyDescent="0.3">
      <c r="D2283" t="s">
        <v>2313</v>
      </c>
    </row>
    <row r="2284" spans="4:4" x14ac:dyDescent="0.3">
      <c r="D2284" t="s">
        <v>2314</v>
      </c>
    </row>
    <row r="2285" spans="4:4" x14ac:dyDescent="0.3">
      <c r="D2285" t="s">
        <v>2315</v>
      </c>
    </row>
    <row r="2286" spans="4:4" x14ac:dyDescent="0.3">
      <c r="D2286" t="s">
        <v>2316</v>
      </c>
    </row>
    <row r="2287" spans="4:4" x14ac:dyDescent="0.3">
      <c r="D2287" t="s">
        <v>2317</v>
      </c>
    </row>
    <row r="2288" spans="4:4" x14ac:dyDescent="0.3">
      <c r="D2288" t="s">
        <v>2318</v>
      </c>
    </row>
    <row r="2289" spans="4:4" x14ac:dyDescent="0.3">
      <c r="D2289" t="s">
        <v>2319</v>
      </c>
    </row>
    <row r="2290" spans="4:4" x14ac:dyDescent="0.3">
      <c r="D2290" t="s">
        <v>2320</v>
      </c>
    </row>
    <row r="2291" spans="4:4" x14ac:dyDescent="0.3">
      <c r="D2291" t="s">
        <v>2321</v>
      </c>
    </row>
    <row r="2292" spans="4:4" x14ac:dyDescent="0.3">
      <c r="D2292" t="s">
        <v>2322</v>
      </c>
    </row>
    <row r="2293" spans="4:4" x14ac:dyDescent="0.3">
      <c r="D2293" t="s">
        <v>2323</v>
      </c>
    </row>
    <row r="2294" spans="4:4" x14ac:dyDescent="0.3">
      <c r="D2294" t="s">
        <v>2324</v>
      </c>
    </row>
    <row r="2295" spans="4:4" x14ac:dyDescent="0.3">
      <c r="D2295" t="s">
        <v>2325</v>
      </c>
    </row>
    <row r="2296" spans="4:4" x14ac:dyDescent="0.3">
      <c r="D2296" t="s">
        <v>2326</v>
      </c>
    </row>
    <row r="2297" spans="4:4" x14ac:dyDescent="0.3">
      <c r="D2297" t="s">
        <v>2327</v>
      </c>
    </row>
    <row r="2298" spans="4:4" x14ac:dyDescent="0.3">
      <c r="D2298" t="s">
        <v>2328</v>
      </c>
    </row>
    <row r="2299" spans="4:4" x14ac:dyDescent="0.3">
      <c r="D2299" t="s">
        <v>2329</v>
      </c>
    </row>
    <row r="2300" spans="4:4" x14ac:dyDescent="0.3">
      <c r="D2300" t="s">
        <v>2330</v>
      </c>
    </row>
    <row r="2301" spans="4:4" x14ac:dyDescent="0.3">
      <c r="D2301" t="s">
        <v>2331</v>
      </c>
    </row>
    <row r="2302" spans="4:4" x14ac:dyDescent="0.3">
      <c r="D2302" t="s">
        <v>2332</v>
      </c>
    </row>
    <row r="2303" spans="4:4" x14ac:dyDescent="0.3">
      <c r="D2303" t="s">
        <v>2333</v>
      </c>
    </row>
    <row r="2304" spans="4:4" x14ac:dyDescent="0.3">
      <c r="D2304" t="s">
        <v>2334</v>
      </c>
    </row>
    <row r="2305" spans="4:4" x14ac:dyDescent="0.3">
      <c r="D2305" t="s">
        <v>2335</v>
      </c>
    </row>
    <row r="2306" spans="4:4" x14ac:dyDescent="0.3">
      <c r="D2306" t="s">
        <v>2336</v>
      </c>
    </row>
    <row r="2307" spans="4:4" x14ac:dyDescent="0.3">
      <c r="D2307" t="s">
        <v>2337</v>
      </c>
    </row>
    <row r="2308" spans="4:4" x14ac:dyDescent="0.3">
      <c r="D2308" t="s">
        <v>2338</v>
      </c>
    </row>
    <row r="2309" spans="4:4" x14ac:dyDescent="0.3">
      <c r="D2309" t="s">
        <v>2339</v>
      </c>
    </row>
    <row r="2310" spans="4:4" x14ac:dyDescent="0.3">
      <c r="D2310" t="s">
        <v>2340</v>
      </c>
    </row>
    <row r="2311" spans="4:4" x14ac:dyDescent="0.3">
      <c r="D2311" t="s">
        <v>2341</v>
      </c>
    </row>
    <row r="2312" spans="4:4" x14ac:dyDescent="0.3">
      <c r="D2312" t="s">
        <v>2342</v>
      </c>
    </row>
    <row r="2313" spans="4:4" x14ac:dyDescent="0.3">
      <c r="D2313" t="s">
        <v>2343</v>
      </c>
    </row>
    <row r="2314" spans="4:4" x14ac:dyDescent="0.3">
      <c r="D2314" t="s">
        <v>2344</v>
      </c>
    </row>
    <row r="2315" spans="4:4" x14ac:dyDescent="0.3">
      <c r="D2315" t="s">
        <v>2345</v>
      </c>
    </row>
    <row r="2316" spans="4:4" x14ac:dyDescent="0.3">
      <c r="D2316" t="s">
        <v>2346</v>
      </c>
    </row>
    <row r="2317" spans="4:4" x14ac:dyDescent="0.3">
      <c r="D2317" t="s">
        <v>2347</v>
      </c>
    </row>
    <row r="2318" spans="4:4" x14ac:dyDescent="0.3">
      <c r="D2318" t="s">
        <v>2348</v>
      </c>
    </row>
    <row r="2319" spans="4:4" x14ac:dyDescent="0.3">
      <c r="D2319" t="s">
        <v>2349</v>
      </c>
    </row>
    <row r="2320" spans="4:4" x14ac:dyDescent="0.3">
      <c r="D2320" t="s">
        <v>2350</v>
      </c>
    </row>
    <row r="2321" spans="4:4" x14ac:dyDescent="0.3">
      <c r="D2321" t="s">
        <v>2351</v>
      </c>
    </row>
    <row r="2322" spans="4:4" x14ac:dyDescent="0.3">
      <c r="D2322" t="s">
        <v>2352</v>
      </c>
    </row>
    <row r="2323" spans="4:4" x14ac:dyDescent="0.3">
      <c r="D2323" t="s">
        <v>2353</v>
      </c>
    </row>
    <row r="2324" spans="4:4" x14ac:dyDescent="0.3">
      <c r="D2324" t="s">
        <v>2354</v>
      </c>
    </row>
    <row r="2325" spans="4:4" x14ac:dyDescent="0.3">
      <c r="D2325" t="s">
        <v>2355</v>
      </c>
    </row>
    <row r="2326" spans="4:4" x14ac:dyDescent="0.3">
      <c r="D2326" t="s">
        <v>2356</v>
      </c>
    </row>
    <row r="2327" spans="4:4" x14ac:dyDescent="0.3">
      <c r="D2327" t="s">
        <v>2357</v>
      </c>
    </row>
    <row r="2328" spans="4:4" x14ac:dyDescent="0.3">
      <c r="D2328" t="s">
        <v>2358</v>
      </c>
    </row>
    <row r="2329" spans="4:4" x14ac:dyDescent="0.3">
      <c r="D2329" t="s">
        <v>2359</v>
      </c>
    </row>
    <row r="2330" spans="4:4" x14ac:dyDescent="0.3">
      <c r="D2330" t="s">
        <v>2360</v>
      </c>
    </row>
    <row r="2331" spans="4:4" x14ac:dyDescent="0.3">
      <c r="D2331" t="s">
        <v>2361</v>
      </c>
    </row>
    <row r="2332" spans="4:4" x14ac:dyDescent="0.3">
      <c r="D2332" t="s">
        <v>2362</v>
      </c>
    </row>
    <row r="2333" spans="4:4" x14ac:dyDescent="0.3">
      <c r="D2333" t="s">
        <v>2363</v>
      </c>
    </row>
    <row r="2334" spans="4:4" x14ac:dyDescent="0.3">
      <c r="D2334" t="s">
        <v>2364</v>
      </c>
    </row>
    <row r="2335" spans="4:4" x14ac:dyDescent="0.3">
      <c r="D2335" t="s">
        <v>2365</v>
      </c>
    </row>
    <row r="2336" spans="4:4" x14ac:dyDescent="0.3">
      <c r="D2336" t="s">
        <v>2366</v>
      </c>
    </row>
    <row r="2337" spans="4:4" x14ac:dyDescent="0.3">
      <c r="D2337" t="s">
        <v>2367</v>
      </c>
    </row>
    <row r="2338" spans="4:4" x14ac:dyDescent="0.3">
      <c r="D2338" t="s">
        <v>2368</v>
      </c>
    </row>
    <row r="2339" spans="4:4" x14ac:dyDescent="0.3">
      <c r="D2339" t="s">
        <v>2369</v>
      </c>
    </row>
    <row r="2340" spans="4:4" x14ac:dyDescent="0.3">
      <c r="D2340" t="s">
        <v>2370</v>
      </c>
    </row>
    <row r="2341" spans="4:4" x14ac:dyDescent="0.3">
      <c r="D2341" t="s">
        <v>2371</v>
      </c>
    </row>
    <row r="2342" spans="4:4" x14ac:dyDescent="0.3">
      <c r="D2342" t="s">
        <v>2372</v>
      </c>
    </row>
    <row r="2343" spans="4:4" x14ac:dyDescent="0.3">
      <c r="D2343" t="s">
        <v>2373</v>
      </c>
    </row>
    <row r="2344" spans="4:4" x14ac:dyDescent="0.3">
      <c r="D2344" t="s">
        <v>2374</v>
      </c>
    </row>
    <row r="2345" spans="4:4" x14ac:dyDescent="0.3">
      <c r="D2345" t="s">
        <v>2375</v>
      </c>
    </row>
    <row r="2346" spans="4:4" x14ac:dyDescent="0.3">
      <c r="D2346" t="s">
        <v>2376</v>
      </c>
    </row>
    <row r="2347" spans="4:4" x14ac:dyDescent="0.3">
      <c r="D2347" t="s">
        <v>2377</v>
      </c>
    </row>
    <row r="2348" spans="4:4" x14ac:dyDescent="0.3">
      <c r="D2348" t="s">
        <v>2378</v>
      </c>
    </row>
    <row r="2349" spans="4:4" x14ac:dyDescent="0.3">
      <c r="D2349" t="s">
        <v>2379</v>
      </c>
    </row>
    <row r="2350" spans="4:4" x14ac:dyDescent="0.3">
      <c r="D2350" t="s">
        <v>2380</v>
      </c>
    </row>
    <row r="2351" spans="4:4" x14ac:dyDescent="0.3">
      <c r="D2351" t="s">
        <v>2381</v>
      </c>
    </row>
    <row r="2352" spans="4:4" x14ac:dyDescent="0.3">
      <c r="D2352" t="s">
        <v>2382</v>
      </c>
    </row>
    <row r="2353" spans="4:4" x14ac:dyDescent="0.3">
      <c r="D2353" t="s">
        <v>2383</v>
      </c>
    </row>
    <row r="2354" spans="4:4" x14ac:dyDescent="0.3">
      <c r="D2354" t="s">
        <v>2384</v>
      </c>
    </row>
    <row r="2355" spans="4:4" x14ac:dyDescent="0.3">
      <c r="D2355" t="s">
        <v>2385</v>
      </c>
    </row>
    <row r="2356" spans="4:4" x14ac:dyDescent="0.3">
      <c r="D2356" t="s">
        <v>2386</v>
      </c>
    </row>
    <row r="2357" spans="4:4" x14ac:dyDescent="0.3">
      <c r="D2357" t="s">
        <v>2387</v>
      </c>
    </row>
    <row r="2358" spans="4:4" x14ac:dyDescent="0.3">
      <c r="D2358" t="s">
        <v>2388</v>
      </c>
    </row>
    <row r="2359" spans="4:4" x14ac:dyDescent="0.3">
      <c r="D2359" t="s">
        <v>2389</v>
      </c>
    </row>
    <row r="2360" spans="4:4" x14ac:dyDescent="0.3">
      <c r="D2360" t="s">
        <v>2390</v>
      </c>
    </row>
    <row r="2361" spans="4:4" x14ac:dyDescent="0.3">
      <c r="D2361" t="s">
        <v>2391</v>
      </c>
    </row>
    <row r="2362" spans="4:4" x14ac:dyDescent="0.3">
      <c r="D2362" t="s">
        <v>2392</v>
      </c>
    </row>
    <row r="2363" spans="4:4" x14ac:dyDescent="0.3">
      <c r="D2363" t="s">
        <v>2393</v>
      </c>
    </row>
    <row r="2364" spans="4:4" x14ac:dyDescent="0.3">
      <c r="D2364" t="s">
        <v>2394</v>
      </c>
    </row>
    <row r="2365" spans="4:4" x14ac:dyDescent="0.3">
      <c r="D2365" t="s">
        <v>2395</v>
      </c>
    </row>
    <row r="2366" spans="4:4" x14ac:dyDescent="0.3">
      <c r="D2366" t="s">
        <v>2396</v>
      </c>
    </row>
    <row r="2367" spans="4:4" x14ac:dyDescent="0.3">
      <c r="D2367" t="s">
        <v>2397</v>
      </c>
    </row>
    <row r="2368" spans="4:4" x14ac:dyDescent="0.3">
      <c r="D2368" t="s">
        <v>2398</v>
      </c>
    </row>
    <row r="2369" spans="4:4" x14ac:dyDescent="0.3">
      <c r="D2369" t="s">
        <v>2399</v>
      </c>
    </row>
    <row r="2370" spans="4:4" x14ac:dyDescent="0.3">
      <c r="D2370" t="s">
        <v>2400</v>
      </c>
    </row>
    <row r="2371" spans="4:4" x14ac:dyDescent="0.3">
      <c r="D2371" t="s">
        <v>2401</v>
      </c>
    </row>
    <row r="2372" spans="4:4" x14ac:dyDescent="0.3">
      <c r="D2372" t="s">
        <v>2402</v>
      </c>
    </row>
    <row r="2373" spans="4:4" x14ac:dyDescent="0.3">
      <c r="D2373" t="s">
        <v>2403</v>
      </c>
    </row>
    <row r="2374" spans="4:4" x14ac:dyDescent="0.3">
      <c r="D2374" t="s">
        <v>2404</v>
      </c>
    </row>
    <row r="2375" spans="4:4" x14ac:dyDescent="0.3">
      <c r="D2375" t="s">
        <v>2405</v>
      </c>
    </row>
    <row r="2376" spans="4:4" x14ac:dyDescent="0.3">
      <c r="D2376" t="s">
        <v>2406</v>
      </c>
    </row>
    <row r="2377" spans="4:4" x14ac:dyDescent="0.3">
      <c r="D2377" t="s">
        <v>2407</v>
      </c>
    </row>
    <row r="2378" spans="4:4" x14ac:dyDescent="0.3">
      <c r="D2378" t="s">
        <v>2408</v>
      </c>
    </row>
    <row r="2379" spans="4:4" x14ac:dyDescent="0.3">
      <c r="D2379" t="s">
        <v>2409</v>
      </c>
    </row>
    <row r="2380" spans="4:4" x14ac:dyDescent="0.3">
      <c r="D2380" t="s">
        <v>2410</v>
      </c>
    </row>
    <row r="2381" spans="4:4" x14ac:dyDescent="0.3">
      <c r="D2381" t="s">
        <v>2411</v>
      </c>
    </row>
    <row r="2382" spans="4:4" x14ac:dyDescent="0.3">
      <c r="D2382" t="s">
        <v>2412</v>
      </c>
    </row>
    <row r="2383" spans="4:4" x14ac:dyDescent="0.3">
      <c r="D2383" t="s">
        <v>2413</v>
      </c>
    </row>
    <row r="2384" spans="4:4" x14ac:dyDescent="0.3">
      <c r="D2384" t="s">
        <v>2414</v>
      </c>
    </row>
    <row r="2385" spans="4:4" x14ac:dyDescent="0.3">
      <c r="D2385" t="s">
        <v>2415</v>
      </c>
    </row>
    <row r="2386" spans="4:4" x14ac:dyDescent="0.3">
      <c r="D2386" t="s">
        <v>2416</v>
      </c>
    </row>
    <row r="2387" spans="4:4" x14ac:dyDescent="0.3">
      <c r="D2387" t="s">
        <v>2417</v>
      </c>
    </row>
    <row r="2388" spans="4:4" x14ac:dyDescent="0.3">
      <c r="D2388" t="s">
        <v>2418</v>
      </c>
    </row>
    <row r="2389" spans="4:4" x14ac:dyDescent="0.3">
      <c r="D2389" t="s">
        <v>2419</v>
      </c>
    </row>
    <row r="2390" spans="4:4" x14ac:dyDescent="0.3">
      <c r="D2390" t="s">
        <v>2420</v>
      </c>
    </row>
    <row r="2391" spans="4:4" x14ac:dyDescent="0.3">
      <c r="D2391" t="s">
        <v>2421</v>
      </c>
    </row>
    <row r="2392" spans="4:4" x14ac:dyDescent="0.3">
      <c r="D2392" t="s">
        <v>2422</v>
      </c>
    </row>
    <row r="2393" spans="4:4" x14ac:dyDescent="0.3">
      <c r="D2393" t="s">
        <v>2423</v>
      </c>
    </row>
    <row r="2394" spans="4:4" x14ac:dyDescent="0.3">
      <c r="D2394" t="s">
        <v>2424</v>
      </c>
    </row>
    <row r="2395" spans="4:4" x14ac:dyDescent="0.3">
      <c r="D2395" t="s">
        <v>2425</v>
      </c>
    </row>
    <row r="2396" spans="4:4" x14ac:dyDescent="0.3">
      <c r="D2396" t="s">
        <v>2426</v>
      </c>
    </row>
    <row r="2397" spans="4:4" x14ac:dyDescent="0.3">
      <c r="D2397" t="s">
        <v>2427</v>
      </c>
    </row>
    <row r="2398" spans="4:4" x14ac:dyDescent="0.3">
      <c r="D2398" t="s">
        <v>2428</v>
      </c>
    </row>
    <row r="2399" spans="4:4" x14ac:dyDescent="0.3">
      <c r="D2399" t="s">
        <v>2429</v>
      </c>
    </row>
    <row r="2400" spans="4:4" x14ac:dyDescent="0.3">
      <c r="D2400" t="s">
        <v>2430</v>
      </c>
    </row>
    <row r="2401" spans="4:4" x14ac:dyDescent="0.3">
      <c r="D2401" t="s">
        <v>2431</v>
      </c>
    </row>
    <row r="2402" spans="4:4" x14ac:dyDescent="0.3">
      <c r="D2402" t="s">
        <v>2432</v>
      </c>
    </row>
    <row r="2403" spans="4:4" x14ac:dyDescent="0.3">
      <c r="D2403" t="s">
        <v>2433</v>
      </c>
    </row>
    <row r="2404" spans="4:4" x14ac:dyDescent="0.3">
      <c r="D2404" t="s">
        <v>2434</v>
      </c>
    </row>
    <row r="2405" spans="4:4" x14ac:dyDescent="0.3">
      <c r="D2405" t="s">
        <v>2435</v>
      </c>
    </row>
    <row r="2406" spans="4:4" x14ac:dyDescent="0.3">
      <c r="D2406" t="s">
        <v>2436</v>
      </c>
    </row>
    <row r="2407" spans="4:4" x14ac:dyDescent="0.3">
      <c r="D2407" t="s">
        <v>2437</v>
      </c>
    </row>
    <row r="2408" spans="4:4" x14ac:dyDescent="0.3">
      <c r="D2408" t="s">
        <v>2438</v>
      </c>
    </row>
    <row r="2409" spans="4:4" x14ac:dyDescent="0.3">
      <c r="D2409" t="s">
        <v>2439</v>
      </c>
    </row>
    <row r="2410" spans="4:4" x14ac:dyDescent="0.3">
      <c r="D2410" t="s">
        <v>2440</v>
      </c>
    </row>
    <row r="2411" spans="4:4" x14ac:dyDescent="0.3">
      <c r="D2411" t="s">
        <v>2441</v>
      </c>
    </row>
    <row r="2412" spans="4:4" x14ac:dyDescent="0.3">
      <c r="D2412" t="s">
        <v>2442</v>
      </c>
    </row>
    <row r="2413" spans="4:4" x14ac:dyDescent="0.3">
      <c r="D2413" t="s">
        <v>2443</v>
      </c>
    </row>
    <row r="2414" spans="4:4" x14ac:dyDescent="0.3">
      <c r="D2414" t="s">
        <v>2444</v>
      </c>
    </row>
    <row r="2415" spans="4:4" x14ac:dyDescent="0.3">
      <c r="D2415" t="s">
        <v>2445</v>
      </c>
    </row>
    <row r="2416" spans="4:4" x14ac:dyDescent="0.3">
      <c r="D2416" t="s">
        <v>2446</v>
      </c>
    </row>
    <row r="2417" spans="4:4" x14ac:dyDescent="0.3">
      <c r="D2417" t="s">
        <v>2447</v>
      </c>
    </row>
    <row r="2418" spans="4:4" x14ac:dyDescent="0.3">
      <c r="D2418" t="s">
        <v>2448</v>
      </c>
    </row>
    <row r="2419" spans="4:4" x14ac:dyDescent="0.3">
      <c r="D2419" t="s">
        <v>2449</v>
      </c>
    </row>
    <row r="2420" spans="4:4" x14ac:dyDescent="0.3">
      <c r="D2420" t="s">
        <v>2450</v>
      </c>
    </row>
    <row r="2421" spans="4:4" x14ac:dyDescent="0.3">
      <c r="D2421" t="s">
        <v>2451</v>
      </c>
    </row>
    <row r="2422" spans="4:4" x14ac:dyDescent="0.3">
      <c r="D2422" t="s">
        <v>2452</v>
      </c>
    </row>
    <row r="2423" spans="4:4" x14ac:dyDescent="0.3">
      <c r="D2423" t="s">
        <v>2453</v>
      </c>
    </row>
    <row r="2424" spans="4:4" x14ac:dyDescent="0.3">
      <c r="D2424" t="s">
        <v>2454</v>
      </c>
    </row>
    <row r="2425" spans="4:4" x14ac:dyDescent="0.3">
      <c r="D2425" t="s">
        <v>2455</v>
      </c>
    </row>
    <row r="2426" spans="4:4" x14ac:dyDescent="0.3">
      <c r="D2426" t="s">
        <v>2456</v>
      </c>
    </row>
    <row r="2427" spans="4:4" x14ac:dyDescent="0.3">
      <c r="D2427" t="s">
        <v>2457</v>
      </c>
    </row>
    <row r="2428" spans="4:4" x14ac:dyDescent="0.3">
      <c r="D2428" t="s">
        <v>2458</v>
      </c>
    </row>
    <row r="2429" spans="4:4" x14ac:dyDescent="0.3">
      <c r="D2429" t="s">
        <v>2459</v>
      </c>
    </row>
    <row r="2430" spans="4:4" x14ac:dyDescent="0.3">
      <c r="D2430" t="s">
        <v>2460</v>
      </c>
    </row>
    <row r="2431" spans="4:4" x14ac:dyDescent="0.3">
      <c r="D2431" t="s">
        <v>2461</v>
      </c>
    </row>
    <row r="2432" spans="4:4" x14ac:dyDescent="0.3">
      <c r="D2432" t="s">
        <v>2462</v>
      </c>
    </row>
    <row r="2433" spans="4:4" x14ac:dyDescent="0.3">
      <c r="D2433" t="s">
        <v>2463</v>
      </c>
    </row>
    <row r="2434" spans="4:4" x14ac:dyDescent="0.3">
      <c r="D2434" t="s">
        <v>2464</v>
      </c>
    </row>
    <row r="2435" spans="4:4" x14ac:dyDescent="0.3">
      <c r="D2435" t="s">
        <v>2465</v>
      </c>
    </row>
    <row r="2436" spans="4:4" x14ac:dyDescent="0.3">
      <c r="D2436" t="s">
        <v>2466</v>
      </c>
    </row>
    <row r="2437" spans="4:4" x14ac:dyDescent="0.3">
      <c r="D2437" t="s">
        <v>2467</v>
      </c>
    </row>
    <row r="2438" spans="4:4" x14ac:dyDescent="0.3">
      <c r="D2438" t="s">
        <v>2468</v>
      </c>
    </row>
    <row r="2439" spans="4:4" x14ac:dyDescent="0.3">
      <c r="D2439" t="s">
        <v>2469</v>
      </c>
    </row>
    <row r="2440" spans="4:4" x14ac:dyDescent="0.3">
      <c r="D2440" t="s">
        <v>2470</v>
      </c>
    </row>
    <row r="2441" spans="4:4" x14ac:dyDescent="0.3">
      <c r="D2441" t="s">
        <v>2471</v>
      </c>
    </row>
    <row r="2442" spans="4:4" x14ac:dyDescent="0.3">
      <c r="D2442" t="s">
        <v>2472</v>
      </c>
    </row>
    <row r="2443" spans="4:4" x14ac:dyDescent="0.3">
      <c r="D2443" t="s">
        <v>2473</v>
      </c>
    </row>
    <row r="2444" spans="4:4" x14ac:dyDescent="0.3">
      <c r="D2444" t="s">
        <v>2474</v>
      </c>
    </row>
    <row r="2445" spans="4:4" x14ac:dyDescent="0.3">
      <c r="D2445" t="s">
        <v>2475</v>
      </c>
    </row>
    <row r="2446" spans="4:4" x14ac:dyDescent="0.3">
      <c r="D2446" t="s">
        <v>2476</v>
      </c>
    </row>
    <row r="2447" spans="4:4" x14ac:dyDescent="0.3">
      <c r="D2447" t="s">
        <v>2477</v>
      </c>
    </row>
    <row r="2448" spans="4:4" x14ac:dyDescent="0.3">
      <c r="D2448" t="s">
        <v>2478</v>
      </c>
    </row>
    <row r="2449" spans="4:4" x14ac:dyDescent="0.3">
      <c r="D2449" t="s">
        <v>2479</v>
      </c>
    </row>
    <row r="2450" spans="4:4" x14ac:dyDescent="0.3">
      <c r="D2450" t="s">
        <v>2480</v>
      </c>
    </row>
    <row r="2451" spans="4:4" x14ac:dyDescent="0.3">
      <c r="D2451" t="s">
        <v>2481</v>
      </c>
    </row>
    <row r="2452" spans="4:4" x14ac:dyDescent="0.3">
      <c r="D2452" t="s">
        <v>2482</v>
      </c>
    </row>
    <row r="2453" spans="4:4" x14ac:dyDescent="0.3">
      <c r="D2453" t="s">
        <v>2483</v>
      </c>
    </row>
    <row r="2454" spans="4:4" x14ac:dyDescent="0.3">
      <c r="D2454" t="s">
        <v>2484</v>
      </c>
    </row>
    <row r="2455" spans="4:4" x14ac:dyDescent="0.3">
      <c r="D2455" t="s">
        <v>2485</v>
      </c>
    </row>
    <row r="2456" spans="4:4" x14ac:dyDescent="0.3">
      <c r="D2456" t="s">
        <v>2486</v>
      </c>
    </row>
    <row r="2457" spans="4:4" x14ac:dyDescent="0.3">
      <c r="D2457" t="s">
        <v>2487</v>
      </c>
    </row>
    <row r="2458" spans="4:4" x14ac:dyDescent="0.3">
      <c r="D2458" t="s">
        <v>2488</v>
      </c>
    </row>
    <row r="2459" spans="4:4" x14ac:dyDescent="0.3">
      <c r="D2459" t="s">
        <v>2489</v>
      </c>
    </row>
    <row r="2460" spans="4:4" x14ac:dyDescent="0.3">
      <c r="D2460" t="s">
        <v>2490</v>
      </c>
    </row>
    <row r="2461" spans="4:4" x14ac:dyDescent="0.3">
      <c r="D2461" t="s">
        <v>2491</v>
      </c>
    </row>
    <row r="2462" spans="4:4" x14ac:dyDescent="0.3">
      <c r="D2462" t="s">
        <v>2492</v>
      </c>
    </row>
    <row r="2463" spans="4:4" x14ac:dyDescent="0.3">
      <c r="D2463" t="s">
        <v>2493</v>
      </c>
    </row>
    <row r="2464" spans="4:4" x14ac:dyDescent="0.3">
      <c r="D2464" t="s">
        <v>2494</v>
      </c>
    </row>
    <row r="2465" spans="4:4" x14ac:dyDescent="0.3">
      <c r="D2465" t="s">
        <v>2495</v>
      </c>
    </row>
    <row r="2466" spans="4:4" x14ac:dyDescent="0.3">
      <c r="D2466" t="s">
        <v>2496</v>
      </c>
    </row>
    <row r="2467" spans="4:4" x14ac:dyDescent="0.3">
      <c r="D2467" t="s">
        <v>2497</v>
      </c>
    </row>
    <row r="2468" spans="4:4" x14ac:dyDescent="0.3">
      <c r="D2468" t="s">
        <v>2498</v>
      </c>
    </row>
    <row r="2469" spans="4:4" x14ac:dyDescent="0.3">
      <c r="D2469" t="s">
        <v>2499</v>
      </c>
    </row>
    <row r="2470" spans="4:4" x14ac:dyDescent="0.3">
      <c r="D2470" t="s">
        <v>2500</v>
      </c>
    </row>
    <row r="2471" spans="4:4" x14ac:dyDescent="0.3">
      <c r="D2471" t="s">
        <v>2501</v>
      </c>
    </row>
    <row r="2472" spans="4:4" x14ac:dyDescent="0.3">
      <c r="D2472" t="s">
        <v>2502</v>
      </c>
    </row>
    <row r="2473" spans="4:4" x14ac:dyDescent="0.3">
      <c r="D2473" t="s">
        <v>2503</v>
      </c>
    </row>
    <row r="2474" spans="4:4" x14ac:dyDescent="0.3">
      <c r="D2474" t="s">
        <v>2504</v>
      </c>
    </row>
    <row r="2475" spans="4:4" x14ac:dyDescent="0.3">
      <c r="D2475" t="s">
        <v>2505</v>
      </c>
    </row>
    <row r="2476" spans="4:4" x14ac:dyDescent="0.3">
      <c r="D2476" t="s">
        <v>2506</v>
      </c>
    </row>
    <row r="2477" spans="4:4" x14ac:dyDescent="0.3">
      <c r="D2477" t="s">
        <v>2507</v>
      </c>
    </row>
    <row r="2478" spans="4:4" x14ac:dyDescent="0.3">
      <c r="D2478" t="s">
        <v>2508</v>
      </c>
    </row>
    <row r="2479" spans="4:4" x14ac:dyDescent="0.3">
      <c r="D2479" t="s">
        <v>2509</v>
      </c>
    </row>
    <row r="2480" spans="4:4" x14ac:dyDescent="0.3">
      <c r="D2480" t="s">
        <v>2510</v>
      </c>
    </row>
    <row r="2481" spans="4:4" x14ac:dyDescent="0.3">
      <c r="D2481" t="s">
        <v>2511</v>
      </c>
    </row>
    <row r="2482" spans="4:4" x14ac:dyDescent="0.3">
      <c r="D2482" t="s">
        <v>2512</v>
      </c>
    </row>
    <row r="2483" spans="4:4" x14ac:dyDescent="0.3">
      <c r="D2483" t="s">
        <v>2513</v>
      </c>
    </row>
    <row r="2484" spans="4:4" x14ac:dyDescent="0.3">
      <c r="D2484" t="s">
        <v>2514</v>
      </c>
    </row>
    <row r="2485" spans="4:4" x14ac:dyDescent="0.3">
      <c r="D2485" t="s">
        <v>2515</v>
      </c>
    </row>
    <row r="2486" spans="4:4" x14ac:dyDescent="0.3">
      <c r="D2486" t="s">
        <v>2516</v>
      </c>
    </row>
    <row r="2487" spans="4:4" x14ac:dyDescent="0.3">
      <c r="D2487" t="s">
        <v>2517</v>
      </c>
    </row>
    <row r="2488" spans="4:4" x14ac:dyDescent="0.3">
      <c r="D2488" t="s">
        <v>2518</v>
      </c>
    </row>
    <row r="2489" spans="4:4" x14ac:dyDescent="0.3">
      <c r="D2489" t="s">
        <v>2519</v>
      </c>
    </row>
    <row r="2490" spans="4:4" x14ac:dyDescent="0.3">
      <c r="D2490" t="s">
        <v>2520</v>
      </c>
    </row>
    <row r="2491" spans="4:4" x14ac:dyDescent="0.3">
      <c r="D2491" t="s">
        <v>2521</v>
      </c>
    </row>
    <row r="2492" spans="4:4" x14ac:dyDescent="0.3">
      <c r="D2492" t="s">
        <v>2522</v>
      </c>
    </row>
    <row r="2493" spans="4:4" x14ac:dyDescent="0.3">
      <c r="D2493" t="s">
        <v>2523</v>
      </c>
    </row>
    <row r="2494" spans="4:4" x14ac:dyDescent="0.3">
      <c r="D2494" t="s">
        <v>2524</v>
      </c>
    </row>
    <row r="2495" spans="4:4" x14ac:dyDescent="0.3">
      <c r="D2495" t="s">
        <v>2525</v>
      </c>
    </row>
    <row r="2496" spans="4:4" x14ac:dyDescent="0.3">
      <c r="D2496" t="s">
        <v>2526</v>
      </c>
    </row>
    <row r="2497" spans="4:4" x14ac:dyDescent="0.3">
      <c r="D2497" t="s">
        <v>2527</v>
      </c>
    </row>
    <row r="2498" spans="4:4" x14ac:dyDescent="0.3">
      <c r="D2498" t="s">
        <v>2528</v>
      </c>
    </row>
    <row r="2499" spans="4:4" x14ac:dyDescent="0.3">
      <c r="D2499" t="s">
        <v>2529</v>
      </c>
    </row>
    <row r="2500" spans="4:4" x14ac:dyDescent="0.3">
      <c r="D2500" t="s">
        <v>2530</v>
      </c>
    </row>
    <row r="2501" spans="4:4" x14ac:dyDescent="0.3">
      <c r="D2501" t="s">
        <v>2531</v>
      </c>
    </row>
    <row r="2502" spans="4:4" x14ac:dyDescent="0.3">
      <c r="D2502" t="s">
        <v>2532</v>
      </c>
    </row>
    <row r="2503" spans="4:4" x14ac:dyDescent="0.3">
      <c r="D2503" t="s">
        <v>2533</v>
      </c>
    </row>
    <row r="2504" spans="4:4" x14ac:dyDescent="0.3">
      <c r="D2504" t="s">
        <v>2534</v>
      </c>
    </row>
    <row r="2505" spans="4:4" x14ac:dyDescent="0.3">
      <c r="D2505" t="s">
        <v>2535</v>
      </c>
    </row>
    <row r="2506" spans="4:4" x14ac:dyDescent="0.3">
      <c r="D2506" t="s">
        <v>2536</v>
      </c>
    </row>
    <row r="2507" spans="4:4" x14ac:dyDescent="0.3">
      <c r="D2507" t="s">
        <v>2537</v>
      </c>
    </row>
    <row r="2508" spans="4:4" x14ac:dyDescent="0.3">
      <c r="D2508" t="s">
        <v>2538</v>
      </c>
    </row>
    <row r="2509" spans="4:4" x14ac:dyDescent="0.3">
      <c r="D2509" t="s">
        <v>2539</v>
      </c>
    </row>
    <row r="2510" spans="4:4" x14ac:dyDescent="0.3">
      <c r="D2510" t="s">
        <v>2540</v>
      </c>
    </row>
    <row r="2511" spans="4:4" x14ac:dyDescent="0.3">
      <c r="D2511" t="s">
        <v>2541</v>
      </c>
    </row>
    <row r="2512" spans="4:4" x14ac:dyDescent="0.3">
      <c r="D2512" t="s">
        <v>2542</v>
      </c>
    </row>
    <row r="2513" spans="4:4" x14ac:dyDescent="0.3">
      <c r="D2513" t="s">
        <v>2543</v>
      </c>
    </row>
    <row r="2514" spans="4:4" x14ac:dyDescent="0.3">
      <c r="D2514" t="s">
        <v>2544</v>
      </c>
    </row>
    <row r="2515" spans="4:4" x14ac:dyDescent="0.3">
      <c r="D2515" t="s">
        <v>2545</v>
      </c>
    </row>
    <row r="2516" spans="4:4" x14ac:dyDescent="0.3">
      <c r="D2516" t="s">
        <v>2546</v>
      </c>
    </row>
    <row r="2517" spans="4:4" x14ac:dyDescent="0.3">
      <c r="D2517" t="s">
        <v>2547</v>
      </c>
    </row>
    <row r="2518" spans="4:4" x14ac:dyDescent="0.3">
      <c r="D2518" t="s">
        <v>2548</v>
      </c>
    </row>
    <row r="2519" spans="4:4" x14ac:dyDescent="0.3">
      <c r="D2519" t="s">
        <v>2549</v>
      </c>
    </row>
    <row r="2520" spans="4:4" x14ac:dyDescent="0.3">
      <c r="D2520" t="s">
        <v>2550</v>
      </c>
    </row>
    <row r="2521" spans="4:4" x14ac:dyDescent="0.3">
      <c r="D2521" t="s">
        <v>2551</v>
      </c>
    </row>
    <row r="2522" spans="4:4" x14ac:dyDescent="0.3">
      <c r="D2522" t="s">
        <v>2552</v>
      </c>
    </row>
    <row r="2523" spans="4:4" x14ac:dyDescent="0.3">
      <c r="D2523" t="s">
        <v>2553</v>
      </c>
    </row>
    <row r="2524" spans="4:4" x14ac:dyDescent="0.3">
      <c r="D2524" t="s">
        <v>2554</v>
      </c>
    </row>
    <row r="2525" spans="4:4" x14ac:dyDescent="0.3">
      <c r="D2525" t="s">
        <v>2555</v>
      </c>
    </row>
    <row r="2526" spans="4:4" x14ac:dyDescent="0.3">
      <c r="D2526" t="s">
        <v>2556</v>
      </c>
    </row>
    <row r="2527" spans="4:4" x14ac:dyDescent="0.3">
      <c r="D2527" t="s">
        <v>2557</v>
      </c>
    </row>
    <row r="2528" spans="4:4" x14ac:dyDescent="0.3">
      <c r="D2528" t="s">
        <v>2558</v>
      </c>
    </row>
    <row r="2529" spans="4:4" x14ac:dyDescent="0.3">
      <c r="D2529" t="s">
        <v>2559</v>
      </c>
    </row>
    <row r="2530" spans="4:4" x14ac:dyDescent="0.3">
      <c r="D2530" t="s">
        <v>2560</v>
      </c>
    </row>
    <row r="2531" spans="4:4" x14ac:dyDescent="0.3">
      <c r="D2531" t="s">
        <v>2561</v>
      </c>
    </row>
    <row r="2532" spans="4:4" x14ac:dyDescent="0.3">
      <c r="D2532" t="s">
        <v>2562</v>
      </c>
    </row>
    <row r="2533" spans="4:4" x14ac:dyDescent="0.3">
      <c r="D2533" t="s">
        <v>2563</v>
      </c>
    </row>
    <row r="2534" spans="4:4" x14ac:dyDescent="0.3">
      <c r="D2534" t="s">
        <v>2564</v>
      </c>
    </row>
    <row r="2535" spans="4:4" x14ac:dyDescent="0.3">
      <c r="D2535" t="s">
        <v>2565</v>
      </c>
    </row>
    <row r="2536" spans="4:4" x14ac:dyDescent="0.3">
      <c r="D2536" t="s">
        <v>2566</v>
      </c>
    </row>
    <row r="2537" spans="4:4" x14ac:dyDescent="0.3">
      <c r="D2537" t="s">
        <v>2567</v>
      </c>
    </row>
    <row r="2538" spans="4:4" x14ac:dyDescent="0.3">
      <c r="D2538" t="s">
        <v>2568</v>
      </c>
    </row>
    <row r="2539" spans="4:4" x14ac:dyDescent="0.3">
      <c r="D2539" t="s">
        <v>2569</v>
      </c>
    </row>
    <row r="2540" spans="4:4" x14ac:dyDescent="0.3">
      <c r="D2540" t="s">
        <v>2570</v>
      </c>
    </row>
    <row r="2541" spans="4:4" x14ac:dyDescent="0.3">
      <c r="D2541" t="s">
        <v>2571</v>
      </c>
    </row>
    <row r="2542" spans="4:4" x14ac:dyDescent="0.3">
      <c r="D2542" t="s">
        <v>2572</v>
      </c>
    </row>
    <row r="2543" spans="4:4" x14ac:dyDescent="0.3">
      <c r="D2543" t="s">
        <v>2573</v>
      </c>
    </row>
    <row r="2544" spans="4:4" x14ac:dyDescent="0.3">
      <c r="D2544" t="s">
        <v>2574</v>
      </c>
    </row>
    <row r="2545" spans="4:4" x14ac:dyDescent="0.3">
      <c r="D2545" t="s">
        <v>2575</v>
      </c>
    </row>
    <row r="2546" spans="4:4" x14ac:dyDescent="0.3">
      <c r="D2546" t="s">
        <v>2576</v>
      </c>
    </row>
    <row r="2547" spans="4:4" x14ac:dyDescent="0.3">
      <c r="D2547" t="s">
        <v>2577</v>
      </c>
    </row>
    <row r="2548" spans="4:4" x14ac:dyDescent="0.3">
      <c r="D2548" t="s">
        <v>2578</v>
      </c>
    </row>
    <row r="2549" spans="4:4" x14ac:dyDescent="0.3">
      <c r="D2549" t="s">
        <v>2579</v>
      </c>
    </row>
    <row r="2550" spans="4:4" x14ac:dyDescent="0.3">
      <c r="D2550" t="s">
        <v>2580</v>
      </c>
    </row>
    <row r="2551" spans="4:4" x14ac:dyDescent="0.3">
      <c r="D2551" t="s">
        <v>2581</v>
      </c>
    </row>
    <row r="2552" spans="4:4" x14ac:dyDescent="0.3">
      <c r="D2552" t="s">
        <v>2582</v>
      </c>
    </row>
    <row r="2553" spans="4:4" x14ac:dyDescent="0.3">
      <c r="D2553" t="s">
        <v>2583</v>
      </c>
    </row>
    <row r="2554" spans="4:4" x14ac:dyDescent="0.3">
      <c r="D2554" t="s">
        <v>2584</v>
      </c>
    </row>
    <row r="2555" spans="4:4" x14ac:dyDescent="0.3">
      <c r="D2555" t="s">
        <v>2585</v>
      </c>
    </row>
    <row r="2556" spans="4:4" x14ac:dyDescent="0.3">
      <c r="D2556" t="s">
        <v>2586</v>
      </c>
    </row>
    <row r="2557" spans="4:4" x14ac:dyDescent="0.3">
      <c r="D2557" t="s">
        <v>2587</v>
      </c>
    </row>
    <row r="2558" spans="4:4" x14ac:dyDescent="0.3">
      <c r="D2558" t="s">
        <v>2588</v>
      </c>
    </row>
    <row r="2559" spans="4:4" x14ac:dyDescent="0.3">
      <c r="D2559" t="s">
        <v>2589</v>
      </c>
    </row>
    <row r="2560" spans="4:4" x14ac:dyDescent="0.3">
      <c r="D2560" t="s">
        <v>2590</v>
      </c>
    </row>
    <row r="2561" spans="4:4" x14ac:dyDescent="0.3">
      <c r="D2561" t="s">
        <v>2591</v>
      </c>
    </row>
    <row r="2562" spans="4:4" x14ac:dyDescent="0.3">
      <c r="D2562" t="s">
        <v>2592</v>
      </c>
    </row>
    <row r="2563" spans="4:4" x14ac:dyDescent="0.3">
      <c r="D2563" t="s">
        <v>2593</v>
      </c>
    </row>
    <row r="2564" spans="4:4" x14ac:dyDescent="0.3">
      <c r="D2564" t="s">
        <v>2594</v>
      </c>
    </row>
    <row r="2565" spans="4:4" x14ac:dyDescent="0.3">
      <c r="D2565" t="s">
        <v>2595</v>
      </c>
    </row>
    <row r="2566" spans="4:4" x14ac:dyDescent="0.3">
      <c r="D2566" t="s">
        <v>2596</v>
      </c>
    </row>
    <row r="2567" spans="4:4" x14ac:dyDescent="0.3">
      <c r="D2567" t="s">
        <v>2597</v>
      </c>
    </row>
    <row r="2568" spans="4:4" x14ac:dyDescent="0.3">
      <c r="D2568" t="s">
        <v>2598</v>
      </c>
    </row>
    <row r="2569" spans="4:4" x14ac:dyDescent="0.3">
      <c r="D2569" t="s">
        <v>2599</v>
      </c>
    </row>
    <row r="2570" spans="4:4" x14ac:dyDescent="0.3">
      <c r="D2570" t="s">
        <v>2600</v>
      </c>
    </row>
    <row r="2571" spans="4:4" x14ac:dyDescent="0.3">
      <c r="D2571" t="s">
        <v>2601</v>
      </c>
    </row>
    <row r="2572" spans="4:4" x14ac:dyDescent="0.3">
      <c r="D2572" t="s">
        <v>2602</v>
      </c>
    </row>
    <row r="2573" spans="4:4" x14ac:dyDescent="0.3">
      <c r="D2573" t="s">
        <v>2603</v>
      </c>
    </row>
    <row r="2574" spans="4:4" x14ac:dyDescent="0.3">
      <c r="D2574" t="s">
        <v>2604</v>
      </c>
    </row>
    <row r="2575" spans="4:4" x14ac:dyDescent="0.3">
      <c r="D2575" t="s">
        <v>2605</v>
      </c>
    </row>
    <row r="2576" spans="4:4" x14ac:dyDescent="0.3">
      <c r="D2576" t="s">
        <v>2606</v>
      </c>
    </row>
    <row r="2577" spans="4:4" x14ac:dyDescent="0.3">
      <c r="D2577" t="s">
        <v>2607</v>
      </c>
    </row>
    <row r="2578" spans="4:4" x14ac:dyDescent="0.3">
      <c r="D2578" t="s">
        <v>2608</v>
      </c>
    </row>
    <row r="2579" spans="4:4" x14ac:dyDescent="0.3">
      <c r="D2579" t="s">
        <v>2609</v>
      </c>
    </row>
    <row r="2580" spans="4:4" x14ac:dyDescent="0.3">
      <c r="D2580" t="s">
        <v>2610</v>
      </c>
    </row>
    <row r="2581" spans="4:4" x14ac:dyDescent="0.3">
      <c r="D2581" t="s">
        <v>2611</v>
      </c>
    </row>
    <row r="2582" spans="4:4" x14ac:dyDescent="0.3">
      <c r="D2582" t="s">
        <v>2612</v>
      </c>
    </row>
    <row r="2583" spans="4:4" x14ac:dyDescent="0.3">
      <c r="D2583" t="s">
        <v>2613</v>
      </c>
    </row>
    <row r="2584" spans="4:4" x14ac:dyDescent="0.3">
      <c r="D2584" t="s">
        <v>2614</v>
      </c>
    </row>
    <row r="2585" spans="4:4" x14ac:dyDescent="0.3">
      <c r="D2585" t="s">
        <v>2615</v>
      </c>
    </row>
    <row r="2586" spans="4:4" x14ac:dyDescent="0.3">
      <c r="D2586" t="s">
        <v>2616</v>
      </c>
    </row>
    <row r="2587" spans="4:4" x14ac:dyDescent="0.3">
      <c r="D2587" t="s">
        <v>2617</v>
      </c>
    </row>
    <row r="2588" spans="4:4" x14ac:dyDescent="0.3">
      <c r="D2588" t="s">
        <v>2618</v>
      </c>
    </row>
    <row r="2589" spans="4:4" x14ac:dyDescent="0.3">
      <c r="D2589" t="s">
        <v>2619</v>
      </c>
    </row>
    <row r="2590" spans="4:4" x14ac:dyDescent="0.3">
      <c r="D2590" t="s">
        <v>2620</v>
      </c>
    </row>
    <row r="2591" spans="4:4" x14ac:dyDescent="0.3">
      <c r="D2591" t="s">
        <v>2621</v>
      </c>
    </row>
    <row r="2592" spans="4:4" x14ac:dyDescent="0.3">
      <c r="D2592" t="s">
        <v>2622</v>
      </c>
    </row>
    <row r="2593" spans="4:4" x14ac:dyDescent="0.3">
      <c r="D2593" t="s">
        <v>2623</v>
      </c>
    </row>
    <row r="2594" spans="4:4" x14ac:dyDescent="0.3">
      <c r="D2594" t="s">
        <v>2624</v>
      </c>
    </row>
    <row r="2595" spans="4:4" x14ac:dyDescent="0.3">
      <c r="D2595" t="s">
        <v>2625</v>
      </c>
    </row>
    <row r="2596" spans="4:4" x14ac:dyDescent="0.3">
      <c r="D2596" t="s">
        <v>2626</v>
      </c>
    </row>
    <row r="2597" spans="4:4" x14ac:dyDescent="0.3">
      <c r="D2597" t="s">
        <v>2627</v>
      </c>
    </row>
    <row r="2598" spans="4:4" x14ac:dyDescent="0.3">
      <c r="D2598" t="s">
        <v>2628</v>
      </c>
    </row>
    <row r="2599" spans="4:4" x14ac:dyDescent="0.3">
      <c r="D2599" t="s">
        <v>2629</v>
      </c>
    </row>
    <row r="2600" spans="4:4" x14ac:dyDescent="0.3">
      <c r="D2600" t="s">
        <v>2630</v>
      </c>
    </row>
    <row r="2601" spans="4:4" x14ac:dyDescent="0.3">
      <c r="D2601" t="s">
        <v>2631</v>
      </c>
    </row>
    <row r="2602" spans="4:4" x14ac:dyDescent="0.3">
      <c r="D2602" t="s">
        <v>2632</v>
      </c>
    </row>
    <row r="2603" spans="4:4" x14ac:dyDescent="0.3">
      <c r="D2603" t="s">
        <v>2633</v>
      </c>
    </row>
    <row r="2604" spans="4:4" x14ac:dyDescent="0.3">
      <c r="D2604" t="s">
        <v>2634</v>
      </c>
    </row>
    <row r="2605" spans="4:4" x14ac:dyDescent="0.3">
      <c r="D2605" t="s">
        <v>2635</v>
      </c>
    </row>
    <row r="2606" spans="4:4" x14ac:dyDescent="0.3">
      <c r="D2606" t="s">
        <v>2636</v>
      </c>
    </row>
    <row r="2607" spans="4:4" x14ac:dyDescent="0.3">
      <c r="D2607" t="s">
        <v>2637</v>
      </c>
    </row>
    <row r="2608" spans="4:4" x14ac:dyDescent="0.3">
      <c r="D2608" t="s">
        <v>2638</v>
      </c>
    </row>
    <row r="2609" spans="4:4" x14ac:dyDescent="0.3">
      <c r="D2609" t="s">
        <v>2639</v>
      </c>
    </row>
    <row r="2610" spans="4:4" x14ac:dyDescent="0.3">
      <c r="D2610" t="s">
        <v>2640</v>
      </c>
    </row>
    <row r="2611" spans="4:4" x14ac:dyDescent="0.3">
      <c r="D2611" t="s">
        <v>2641</v>
      </c>
    </row>
    <row r="2612" spans="4:4" x14ac:dyDescent="0.3">
      <c r="D2612" t="s">
        <v>2642</v>
      </c>
    </row>
    <row r="2613" spans="4:4" x14ac:dyDescent="0.3">
      <c r="D2613" t="s">
        <v>2643</v>
      </c>
    </row>
    <row r="2614" spans="4:4" x14ac:dyDescent="0.3">
      <c r="D2614" t="s">
        <v>2644</v>
      </c>
    </row>
    <row r="2615" spans="4:4" x14ac:dyDescent="0.3">
      <c r="D2615" t="s">
        <v>2645</v>
      </c>
    </row>
    <row r="2616" spans="4:4" x14ac:dyDescent="0.3">
      <c r="D2616" t="s">
        <v>2646</v>
      </c>
    </row>
    <row r="2617" spans="4:4" x14ac:dyDescent="0.3">
      <c r="D2617" t="s">
        <v>2647</v>
      </c>
    </row>
    <row r="2618" spans="4:4" x14ac:dyDescent="0.3">
      <c r="D2618" t="s">
        <v>2648</v>
      </c>
    </row>
    <row r="2619" spans="4:4" x14ac:dyDescent="0.3">
      <c r="D2619" t="s">
        <v>2649</v>
      </c>
    </row>
    <row r="2620" spans="4:4" x14ac:dyDescent="0.3">
      <c r="D2620" t="s">
        <v>2650</v>
      </c>
    </row>
    <row r="2621" spans="4:4" x14ac:dyDescent="0.3">
      <c r="D2621" t="s">
        <v>2651</v>
      </c>
    </row>
    <row r="2622" spans="4:4" x14ac:dyDescent="0.3">
      <c r="D2622" t="s">
        <v>2652</v>
      </c>
    </row>
    <row r="2623" spans="4:4" x14ac:dyDescent="0.3">
      <c r="D2623" t="s">
        <v>2653</v>
      </c>
    </row>
    <row r="2624" spans="4:4" x14ac:dyDescent="0.3">
      <c r="D2624" t="s">
        <v>2654</v>
      </c>
    </row>
    <row r="2625" spans="4:4" x14ac:dyDescent="0.3">
      <c r="D2625" t="s">
        <v>2655</v>
      </c>
    </row>
    <row r="2626" spans="4:4" x14ac:dyDescent="0.3">
      <c r="D2626" t="s">
        <v>2656</v>
      </c>
    </row>
    <row r="2627" spans="4:4" x14ac:dyDescent="0.3">
      <c r="D2627" t="s">
        <v>2657</v>
      </c>
    </row>
    <row r="2628" spans="4:4" x14ac:dyDescent="0.3">
      <c r="D2628" t="s">
        <v>2658</v>
      </c>
    </row>
    <row r="2629" spans="4:4" x14ac:dyDescent="0.3">
      <c r="D2629" t="s">
        <v>2659</v>
      </c>
    </row>
    <row r="2630" spans="4:4" x14ac:dyDescent="0.3">
      <c r="D2630" t="s">
        <v>2660</v>
      </c>
    </row>
    <row r="2631" spans="4:4" x14ac:dyDescent="0.3">
      <c r="D2631" t="s">
        <v>2661</v>
      </c>
    </row>
    <row r="2632" spans="4:4" x14ac:dyDescent="0.3">
      <c r="D2632" t="s">
        <v>2662</v>
      </c>
    </row>
    <row r="2633" spans="4:4" x14ac:dyDescent="0.3">
      <c r="D2633" t="s">
        <v>2663</v>
      </c>
    </row>
    <row r="2634" spans="4:4" x14ac:dyDescent="0.3">
      <c r="D2634" t="s">
        <v>2664</v>
      </c>
    </row>
    <row r="2635" spans="4:4" x14ac:dyDescent="0.3">
      <c r="D2635" t="s">
        <v>2665</v>
      </c>
    </row>
    <row r="2636" spans="4:4" x14ac:dyDescent="0.3">
      <c r="D2636" t="s">
        <v>2666</v>
      </c>
    </row>
    <row r="2637" spans="4:4" x14ac:dyDescent="0.3">
      <c r="D2637" t="s">
        <v>2667</v>
      </c>
    </row>
    <row r="2638" spans="4:4" x14ac:dyDescent="0.3">
      <c r="D2638" t="s">
        <v>2668</v>
      </c>
    </row>
    <row r="2639" spans="4:4" x14ac:dyDescent="0.3">
      <c r="D2639" t="s">
        <v>2669</v>
      </c>
    </row>
    <row r="2640" spans="4:4" x14ac:dyDescent="0.3">
      <c r="D2640" t="s">
        <v>2670</v>
      </c>
    </row>
    <row r="2641" spans="4:4" x14ac:dyDescent="0.3">
      <c r="D2641" t="s">
        <v>2671</v>
      </c>
    </row>
    <row r="2642" spans="4:4" x14ac:dyDescent="0.3">
      <c r="D2642" t="s">
        <v>2672</v>
      </c>
    </row>
    <row r="2643" spans="4:4" x14ac:dyDescent="0.3">
      <c r="D2643" t="s">
        <v>2673</v>
      </c>
    </row>
    <row r="2644" spans="4:4" x14ac:dyDescent="0.3">
      <c r="D2644" t="s">
        <v>2674</v>
      </c>
    </row>
    <row r="2645" spans="4:4" x14ac:dyDescent="0.3">
      <c r="D2645" t="s">
        <v>2675</v>
      </c>
    </row>
    <row r="2646" spans="4:4" x14ac:dyDescent="0.3">
      <c r="D2646" t="s">
        <v>2676</v>
      </c>
    </row>
    <row r="2647" spans="4:4" x14ac:dyDescent="0.3">
      <c r="D2647" t="s">
        <v>2677</v>
      </c>
    </row>
    <row r="2648" spans="4:4" x14ac:dyDescent="0.3">
      <c r="D2648" t="s">
        <v>2678</v>
      </c>
    </row>
    <row r="2649" spans="4:4" x14ac:dyDescent="0.3">
      <c r="D2649" t="s">
        <v>2679</v>
      </c>
    </row>
    <row r="2650" spans="4:4" x14ac:dyDescent="0.3">
      <c r="D2650" t="s">
        <v>2680</v>
      </c>
    </row>
    <row r="2651" spans="4:4" x14ac:dyDescent="0.3">
      <c r="D2651" t="s">
        <v>2681</v>
      </c>
    </row>
    <row r="2652" spans="4:4" x14ac:dyDescent="0.3">
      <c r="D2652" t="s">
        <v>2682</v>
      </c>
    </row>
    <row r="2653" spans="4:4" x14ac:dyDescent="0.3">
      <c r="D2653" t="s">
        <v>2683</v>
      </c>
    </row>
    <row r="2654" spans="4:4" x14ac:dyDescent="0.3">
      <c r="D2654" t="s">
        <v>2684</v>
      </c>
    </row>
    <row r="2655" spans="4:4" x14ac:dyDescent="0.3">
      <c r="D2655" t="s">
        <v>2685</v>
      </c>
    </row>
    <row r="2656" spans="4:4" x14ac:dyDescent="0.3">
      <c r="D2656" t="s">
        <v>2686</v>
      </c>
    </row>
    <row r="2657" spans="4:4" x14ac:dyDescent="0.3">
      <c r="D2657" t="s">
        <v>2687</v>
      </c>
    </row>
    <row r="2658" spans="4:4" x14ac:dyDescent="0.3">
      <c r="D2658" t="s">
        <v>2688</v>
      </c>
    </row>
    <row r="2659" spans="4:4" x14ac:dyDescent="0.3">
      <c r="D2659" t="s">
        <v>2689</v>
      </c>
    </row>
    <row r="2660" spans="4:4" x14ac:dyDescent="0.3">
      <c r="D2660" t="s">
        <v>2690</v>
      </c>
    </row>
    <row r="2661" spans="4:4" x14ac:dyDescent="0.3">
      <c r="D2661" t="s">
        <v>2691</v>
      </c>
    </row>
    <row r="2662" spans="4:4" x14ac:dyDescent="0.3">
      <c r="D2662" t="s">
        <v>2692</v>
      </c>
    </row>
    <row r="2663" spans="4:4" x14ac:dyDescent="0.3">
      <c r="D2663" t="s">
        <v>2693</v>
      </c>
    </row>
    <row r="2664" spans="4:4" x14ac:dyDescent="0.3">
      <c r="D2664" t="s">
        <v>2694</v>
      </c>
    </row>
    <row r="2665" spans="4:4" x14ac:dyDescent="0.3">
      <c r="D2665" t="s">
        <v>2695</v>
      </c>
    </row>
    <row r="2666" spans="4:4" x14ac:dyDescent="0.3">
      <c r="D2666" t="s">
        <v>2696</v>
      </c>
    </row>
    <row r="2667" spans="4:4" x14ac:dyDescent="0.3">
      <c r="D2667" t="s">
        <v>2697</v>
      </c>
    </row>
    <row r="2668" spans="4:4" x14ac:dyDescent="0.3">
      <c r="D2668" t="s">
        <v>2698</v>
      </c>
    </row>
    <row r="2669" spans="4:4" x14ac:dyDescent="0.3">
      <c r="D2669" t="s">
        <v>2699</v>
      </c>
    </row>
    <row r="2670" spans="4:4" x14ac:dyDescent="0.3">
      <c r="D2670" t="s">
        <v>2700</v>
      </c>
    </row>
    <row r="2671" spans="4:4" x14ac:dyDescent="0.3">
      <c r="D2671" t="s">
        <v>2701</v>
      </c>
    </row>
    <row r="2672" spans="4:4" x14ac:dyDescent="0.3">
      <c r="D2672" t="s">
        <v>2702</v>
      </c>
    </row>
    <row r="2673" spans="4:4" x14ac:dyDescent="0.3">
      <c r="D2673" t="s">
        <v>2703</v>
      </c>
    </row>
    <row r="2674" spans="4:4" x14ac:dyDescent="0.3">
      <c r="D2674" t="s">
        <v>2704</v>
      </c>
    </row>
    <row r="2675" spans="4:4" x14ac:dyDescent="0.3">
      <c r="D2675" t="s">
        <v>2705</v>
      </c>
    </row>
    <row r="2676" spans="4:4" x14ac:dyDescent="0.3">
      <c r="D2676" t="s">
        <v>2706</v>
      </c>
    </row>
    <row r="2677" spans="4:4" x14ac:dyDescent="0.3">
      <c r="D2677" t="s">
        <v>2707</v>
      </c>
    </row>
    <row r="2678" spans="4:4" x14ac:dyDescent="0.3">
      <c r="D2678" t="s">
        <v>2708</v>
      </c>
    </row>
    <row r="2679" spans="4:4" x14ac:dyDescent="0.3">
      <c r="D2679" t="s">
        <v>2709</v>
      </c>
    </row>
    <row r="2680" spans="4:4" x14ac:dyDescent="0.3">
      <c r="D2680" t="s">
        <v>2710</v>
      </c>
    </row>
    <row r="2681" spans="4:4" x14ac:dyDescent="0.3">
      <c r="D2681" t="s">
        <v>2711</v>
      </c>
    </row>
    <row r="2682" spans="4:4" x14ac:dyDescent="0.3">
      <c r="D2682" t="s">
        <v>2712</v>
      </c>
    </row>
    <row r="2683" spans="4:4" x14ac:dyDescent="0.3">
      <c r="D2683" t="s">
        <v>2713</v>
      </c>
    </row>
    <row r="2684" spans="4:4" x14ac:dyDescent="0.3">
      <c r="D2684" t="s">
        <v>2714</v>
      </c>
    </row>
    <row r="2685" spans="4:4" x14ac:dyDescent="0.3">
      <c r="D2685" t="s">
        <v>2715</v>
      </c>
    </row>
    <row r="2686" spans="4:4" x14ac:dyDescent="0.3">
      <c r="D2686" t="s">
        <v>2716</v>
      </c>
    </row>
    <row r="2687" spans="4:4" x14ac:dyDescent="0.3">
      <c r="D2687" t="s">
        <v>2717</v>
      </c>
    </row>
    <row r="2688" spans="4:4" x14ac:dyDescent="0.3">
      <c r="D2688" t="s">
        <v>2718</v>
      </c>
    </row>
    <row r="2689" spans="4:4" x14ac:dyDescent="0.3">
      <c r="D2689" t="s">
        <v>2719</v>
      </c>
    </row>
    <row r="2690" spans="4:4" x14ac:dyDescent="0.3">
      <c r="D2690" t="s">
        <v>2720</v>
      </c>
    </row>
    <row r="2691" spans="4:4" x14ac:dyDescent="0.3">
      <c r="D2691" t="s">
        <v>2721</v>
      </c>
    </row>
    <row r="2692" spans="4:4" x14ac:dyDescent="0.3">
      <c r="D2692" t="s">
        <v>2722</v>
      </c>
    </row>
    <row r="2693" spans="4:4" x14ac:dyDescent="0.3">
      <c r="D2693" t="s">
        <v>2723</v>
      </c>
    </row>
    <row r="2694" spans="4:4" x14ac:dyDescent="0.3">
      <c r="D2694" t="s">
        <v>2724</v>
      </c>
    </row>
    <row r="2695" spans="4:4" x14ac:dyDescent="0.3">
      <c r="D2695" t="s">
        <v>2725</v>
      </c>
    </row>
    <row r="2696" spans="4:4" x14ac:dyDescent="0.3">
      <c r="D2696" t="s">
        <v>2726</v>
      </c>
    </row>
    <row r="2697" spans="4:4" x14ac:dyDescent="0.3">
      <c r="D2697" t="s">
        <v>2727</v>
      </c>
    </row>
    <row r="2698" spans="4:4" x14ac:dyDescent="0.3">
      <c r="D2698" t="s">
        <v>2728</v>
      </c>
    </row>
    <row r="2699" spans="4:4" x14ac:dyDescent="0.3">
      <c r="D2699" t="s">
        <v>2729</v>
      </c>
    </row>
    <row r="2700" spans="4:4" x14ac:dyDescent="0.3">
      <c r="D2700" t="s">
        <v>2730</v>
      </c>
    </row>
    <row r="2701" spans="4:4" x14ac:dyDescent="0.3">
      <c r="D2701" t="s">
        <v>2731</v>
      </c>
    </row>
    <row r="2702" spans="4:4" x14ac:dyDescent="0.3">
      <c r="D2702" t="s">
        <v>2732</v>
      </c>
    </row>
    <row r="2703" spans="4:4" x14ac:dyDescent="0.3">
      <c r="D2703" t="s">
        <v>2733</v>
      </c>
    </row>
    <row r="2704" spans="4:4" x14ac:dyDescent="0.3">
      <c r="D2704" t="s">
        <v>2734</v>
      </c>
    </row>
    <row r="2705" spans="4:4" x14ac:dyDescent="0.3">
      <c r="D2705" t="s">
        <v>2735</v>
      </c>
    </row>
    <row r="2706" spans="4:4" x14ac:dyDescent="0.3">
      <c r="D2706" t="s">
        <v>2736</v>
      </c>
    </row>
    <row r="2707" spans="4:4" x14ac:dyDescent="0.3">
      <c r="D2707" t="s">
        <v>2737</v>
      </c>
    </row>
    <row r="2708" spans="4:4" x14ac:dyDescent="0.3">
      <c r="D2708" t="s">
        <v>2738</v>
      </c>
    </row>
    <row r="2709" spans="4:4" x14ac:dyDescent="0.3">
      <c r="D2709" t="s">
        <v>2739</v>
      </c>
    </row>
    <row r="2710" spans="4:4" x14ac:dyDescent="0.3">
      <c r="D2710" t="s">
        <v>2740</v>
      </c>
    </row>
    <row r="2711" spans="4:4" x14ac:dyDescent="0.3">
      <c r="D2711" t="s">
        <v>2741</v>
      </c>
    </row>
    <row r="2712" spans="4:4" x14ac:dyDescent="0.3">
      <c r="D2712" t="s">
        <v>2742</v>
      </c>
    </row>
    <row r="2713" spans="4:4" x14ac:dyDescent="0.3">
      <c r="D2713" t="s">
        <v>2743</v>
      </c>
    </row>
    <row r="2714" spans="4:4" x14ac:dyDescent="0.3">
      <c r="D2714" t="s">
        <v>2744</v>
      </c>
    </row>
    <row r="2715" spans="4:4" x14ac:dyDescent="0.3">
      <c r="D2715" t="s">
        <v>2745</v>
      </c>
    </row>
    <row r="2716" spans="4:4" x14ac:dyDescent="0.3">
      <c r="D2716" t="s">
        <v>2746</v>
      </c>
    </row>
    <row r="2717" spans="4:4" x14ac:dyDescent="0.3">
      <c r="D2717" t="s">
        <v>2747</v>
      </c>
    </row>
    <row r="2718" spans="4:4" x14ac:dyDescent="0.3">
      <c r="D2718" t="s">
        <v>2748</v>
      </c>
    </row>
    <row r="2719" spans="4:4" x14ac:dyDescent="0.3">
      <c r="D2719" t="s">
        <v>2749</v>
      </c>
    </row>
    <row r="2720" spans="4:4" x14ac:dyDescent="0.3">
      <c r="D2720" t="s">
        <v>2750</v>
      </c>
    </row>
    <row r="2721" spans="4:4" x14ac:dyDescent="0.3">
      <c r="D2721" t="s">
        <v>2751</v>
      </c>
    </row>
    <row r="2722" spans="4:4" x14ac:dyDescent="0.3">
      <c r="D2722" t="s">
        <v>2752</v>
      </c>
    </row>
    <row r="2723" spans="4:4" x14ac:dyDescent="0.3">
      <c r="D2723" t="s">
        <v>2753</v>
      </c>
    </row>
    <row r="2724" spans="4:4" x14ac:dyDescent="0.3">
      <c r="D2724" t="s">
        <v>2754</v>
      </c>
    </row>
    <row r="2725" spans="4:4" x14ac:dyDescent="0.3">
      <c r="D2725" t="s">
        <v>2755</v>
      </c>
    </row>
    <row r="2726" spans="4:4" x14ac:dyDescent="0.3">
      <c r="D2726" t="s">
        <v>2756</v>
      </c>
    </row>
    <row r="2727" spans="4:4" x14ac:dyDescent="0.3">
      <c r="D2727" t="s">
        <v>2757</v>
      </c>
    </row>
    <row r="2728" spans="4:4" x14ac:dyDescent="0.3">
      <c r="D2728" t="s">
        <v>2758</v>
      </c>
    </row>
    <row r="2729" spans="4:4" x14ac:dyDescent="0.3">
      <c r="D2729" t="s">
        <v>2759</v>
      </c>
    </row>
    <row r="2730" spans="4:4" x14ac:dyDescent="0.3">
      <c r="D2730" t="s">
        <v>2760</v>
      </c>
    </row>
    <row r="2731" spans="4:4" x14ac:dyDescent="0.3">
      <c r="D2731" t="s">
        <v>2761</v>
      </c>
    </row>
    <row r="2732" spans="4:4" x14ac:dyDescent="0.3">
      <c r="D2732" t="s">
        <v>2762</v>
      </c>
    </row>
    <row r="2733" spans="4:4" x14ac:dyDescent="0.3">
      <c r="D2733" t="s">
        <v>2763</v>
      </c>
    </row>
    <row r="2734" spans="4:4" x14ac:dyDescent="0.3">
      <c r="D2734" t="s">
        <v>2764</v>
      </c>
    </row>
    <row r="2735" spans="4:4" x14ac:dyDescent="0.3">
      <c r="D2735" t="s">
        <v>2765</v>
      </c>
    </row>
    <row r="2736" spans="4:4" x14ac:dyDescent="0.3">
      <c r="D2736" t="s">
        <v>2766</v>
      </c>
    </row>
    <row r="2737" spans="4:4" x14ac:dyDescent="0.3">
      <c r="D2737" t="s">
        <v>2767</v>
      </c>
    </row>
    <row r="2738" spans="4:4" x14ac:dyDescent="0.3">
      <c r="D2738" t="s">
        <v>2768</v>
      </c>
    </row>
    <row r="2739" spans="4:4" x14ac:dyDescent="0.3">
      <c r="D2739" t="s">
        <v>2769</v>
      </c>
    </row>
    <row r="2740" spans="4:4" x14ac:dyDescent="0.3">
      <c r="D2740" t="s">
        <v>2770</v>
      </c>
    </row>
    <row r="2741" spans="4:4" x14ac:dyDescent="0.3">
      <c r="D2741" t="s">
        <v>2771</v>
      </c>
    </row>
    <row r="2742" spans="4:4" x14ac:dyDescent="0.3">
      <c r="D2742" t="s">
        <v>2772</v>
      </c>
    </row>
    <row r="2743" spans="4:4" x14ac:dyDescent="0.3">
      <c r="D2743" t="s">
        <v>2773</v>
      </c>
    </row>
    <row r="2744" spans="4:4" x14ac:dyDescent="0.3">
      <c r="D2744" t="s">
        <v>2774</v>
      </c>
    </row>
    <row r="2745" spans="4:4" x14ac:dyDescent="0.3">
      <c r="D2745" t="s">
        <v>2775</v>
      </c>
    </row>
    <row r="2746" spans="4:4" x14ac:dyDescent="0.3">
      <c r="D2746" t="s">
        <v>2776</v>
      </c>
    </row>
    <row r="2747" spans="4:4" x14ac:dyDescent="0.3">
      <c r="D2747" t="s">
        <v>2777</v>
      </c>
    </row>
    <row r="2748" spans="4:4" x14ac:dyDescent="0.3">
      <c r="D2748" t="s">
        <v>2778</v>
      </c>
    </row>
    <row r="2749" spans="4:4" x14ac:dyDescent="0.3">
      <c r="D2749" t="s">
        <v>2779</v>
      </c>
    </row>
    <row r="2750" spans="4:4" x14ac:dyDescent="0.3">
      <c r="D2750" t="s">
        <v>2780</v>
      </c>
    </row>
    <row r="2751" spans="4:4" x14ac:dyDescent="0.3">
      <c r="D2751" t="s">
        <v>2781</v>
      </c>
    </row>
    <row r="2752" spans="4:4" x14ac:dyDescent="0.3">
      <c r="D2752" t="s">
        <v>2782</v>
      </c>
    </row>
    <row r="2753" spans="4:4" x14ac:dyDescent="0.3">
      <c r="D2753" t="s">
        <v>2783</v>
      </c>
    </row>
    <row r="2754" spans="4:4" x14ac:dyDescent="0.3">
      <c r="D2754" t="s">
        <v>2784</v>
      </c>
    </row>
    <row r="2755" spans="4:4" x14ac:dyDescent="0.3">
      <c r="D2755" t="s">
        <v>2785</v>
      </c>
    </row>
    <row r="2756" spans="4:4" x14ac:dyDescent="0.3">
      <c r="D2756" t="s">
        <v>2786</v>
      </c>
    </row>
    <row r="2757" spans="4:4" x14ac:dyDescent="0.3">
      <c r="D2757" t="s">
        <v>2787</v>
      </c>
    </row>
    <row r="2758" spans="4:4" x14ac:dyDescent="0.3">
      <c r="D2758" t="s">
        <v>2788</v>
      </c>
    </row>
    <row r="2759" spans="4:4" x14ac:dyDescent="0.3">
      <c r="D2759" t="s">
        <v>2789</v>
      </c>
    </row>
    <row r="2760" spans="4:4" x14ac:dyDescent="0.3">
      <c r="D2760" t="s">
        <v>2790</v>
      </c>
    </row>
    <row r="2761" spans="4:4" x14ac:dyDescent="0.3">
      <c r="D2761" t="s">
        <v>2791</v>
      </c>
    </row>
    <row r="2762" spans="4:4" x14ac:dyDescent="0.3">
      <c r="D2762" t="s">
        <v>2792</v>
      </c>
    </row>
    <row r="2763" spans="4:4" x14ac:dyDescent="0.3">
      <c r="D2763" t="s">
        <v>2793</v>
      </c>
    </row>
    <row r="2764" spans="4:4" x14ac:dyDescent="0.3">
      <c r="D2764" t="s">
        <v>2794</v>
      </c>
    </row>
    <row r="2765" spans="4:4" x14ac:dyDescent="0.3">
      <c r="D2765" t="s">
        <v>2795</v>
      </c>
    </row>
    <row r="2766" spans="4:4" x14ac:dyDescent="0.3">
      <c r="D2766" t="s">
        <v>2796</v>
      </c>
    </row>
    <row r="2767" spans="4:4" x14ac:dyDescent="0.3">
      <c r="D2767" t="s">
        <v>2797</v>
      </c>
    </row>
    <row r="2768" spans="4:4" x14ac:dyDescent="0.3">
      <c r="D2768" t="s">
        <v>2798</v>
      </c>
    </row>
    <row r="2769" spans="4:4" x14ac:dyDescent="0.3">
      <c r="D2769" t="s">
        <v>2799</v>
      </c>
    </row>
    <row r="2770" spans="4:4" x14ac:dyDescent="0.3">
      <c r="D2770" t="s">
        <v>2800</v>
      </c>
    </row>
    <row r="2771" spans="4:4" x14ac:dyDescent="0.3">
      <c r="D2771" t="s">
        <v>2801</v>
      </c>
    </row>
    <row r="2772" spans="4:4" x14ac:dyDescent="0.3">
      <c r="D2772" t="s">
        <v>2802</v>
      </c>
    </row>
    <row r="2773" spans="4:4" x14ac:dyDescent="0.3">
      <c r="D2773" t="s">
        <v>2803</v>
      </c>
    </row>
    <row r="2774" spans="4:4" x14ac:dyDescent="0.3">
      <c r="D2774" t="s">
        <v>2804</v>
      </c>
    </row>
    <row r="2775" spans="4:4" x14ac:dyDescent="0.3">
      <c r="D2775" t="s">
        <v>2805</v>
      </c>
    </row>
    <row r="2776" spans="4:4" x14ac:dyDescent="0.3">
      <c r="D2776" t="s">
        <v>2806</v>
      </c>
    </row>
    <row r="2777" spans="4:4" x14ac:dyDescent="0.3">
      <c r="D2777" t="s">
        <v>2807</v>
      </c>
    </row>
    <row r="2778" spans="4:4" x14ac:dyDescent="0.3">
      <c r="D2778" t="s">
        <v>2808</v>
      </c>
    </row>
    <row r="2779" spans="4:4" x14ac:dyDescent="0.3">
      <c r="D2779" t="s">
        <v>2809</v>
      </c>
    </row>
    <row r="2780" spans="4:4" x14ac:dyDescent="0.3">
      <c r="D2780" t="s">
        <v>2810</v>
      </c>
    </row>
    <row r="2781" spans="4:4" x14ac:dyDescent="0.3">
      <c r="D2781" t="s">
        <v>2811</v>
      </c>
    </row>
    <row r="2782" spans="4:4" x14ac:dyDescent="0.3">
      <c r="D2782" t="s">
        <v>2812</v>
      </c>
    </row>
    <row r="2783" spans="4:4" x14ac:dyDescent="0.3">
      <c r="D2783" t="s">
        <v>2813</v>
      </c>
    </row>
    <row r="2784" spans="4:4" x14ac:dyDescent="0.3">
      <c r="D2784" t="s">
        <v>2814</v>
      </c>
    </row>
    <row r="2785" spans="4:4" x14ac:dyDescent="0.3">
      <c r="D2785" t="s">
        <v>2815</v>
      </c>
    </row>
    <row r="2786" spans="4:4" x14ac:dyDescent="0.3">
      <c r="D2786" t="s">
        <v>2816</v>
      </c>
    </row>
    <row r="2787" spans="4:4" x14ac:dyDescent="0.3">
      <c r="D2787" t="s">
        <v>2817</v>
      </c>
    </row>
    <row r="2788" spans="4:4" x14ac:dyDescent="0.3">
      <c r="D2788" t="s">
        <v>2818</v>
      </c>
    </row>
    <row r="2789" spans="4:4" x14ac:dyDescent="0.3">
      <c r="D2789" t="s">
        <v>2819</v>
      </c>
    </row>
    <row r="2790" spans="4:4" x14ac:dyDescent="0.3">
      <c r="D2790" t="s">
        <v>2820</v>
      </c>
    </row>
    <row r="2791" spans="4:4" x14ac:dyDescent="0.3">
      <c r="D2791" t="s">
        <v>2821</v>
      </c>
    </row>
    <row r="2792" spans="4:4" x14ac:dyDescent="0.3">
      <c r="D2792" t="s">
        <v>2822</v>
      </c>
    </row>
    <row r="2793" spans="4:4" x14ac:dyDescent="0.3">
      <c r="D2793" t="s">
        <v>2823</v>
      </c>
    </row>
    <row r="2794" spans="4:4" x14ac:dyDescent="0.3">
      <c r="D2794" t="s">
        <v>2824</v>
      </c>
    </row>
    <row r="2795" spans="4:4" x14ac:dyDescent="0.3">
      <c r="D2795" t="s">
        <v>2825</v>
      </c>
    </row>
    <row r="2796" spans="4:4" x14ac:dyDescent="0.3">
      <c r="D2796" t="s">
        <v>2826</v>
      </c>
    </row>
    <row r="2797" spans="4:4" x14ac:dyDescent="0.3">
      <c r="D2797" t="s">
        <v>2827</v>
      </c>
    </row>
    <row r="2798" spans="4:4" x14ac:dyDescent="0.3">
      <c r="D2798" t="s">
        <v>2828</v>
      </c>
    </row>
    <row r="2799" spans="4:4" x14ac:dyDescent="0.3">
      <c r="D2799" t="s">
        <v>2829</v>
      </c>
    </row>
    <row r="2800" spans="4:4" x14ac:dyDescent="0.3">
      <c r="D2800" t="s">
        <v>2830</v>
      </c>
    </row>
    <row r="2801" spans="4:4" x14ac:dyDescent="0.3">
      <c r="D2801" t="s">
        <v>2831</v>
      </c>
    </row>
    <row r="2802" spans="4:4" x14ac:dyDescent="0.3">
      <c r="D2802" t="s">
        <v>2832</v>
      </c>
    </row>
    <row r="2803" spans="4:4" x14ac:dyDescent="0.3">
      <c r="D2803" t="s">
        <v>2833</v>
      </c>
    </row>
    <row r="2804" spans="4:4" x14ac:dyDescent="0.3">
      <c r="D2804" t="s">
        <v>2834</v>
      </c>
    </row>
    <row r="2805" spans="4:4" x14ac:dyDescent="0.3">
      <c r="D2805" t="s">
        <v>2835</v>
      </c>
    </row>
    <row r="2806" spans="4:4" x14ac:dyDescent="0.3">
      <c r="D2806" t="s">
        <v>2836</v>
      </c>
    </row>
    <row r="2807" spans="4:4" x14ac:dyDescent="0.3">
      <c r="D2807" t="s">
        <v>2837</v>
      </c>
    </row>
    <row r="2808" spans="4:4" x14ac:dyDescent="0.3">
      <c r="D2808" t="s">
        <v>2838</v>
      </c>
    </row>
    <row r="2809" spans="4:4" x14ac:dyDescent="0.3">
      <c r="D2809" t="s">
        <v>2839</v>
      </c>
    </row>
    <row r="2810" spans="4:4" x14ac:dyDescent="0.3">
      <c r="D2810" t="s">
        <v>2840</v>
      </c>
    </row>
    <row r="2811" spans="4:4" x14ac:dyDescent="0.3">
      <c r="D2811" t="s">
        <v>2841</v>
      </c>
    </row>
    <row r="2812" spans="4:4" x14ac:dyDescent="0.3">
      <c r="D2812" t="s">
        <v>2842</v>
      </c>
    </row>
    <row r="2813" spans="4:4" x14ac:dyDescent="0.3">
      <c r="D2813" t="s">
        <v>2843</v>
      </c>
    </row>
    <row r="2814" spans="4:4" x14ac:dyDescent="0.3">
      <c r="D2814" t="s">
        <v>2844</v>
      </c>
    </row>
    <row r="2815" spans="4:4" x14ac:dyDescent="0.3">
      <c r="D2815" t="s">
        <v>2845</v>
      </c>
    </row>
    <row r="2816" spans="4:4" x14ac:dyDescent="0.3">
      <c r="D2816" t="s">
        <v>2846</v>
      </c>
    </row>
    <row r="2817" spans="4:4" x14ac:dyDescent="0.3">
      <c r="D2817" t="s">
        <v>2847</v>
      </c>
    </row>
    <row r="2818" spans="4:4" x14ac:dyDescent="0.3">
      <c r="D2818" t="s">
        <v>2848</v>
      </c>
    </row>
    <row r="2819" spans="4:4" x14ac:dyDescent="0.3">
      <c r="D2819" t="s">
        <v>2849</v>
      </c>
    </row>
    <row r="2820" spans="4:4" x14ac:dyDescent="0.3">
      <c r="D2820" t="s">
        <v>2850</v>
      </c>
    </row>
    <row r="2821" spans="4:4" x14ac:dyDescent="0.3">
      <c r="D2821" t="s">
        <v>2851</v>
      </c>
    </row>
    <row r="2822" spans="4:4" x14ac:dyDescent="0.3">
      <c r="D2822" t="s">
        <v>2852</v>
      </c>
    </row>
    <row r="2823" spans="4:4" x14ac:dyDescent="0.3">
      <c r="D2823" t="s">
        <v>2853</v>
      </c>
    </row>
    <row r="2824" spans="4:4" x14ac:dyDescent="0.3">
      <c r="D2824" t="s">
        <v>2854</v>
      </c>
    </row>
    <row r="2825" spans="4:4" x14ac:dyDescent="0.3">
      <c r="D2825" t="s">
        <v>2855</v>
      </c>
    </row>
    <row r="2826" spans="4:4" x14ac:dyDescent="0.3">
      <c r="D2826" t="s">
        <v>2856</v>
      </c>
    </row>
    <row r="2827" spans="4:4" x14ac:dyDescent="0.3">
      <c r="D2827" t="s">
        <v>2857</v>
      </c>
    </row>
    <row r="2828" spans="4:4" x14ac:dyDescent="0.3">
      <c r="D2828" t="s">
        <v>2858</v>
      </c>
    </row>
    <row r="2829" spans="4:4" x14ac:dyDescent="0.3">
      <c r="D2829" t="s">
        <v>2859</v>
      </c>
    </row>
    <row r="2830" spans="4:4" x14ac:dyDescent="0.3">
      <c r="D2830" t="s">
        <v>2860</v>
      </c>
    </row>
    <row r="2831" spans="4:4" x14ac:dyDescent="0.3">
      <c r="D2831" t="s">
        <v>2861</v>
      </c>
    </row>
    <row r="2832" spans="4:4" x14ac:dyDescent="0.3">
      <c r="D2832" t="s">
        <v>2862</v>
      </c>
    </row>
    <row r="2833" spans="4:4" x14ac:dyDescent="0.3">
      <c r="D2833" t="s">
        <v>2863</v>
      </c>
    </row>
    <row r="2834" spans="4:4" x14ac:dyDescent="0.3">
      <c r="D2834" t="s">
        <v>2864</v>
      </c>
    </row>
    <row r="2835" spans="4:4" x14ac:dyDescent="0.3">
      <c r="D2835" t="s">
        <v>2865</v>
      </c>
    </row>
    <row r="2836" spans="4:4" x14ac:dyDescent="0.3">
      <c r="D2836" t="s">
        <v>2866</v>
      </c>
    </row>
    <row r="2837" spans="4:4" x14ac:dyDescent="0.3">
      <c r="D2837" t="s">
        <v>2867</v>
      </c>
    </row>
    <row r="2838" spans="4:4" x14ac:dyDescent="0.3">
      <c r="D2838" t="s">
        <v>2868</v>
      </c>
    </row>
    <row r="2839" spans="4:4" x14ac:dyDescent="0.3">
      <c r="D2839" t="s">
        <v>2869</v>
      </c>
    </row>
    <row r="2840" spans="4:4" x14ac:dyDescent="0.3">
      <c r="D2840" t="s">
        <v>2870</v>
      </c>
    </row>
    <row r="2841" spans="4:4" x14ac:dyDescent="0.3">
      <c r="D2841" t="s">
        <v>2871</v>
      </c>
    </row>
    <row r="2842" spans="4:4" x14ac:dyDescent="0.3">
      <c r="D2842" t="s">
        <v>2872</v>
      </c>
    </row>
    <row r="2843" spans="4:4" x14ac:dyDescent="0.3">
      <c r="D2843" t="s">
        <v>2873</v>
      </c>
    </row>
    <row r="2844" spans="4:4" x14ac:dyDescent="0.3">
      <c r="D2844" t="s">
        <v>2874</v>
      </c>
    </row>
    <row r="2845" spans="4:4" x14ac:dyDescent="0.3">
      <c r="D2845" t="s">
        <v>2875</v>
      </c>
    </row>
    <row r="2846" spans="4:4" x14ac:dyDescent="0.3">
      <c r="D2846" t="s">
        <v>2876</v>
      </c>
    </row>
    <row r="2847" spans="4:4" x14ac:dyDescent="0.3">
      <c r="D2847" t="s">
        <v>2877</v>
      </c>
    </row>
    <row r="2848" spans="4:4" x14ac:dyDescent="0.3">
      <c r="D2848" t="s">
        <v>2878</v>
      </c>
    </row>
    <row r="2849" spans="4:4" x14ac:dyDescent="0.3">
      <c r="D2849" t="s">
        <v>2879</v>
      </c>
    </row>
    <row r="2850" spans="4:4" x14ac:dyDescent="0.3">
      <c r="D2850" t="s">
        <v>2880</v>
      </c>
    </row>
    <row r="2851" spans="4:4" x14ac:dyDescent="0.3">
      <c r="D2851" t="s">
        <v>2881</v>
      </c>
    </row>
    <row r="2852" spans="4:4" x14ac:dyDescent="0.3">
      <c r="D2852" t="s">
        <v>2882</v>
      </c>
    </row>
    <row r="2853" spans="4:4" x14ac:dyDescent="0.3">
      <c r="D2853" t="s">
        <v>2883</v>
      </c>
    </row>
    <row r="2854" spans="4:4" x14ac:dyDescent="0.3">
      <c r="D2854" t="s">
        <v>2884</v>
      </c>
    </row>
    <row r="2855" spans="4:4" x14ac:dyDescent="0.3">
      <c r="D2855" t="s">
        <v>2885</v>
      </c>
    </row>
    <row r="2856" spans="4:4" x14ac:dyDescent="0.3">
      <c r="D2856" t="s">
        <v>2886</v>
      </c>
    </row>
    <row r="2857" spans="4:4" x14ac:dyDescent="0.3">
      <c r="D2857" t="s">
        <v>2887</v>
      </c>
    </row>
    <row r="2858" spans="4:4" x14ac:dyDescent="0.3">
      <c r="D2858" t="s">
        <v>2888</v>
      </c>
    </row>
    <row r="2859" spans="4:4" x14ac:dyDescent="0.3">
      <c r="D2859" t="s">
        <v>2889</v>
      </c>
    </row>
    <row r="2860" spans="4:4" x14ac:dyDescent="0.3">
      <c r="D2860" t="s">
        <v>2890</v>
      </c>
    </row>
    <row r="2861" spans="4:4" x14ac:dyDescent="0.3">
      <c r="D2861" t="s">
        <v>2891</v>
      </c>
    </row>
    <row r="2862" spans="4:4" x14ac:dyDescent="0.3">
      <c r="D2862" t="s">
        <v>2892</v>
      </c>
    </row>
    <row r="2863" spans="4:4" x14ac:dyDescent="0.3">
      <c r="D2863" t="s">
        <v>2893</v>
      </c>
    </row>
    <row r="2864" spans="4:4" x14ac:dyDescent="0.3">
      <c r="D2864" t="s">
        <v>2894</v>
      </c>
    </row>
    <row r="2865" spans="4:4" x14ac:dyDescent="0.3">
      <c r="D2865" t="s">
        <v>2895</v>
      </c>
    </row>
    <row r="2866" spans="4:4" x14ac:dyDescent="0.3">
      <c r="D2866" t="s">
        <v>2896</v>
      </c>
    </row>
    <row r="2867" spans="4:4" x14ac:dyDescent="0.3">
      <c r="D2867" t="s">
        <v>2897</v>
      </c>
    </row>
    <row r="2868" spans="4:4" x14ac:dyDescent="0.3">
      <c r="D2868" t="s">
        <v>2898</v>
      </c>
    </row>
    <row r="2869" spans="4:4" x14ac:dyDescent="0.3">
      <c r="D2869" t="s">
        <v>2899</v>
      </c>
    </row>
    <row r="2870" spans="4:4" x14ac:dyDescent="0.3">
      <c r="D2870" t="s">
        <v>2900</v>
      </c>
    </row>
    <row r="2871" spans="4:4" x14ac:dyDescent="0.3">
      <c r="D2871" t="s">
        <v>2901</v>
      </c>
    </row>
    <row r="2872" spans="4:4" x14ac:dyDescent="0.3">
      <c r="D2872" t="s">
        <v>2902</v>
      </c>
    </row>
    <row r="2873" spans="4:4" x14ac:dyDescent="0.3">
      <c r="D2873" t="s">
        <v>2903</v>
      </c>
    </row>
    <row r="2874" spans="4:4" x14ac:dyDescent="0.3">
      <c r="D2874" t="s">
        <v>2904</v>
      </c>
    </row>
    <row r="2875" spans="4:4" x14ac:dyDescent="0.3">
      <c r="D2875" t="s">
        <v>2905</v>
      </c>
    </row>
    <row r="2876" spans="4:4" x14ac:dyDescent="0.3">
      <c r="D2876" t="s">
        <v>2906</v>
      </c>
    </row>
    <row r="2877" spans="4:4" x14ac:dyDescent="0.3">
      <c r="D2877" t="s">
        <v>2907</v>
      </c>
    </row>
    <row r="2878" spans="4:4" x14ac:dyDescent="0.3">
      <c r="D2878" t="s">
        <v>2908</v>
      </c>
    </row>
    <row r="2879" spans="4:4" x14ac:dyDescent="0.3">
      <c r="D2879" t="s">
        <v>2909</v>
      </c>
    </row>
    <row r="2880" spans="4:4" x14ac:dyDescent="0.3">
      <c r="D2880" t="s">
        <v>2910</v>
      </c>
    </row>
    <row r="2881" spans="4:4" x14ac:dyDescent="0.3">
      <c r="D2881" t="s">
        <v>2911</v>
      </c>
    </row>
    <row r="2882" spans="4:4" x14ac:dyDescent="0.3">
      <c r="D2882" t="s">
        <v>2912</v>
      </c>
    </row>
    <row r="2883" spans="4:4" x14ac:dyDescent="0.3">
      <c r="D2883" t="s">
        <v>2913</v>
      </c>
    </row>
    <row r="2884" spans="4:4" x14ac:dyDescent="0.3">
      <c r="D2884" t="s">
        <v>2914</v>
      </c>
    </row>
    <row r="2885" spans="4:4" x14ac:dyDescent="0.3">
      <c r="D2885" t="s">
        <v>2915</v>
      </c>
    </row>
    <row r="2886" spans="4:4" x14ac:dyDescent="0.3">
      <c r="D2886" t="s">
        <v>2916</v>
      </c>
    </row>
    <row r="2887" spans="4:4" x14ac:dyDescent="0.3">
      <c r="D2887" t="s">
        <v>2917</v>
      </c>
    </row>
    <row r="2888" spans="4:4" x14ac:dyDescent="0.3">
      <c r="D2888" t="s">
        <v>2918</v>
      </c>
    </row>
    <row r="2889" spans="4:4" x14ac:dyDescent="0.3">
      <c r="D2889" t="s">
        <v>2919</v>
      </c>
    </row>
    <row r="2890" spans="4:4" x14ac:dyDescent="0.3">
      <c r="D2890" t="s">
        <v>2920</v>
      </c>
    </row>
    <row r="2891" spans="4:4" x14ac:dyDescent="0.3">
      <c r="D2891" t="s">
        <v>2921</v>
      </c>
    </row>
    <row r="2892" spans="4:4" x14ac:dyDescent="0.3">
      <c r="D2892" t="s">
        <v>2922</v>
      </c>
    </row>
    <row r="2893" spans="4:4" x14ac:dyDescent="0.3">
      <c r="D2893" t="s">
        <v>2923</v>
      </c>
    </row>
    <row r="2894" spans="4:4" x14ac:dyDescent="0.3">
      <c r="D2894" t="s">
        <v>2924</v>
      </c>
    </row>
    <row r="2895" spans="4:4" x14ac:dyDescent="0.3">
      <c r="D2895" t="s">
        <v>2925</v>
      </c>
    </row>
    <row r="2896" spans="4:4" x14ac:dyDescent="0.3">
      <c r="D2896" t="s">
        <v>2926</v>
      </c>
    </row>
    <row r="2897" spans="4:4" x14ac:dyDescent="0.3">
      <c r="D2897" t="s">
        <v>2927</v>
      </c>
    </row>
    <row r="2898" spans="4:4" x14ac:dyDescent="0.3">
      <c r="D2898" t="s">
        <v>2928</v>
      </c>
    </row>
    <row r="2899" spans="4:4" x14ac:dyDescent="0.3">
      <c r="D2899" t="s">
        <v>2929</v>
      </c>
    </row>
    <row r="2900" spans="4:4" x14ac:dyDescent="0.3">
      <c r="D2900" t="s">
        <v>2930</v>
      </c>
    </row>
    <row r="2901" spans="4:4" x14ac:dyDescent="0.3">
      <c r="D2901" t="s">
        <v>2931</v>
      </c>
    </row>
    <row r="2902" spans="4:4" x14ac:dyDescent="0.3">
      <c r="D2902" t="s">
        <v>2932</v>
      </c>
    </row>
    <row r="2903" spans="4:4" x14ac:dyDescent="0.3">
      <c r="D2903" t="s">
        <v>2933</v>
      </c>
    </row>
    <row r="2904" spans="4:4" x14ac:dyDescent="0.3">
      <c r="D2904" t="s">
        <v>2934</v>
      </c>
    </row>
    <row r="2905" spans="4:4" x14ac:dyDescent="0.3">
      <c r="D2905" t="s">
        <v>2935</v>
      </c>
    </row>
    <row r="2906" spans="4:4" x14ac:dyDescent="0.3">
      <c r="D2906" t="s">
        <v>2936</v>
      </c>
    </row>
    <row r="2907" spans="4:4" x14ac:dyDescent="0.3">
      <c r="D2907" t="s">
        <v>2937</v>
      </c>
    </row>
    <row r="2908" spans="4:4" x14ac:dyDescent="0.3">
      <c r="D2908" t="s">
        <v>2938</v>
      </c>
    </row>
    <row r="2909" spans="4:4" x14ac:dyDescent="0.3">
      <c r="D2909" t="s">
        <v>2939</v>
      </c>
    </row>
    <row r="2910" spans="4:4" x14ac:dyDescent="0.3">
      <c r="D2910" t="s">
        <v>2940</v>
      </c>
    </row>
    <row r="2911" spans="4:4" x14ac:dyDescent="0.3">
      <c r="D2911" t="s">
        <v>2941</v>
      </c>
    </row>
    <row r="2912" spans="4:4" x14ac:dyDescent="0.3">
      <c r="D2912" t="s">
        <v>2942</v>
      </c>
    </row>
    <row r="2913" spans="4:4" x14ac:dyDescent="0.3">
      <c r="D2913" t="s">
        <v>2943</v>
      </c>
    </row>
    <row r="2914" spans="4:4" x14ac:dyDescent="0.3">
      <c r="D2914" t="s">
        <v>2944</v>
      </c>
    </row>
    <row r="2915" spans="4:4" x14ac:dyDescent="0.3">
      <c r="D2915" t="s">
        <v>2945</v>
      </c>
    </row>
    <row r="2916" spans="4:4" x14ac:dyDescent="0.3">
      <c r="D2916" t="s">
        <v>2946</v>
      </c>
    </row>
    <row r="2917" spans="4:4" x14ac:dyDescent="0.3">
      <c r="D2917" t="s">
        <v>2947</v>
      </c>
    </row>
    <row r="2918" spans="4:4" x14ac:dyDescent="0.3">
      <c r="D2918" t="s">
        <v>2948</v>
      </c>
    </row>
    <row r="2919" spans="4:4" x14ac:dyDescent="0.3">
      <c r="D2919" t="s">
        <v>2949</v>
      </c>
    </row>
    <row r="2920" spans="4:4" x14ac:dyDescent="0.3">
      <c r="D2920" t="s">
        <v>2950</v>
      </c>
    </row>
    <row r="2921" spans="4:4" x14ac:dyDescent="0.3">
      <c r="D2921" t="s">
        <v>2951</v>
      </c>
    </row>
    <row r="2922" spans="4:4" x14ac:dyDescent="0.3">
      <c r="D2922" t="s">
        <v>2952</v>
      </c>
    </row>
    <row r="2923" spans="4:4" x14ac:dyDescent="0.3">
      <c r="D2923" t="s">
        <v>2953</v>
      </c>
    </row>
    <row r="2924" spans="4:4" x14ac:dyDescent="0.3">
      <c r="D2924" t="s">
        <v>2954</v>
      </c>
    </row>
    <row r="2925" spans="4:4" x14ac:dyDescent="0.3">
      <c r="D2925" t="s">
        <v>2955</v>
      </c>
    </row>
    <row r="2926" spans="4:4" x14ac:dyDescent="0.3">
      <c r="D2926" t="s">
        <v>2956</v>
      </c>
    </row>
    <row r="2927" spans="4:4" x14ac:dyDescent="0.3">
      <c r="D2927" t="s">
        <v>2957</v>
      </c>
    </row>
    <row r="2928" spans="4:4" x14ac:dyDescent="0.3">
      <c r="D2928" t="s">
        <v>2958</v>
      </c>
    </row>
    <row r="2929" spans="4:4" x14ac:dyDescent="0.3">
      <c r="D2929" t="s">
        <v>2959</v>
      </c>
    </row>
    <row r="2930" spans="4:4" x14ac:dyDescent="0.3">
      <c r="D2930" t="s">
        <v>2960</v>
      </c>
    </row>
    <row r="2931" spans="4:4" x14ac:dyDescent="0.3">
      <c r="D2931" t="s">
        <v>2961</v>
      </c>
    </row>
    <row r="2932" spans="4:4" x14ac:dyDescent="0.3">
      <c r="D2932" t="s">
        <v>2962</v>
      </c>
    </row>
    <row r="2933" spans="4:4" x14ac:dyDescent="0.3">
      <c r="D2933" t="s">
        <v>2963</v>
      </c>
    </row>
    <row r="2934" spans="4:4" x14ac:dyDescent="0.3">
      <c r="D2934" t="s">
        <v>2964</v>
      </c>
    </row>
    <row r="2935" spans="4:4" x14ac:dyDescent="0.3">
      <c r="D2935" t="s">
        <v>2965</v>
      </c>
    </row>
    <row r="2936" spans="4:4" x14ac:dyDescent="0.3">
      <c r="D2936" t="s">
        <v>2966</v>
      </c>
    </row>
    <row r="2937" spans="4:4" x14ac:dyDescent="0.3">
      <c r="D2937" t="s">
        <v>2967</v>
      </c>
    </row>
    <row r="2938" spans="4:4" x14ac:dyDescent="0.3">
      <c r="D2938" t="s">
        <v>2968</v>
      </c>
    </row>
    <row r="2939" spans="4:4" x14ac:dyDescent="0.3">
      <c r="D2939" t="s">
        <v>2969</v>
      </c>
    </row>
    <row r="2940" spans="4:4" x14ac:dyDescent="0.3">
      <c r="D2940" t="s">
        <v>2970</v>
      </c>
    </row>
    <row r="2941" spans="4:4" x14ac:dyDescent="0.3">
      <c r="D2941" t="s">
        <v>2971</v>
      </c>
    </row>
    <row r="2942" spans="4:4" x14ac:dyDescent="0.3">
      <c r="D2942" t="s">
        <v>2972</v>
      </c>
    </row>
    <row r="2943" spans="4:4" x14ac:dyDescent="0.3">
      <c r="D2943" t="s">
        <v>2973</v>
      </c>
    </row>
    <row r="2944" spans="4:4" x14ac:dyDescent="0.3">
      <c r="D2944" t="s">
        <v>2974</v>
      </c>
    </row>
    <row r="2945" spans="4:4" x14ac:dyDescent="0.3">
      <c r="D2945" t="s">
        <v>2975</v>
      </c>
    </row>
    <row r="2946" spans="4:4" x14ac:dyDescent="0.3">
      <c r="D2946" t="s">
        <v>2976</v>
      </c>
    </row>
    <row r="2947" spans="4:4" x14ac:dyDescent="0.3">
      <c r="D2947" t="s">
        <v>2977</v>
      </c>
    </row>
    <row r="2948" spans="4:4" x14ac:dyDescent="0.3">
      <c r="D2948" t="s">
        <v>2978</v>
      </c>
    </row>
    <row r="2949" spans="4:4" x14ac:dyDescent="0.3">
      <c r="D2949" t="s">
        <v>2979</v>
      </c>
    </row>
    <row r="2950" spans="4:4" x14ac:dyDescent="0.3">
      <c r="D2950" t="s">
        <v>2980</v>
      </c>
    </row>
    <row r="2951" spans="4:4" x14ac:dyDescent="0.3">
      <c r="D2951" t="s">
        <v>2981</v>
      </c>
    </row>
    <row r="2952" spans="4:4" x14ac:dyDescent="0.3">
      <c r="D2952" t="s">
        <v>2982</v>
      </c>
    </row>
    <row r="2953" spans="4:4" x14ac:dyDescent="0.3">
      <c r="D2953" t="s">
        <v>2983</v>
      </c>
    </row>
    <row r="2954" spans="4:4" x14ac:dyDescent="0.3">
      <c r="D2954" t="s">
        <v>2984</v>
      </c>
    </row>
    <row r="2955" spans="4:4" x14ac:dyDescent="0.3">
      <c r="D2955" t="s">
        <v>2985</v>
      </c>
    </row>
    <row r="2956" spans="4:4" x14ac:dyDescent="0.3">
      <c r="D2956" t="s">
        <v>2986</v>
      </c>
    </row>
    <row r="2957" spans="4:4" x14ac:dyDescent="0.3">
      <c r="D2957" t="s">
        <v>2987</v>
      </c>
    </row>
    <row r="2958" spans="4:4" x14ac:dyDescent="0.3">
      <c r="D2958" t="s">
        <v>2988</v>
      </c>
    </row>
    <row r="2959" spans="4:4" x14ac:dyDescent="0.3">
      <c r="D2959" t="s">
        <v>2989</v>
      </c>
    </row>
    <row r="2960" spans="4:4" x14ac:dyDescent="0.3">
      <c r="D2960" t="s">
        <v>2990</v>
      </c>
    </row>
    <row r="2961" spans="4:4" x14ac:dyDescent="0.3">
      <c r="D2961" t="s">
        <v>2991</v>
      </c>
    </row>
    <row r="2962" spans="4:4" x14ac:dyDescent="0.3">
      <c r="D2962" t="s">
        <v>2992</v>
      </c>
    </row>
    <row r="2963" spans="4:4" x14ac:dyDescent="0.3">
      <c r="D2963" t="s">
        <v>2993</v>
      </c>
    </row>
    <row r="2964" spans="4:4" x14ac:dyDescent="0.3">
      <c r="D2964" t="s">
        <v>2994</v>
      </c>
    </row>
    <row r="2965" spans="4:4" x14ac:dyDescent="0.3">
      <c r="D2965" t="s">
        <v>2995</v>
      </c>
    </row>
    <row r="2966" spans="4:4" x14ac:dyDescent="0.3">
      <c r="D2966" t="s">
        <v>2996</v>
      </c>
    </row>
    <row r="2967" spans="4:4" x14ac:dyDescent="0.3">
      <c r="D2967" t="s">
        <v>2997</v>
      </c>
    </row>
    <row r="2968" spans="4:4" x14ac:dyDescent="0.3">
      <c r="D2968" t="s">
        <v>2998</v>
      </c>
    </row>
    <row r="2969" spans="4:4" x14ac:dyDescent="0.3">
      <c r="D2969" t="s">
        <v>2999</v>
      </c>
    </row>
    <row r="2970" spans="4:4" x14ac:dyDescent="0.3">
      <c r="D2970" t="s">
        <v>3000</v>
      </c>
    </row>
    <row r="2971" spans="4:4" x14ac:dyDescent="0.3">
      <c r="D2971" t="s">
        <v>3001</v>
      </c>
    </row>
    <row r="2972" spans="4:4" x14ac:dyDescent="0.3">
      <c r="D2972" t="s">
        <v>3002</v>
      </c>
    </row>
    <row r="2973" spans="4:4" x14ac:dyDescent="0.3">
      <c r="D2973" t="s">
        <v>3003</v>
      </c>
    </row>
    <row r="2974" spans="4:4" x14ac:dyDescent="0.3">
      <c r="D2974" t="s">
        <v>3004</v>
      </c>
    </row>
    <row r="2975" spans="4:4" x14ac:dyDescent="0.3">
      <c r="D2975" t="s">
        <v>3005</v>
      </c>
    </row>
    <row r="2976" spans="4:4" x14ac:dyDescent="0.3">
      <c r="D2976" t="s">
        <v>3006</v>
      </c>
    </row>
    <row r="2977" spans="4:4" x14ac:dyDescent="0.3">
      <c r="D2977" t="s">
        <v>3007</v>
      </c>
    </row>
    <row r="2978" spans="4:4" x14ac:dyDescent="0.3">
      <c r="D2978" t="s">
        <v>3008</v>
      </c>
    </row>
    <row r="2979" spans="4:4" x14ac:dyDescent="0.3">
      <c r="D2979" t="s">
        <v>3009</v>
      </c>
    </row>
    <row r="2980" spans="4:4" x14ac:dyDescent="0.3">
      <c r="D2980" t="s">
        <v>3010</v>
      </c>
    </row>
    <row r="2981" spans="4:4" x14ac:dyDescent="0.3">
      <c r="D2981" t="s">
        <v>3011</v>
      </c>
    </row>
    <row r="2982" spans="4:4" x14ac:dyDescent="0.3">
      <c r="D2982" t="s">
        <v>3012</v>
      </c>
    </row>
    <row r="2983" spans="4:4" x14ac:dyDescent="0.3">
      <c r="D2983" t="s">
        <v>3013</v>
      </c>
    </row>
    <row r="2984" spans="4:4" x14ac:dyDescent="0.3">
      <c r="D2984" t="s">
        <v>3014</v>
      </c>
    </row>
    <row r="2985" spans="4:4" x14ac:dyDescent="0.3">
      <c r="D2985" t="s">
        <v>3015</v>
      </c>
    </row>
    <row r="2986" spans="4:4" x14ac:dyDescent="0.3">
      <c r="D2986" t="s">
        <v>3016</v>
      </c>
    </row>
    <row r="2987" spans="4:4" x14ac:dyDescent="0.3">
      <c r="D2987" t="s">
        <v>3017</v>
      </c>
    </row>
    <row r="2988" spans="4:4" x14ac:dyDescent="0.3">
      <c r="D2988" t="s">
        <v>3018</v>
      </c>
    </row>
    <row r="2989" spans="4:4" x14ac:dyDescent="0.3">
      <c r="D2989" t="s">
        <v>3019</v>
      </c>
    </row>
    <row r="2990" spans="4:4" x14ac:dyDescent="0.3">
      <c r="D2990" t="s">
        <v>3020</v>
      </c>
    </row>
    <row r="2991" spans="4:4" x14ac:dyDescent="0.3">
      <c r="D2991" t="s">
        <v>3021</v>
      </c>
    </row>
    <row r="2992" spans="4:4" x14ac:dyDescent="0.3">
      <c r="D2992" t="s">
        <v>3022</v>
      </c>
    </row>
    <row r="2993" spans="4:4" x14ac:dyDescent="0.3">
      <c r="D2993" t="s">
        <v>3023</v>
      </c>
    </row>
    <row r="2994" spans="4:4" x14ac:dyDescent="0.3">
      <c r="D2994" t="s">
        <v>3024</v>
      </c>
    </row>
    <row r="2995" spans="4:4" x14ac:dyDescent="0.3">
      <c r="D2995" t="s">
        <v>3025</v>
      </c>
    </row>
    <row r="2996" spans="4:4" x14ac:dyDescent="0.3">
      <c r="D2996" t="s">
        <v>3026</v>
      </c>
    </row>
    <row r="2997" spans="4:4" x14ac:dyDescent="0.3">
      <c r="D2997" t="s">
        <v>3027</v>
      </c>
    </row>
    <row r="2998" spans="4:4" x14ac:dyDescent="0.3">
      <c r="D2998" t="s">
        <v>3028</v>
      </c>
    </row>
    <row r="2999" spans="4:4" x14ac:dyDescent="0.3">
      <c r="D2999" t="s">
        <v>3029</v>
      </c>
    </row>
    <row r="3000" spans="4:4" x14ac:dyDescent="0.3">
      <c r="D3000" t="s">
        <v>3030</v>
      </c>
    </row>
    <row r="3001" spans="4:4" x14ac:dyDescent="0.3">
      <c r="D3001" t="s">
        <v>3031</v>
      </c>
    </row>
    <row r="3002" spans="4:4" x14ac:dyDescent="0.3">
      <c r="D3002" t="s">
        <v>3032</v>
      </c>
    </row>
    <row r="3003" spans="4:4" x14ac:dyDescent="0.3">
      <c r="D3003" t="s">
        <v>3033</v>
      </c>
    </row>
    <row r="3004" spans="4:4" x14ac:dyDescent="0.3">
      <c r="D3004" t="s">
        <v>3034</v>
      </c>
    </row>
    <row r="3005" spans="4:4" x14ac:dyDescent="0.3">
      <c r="D3005" t="s">
        <v>3035</v>
      </c>
    </row>
    <row r="3006" spans="4:4" x14ac:dyDescent="0.3">
      <c r="D3006" t="s">
        <v>3036</v>
      </c>
    </row>
    <row r="3007" spans="4:4" x14ac:dyDescent="0.3">
      <c r="D3007" t="s">
        <v>3037</v>
      </c>
    </row>
    <row r="3008" spans="4:4" x14ac:dyDescent="0.3">
      <c r="D3008" t="s">
        <v>3038</v>
      </c>
    </row>
    <row r="3009" spans="4:4" x14ac:dyDescent="0.3">
      <c r="D3009" t="s">
        <v>3039</v>
      </c>
    </row>
    <row r="3010" spans="4:4" x14ac:dyDescent="0.3">
      <c r="D3010" t="s">
        <v>3040</v>
      </c>
    </row>
    <row r="3011" spans="4:4" x14ac:dyDescent="0.3">
      <c r="D3011" t="s">
        <v>3041</v>
      </c>
    </row>
    <row r="3012" spans="4:4" x14ac:dyDescent="0.3">
      <c r="D3012" t="s">
        <v>3042</v>
      </c>
    </row>
    <row r="3013" spans="4:4" x14ac:dyDescent="0.3">
      <c r="D3013" t="s">
        <v>3043</v>
      </c>
    </row>
    <row r="3014" spans="4:4" x14ac:dyDescent="0.3">
      <c r="D3014" t="s">
        <v>3044</v>
      </c>
    </row>
    <row r="3015" spans="4:4" x14ac:dyDescent="0.3">
      <c r="D3015" t="s">
        <v>3045</v>
      </c>
    </row>
    <row r="3016" spans="4:4" x14ac:dyDescent="0.3">
      <c r="D3016" t="s">
        <v>3046</v>
      </c>
    </row>
    <row r="3017" spans="4:4" x14ac:dyDescent="0.3">
      <c r="D3017" t="s">
        <v>3047</v>
      </c>
    </row>
    <row r="3018" spans="4:4" x14ac:dyDescent="0.3">
      <c r="D3018" t="s">
        <v>3048</v>
      </c>
    </row>
    <row r="3019" spans="4:4" x14ac:dyDescent="0.3">
      <c r="D3019" t="s">
        <v>3049</v>
      </c>
    </row>
    <row r="3020" spans="4:4" x14ac:dyDescent="0.3">
      <c r="D3020" t="s">
        <v>3050</v>
      </c>
    </row>
    <row r="3021" spans="4:4" x14ac:dyDescent="0.3">
      <c r="D3021" t="s">
        <v>3051</v>
      </c>
    </row>
    <row r="3022" spans="4:4" x14ac:dyDescent="0.3">
      <c r="D3022" t="s">
        <v>3052</v>
      </c>
    </row>
    <row r="3023" spans="4:4" x14ac:dyDescent="0.3">
      <c r="D3023" t="s">
        <v>3053</v>
      </c>
    </row>
    <row r="3024" spans="4:4" x14ac:dyDescent="0.3">
      <c r="D3024" t="s">
        <v>3054</v>
      </c>
    </row>
    <row r="3025" spans="4:4" x14ac:dyDescent="0.3">
      <c r="D3025" t="s">
        <v>3055</v>
      </c>
    </row>
    <row r="3026" spans="4:4" x14ac:dyDescent="0.3">
      <c r="D3026" t="s">
        <v>3056</v>
      </c>
    </row>
    <row r="3027" spans="4:4" x14ac:dyDescent="0.3">
      <c r="D3027" t="s">
        <v>3057</v>
      </c>
    </row>
    <row r="3028" spans="4:4" x14ac:dyDescent="0.3">
      <c r="D3028" t="s">
        <v>3058</v>
      </c>
    </row>
    <row r="3029" spans="4:4" x14ac:dyDescent="0.3">
      <c r="D3029" t="s">
        <v>3059</v>
      </c>
    </row>
    <row r="3030" spans="4:4" x14ac:dyDescent="0.3">
      <c r="D3030" t="s">
        <v>3060</v>
      </c>
    </row>
    <row r="3031" spans="4:4" x14ac:dyDescent="0.3">
      <c r="D3031" t="s">
        <v>3061</v>
      </c>
    </row>
    <row r="3032" spans="4:4" x14ac:dyDescent="0.3">
      <c r="D3032" t="s">
        <v>3062</v>
      </c>
    </row>
    <row r="3033" spans="4:4" x14ac:dyDescent="0.3">
      <c r="D3033" t="s">
        <v>3063</v>
      </c>
    </row>
    <row r="3034" spans="4:4" x14ac:dyDescent="0.3">
      <c r="D3034" t="s">
        <v>3064</v>
      </c>
    </row>
    <row r="3035" spans="4:4" x14ac:dyDescent="0.3">
      <c r="D3035" t="s">
        <v>3065</v>
      </c>
    </row>
    <row r="3036" spans="4:4" x14ac:dyDescent="0.3">
      <c r="D3036" t="s">
        <v>3066</v>
      </c>
    </row>
    <row r="3037" spans="4:4" x14ac:dyDescent="0.3">
      <c r="D3037" t="s">
        <v>3067</v>
      </c>
    </row>
    <row r="3038" spans="4:4" x14ac:dyDescent="0.3">
      <c r="D3038" t="s">
        <v>3068</v>
      </c>
    </row>
    <row r="3039" spans="4:4" x14ac:dyDescent="0.3">
      <c r="D3039" t="s">
        <v>3069</v>
      </c>
    </row>
    <row r="3040" spans="4:4" x14ac:dyDescent="0.3">
      <c r="D3040" t="s">
        <v>3070</v>
      </c>
    </row>
    <row r="3041" spans="4:4" x14ac:dyDescent="0.3">
      <c r="D3041" t="s">
        <v>3071</v>
      </c>
    </row>
    <row r="3042" spans="4:4" x14ac:dyDescent="0.3">
      <c r="D3042" t="s">
        <v>3072</v>
      </c>
    </row>
    <row r="3043" spans="4:4" x14ac:dyDescent="0.3">
      <c r="D3043" t="s">
        <v>3073</v>
      </c>
    </row>
    <row r="3044" spans="4:4" x14ac:dyDescent="0.3">
      <c r="D3044" t="s">
        <v>3074</v>
      </c>
    </row>
    <row r="3045" spans="4:4" x14ac:dyDescent="0.3">
      <c r="D3045" t="s">
        <v>3075</v>
      </c>
    </row>
    <row r="3046" spans="4:4" x14ac:dyDescent="0.3">
      <c r="D3046" t="s">
        <v>3076</v>
      </c>
    </row>
    <row r="3047" spans="4:4" x14ac:dyDescent="0.3">
      <c r="D3047" t="s">
        <v>3077</v>
      </c>
    </row>
    <row r="3048" spans="4:4" x14ac:dyDescent="0.3">
      <c r="D3048" t="s">
        <v>3078</v>
      </c>
    </row>
    <row r="3049" spans="4:4" x14ac:dyDescent="0.3">
      <c r="D3049" t="s">
        <v>3079</v>
      </c>
    </row>
    <row r="3050" spans="4:4" x14ac:dyDescent="0.3">
      <c r="D3050" t="s">
        <v>3080</v>
      </c>
    </row>
    <row r="3051" spans="4:4" x14ac:dyDescent="0.3">
      <c r="D3051" t="s">
        <v>3081</v>
      </c>
    </row>
    <row r="3052" spans="4:4" x14ac:dyDescent="0.3">
      <c r="D3052" t="s">
        <v>3082</v>
      </c>
    </row>
    <row r="3053" spans="4:4" x14ac:dyDescent="0.3">
      <c r="D3053" t="s">
        <v>3083</v>
      </c>
    </row>
    <row r="3054" spans="4:4" x14ac:dyDescent="0.3">
      <c r="D3054" t="s">
        <v>3084</v>
      </c>
    </row>
    <row r="3055" spans="4:4" x14ac:dyDescent="0.3">
      <c r="D3055" t="s">
        <v>3085</v>
      </c>
    </row>
    <row r="3056" spans="4:4" x14ac:dyDescent="0.3">
      <c r="D3056" t="s">
        <v>3086</v>
      </c>
    </row>
    <row r="3057" spans="4:4" x14ac:dyDescent="0.3">
      <c r="D3057" t="s">
        <v>3087</v>
      </c>
    </row>
    <row r="3058" spans="4:4" x14ac:dyDescent="0.3">
      <c r="D3058" t="s">
        <v>3088</v>
      </c>
    </row>
    <row r="3059" spans="4:4" x14ac:dyDescent="0.3">
      <c r="D3059" t="s">
        <v>3089</v>
      </c>
    </row>
    <row r="3060" spans="4:4" x14ac:dyDescent="0.3">
      <c r="D3060" t="s">
        <v>3090</v>
      </c>
    </row>
    <row r="3061" spans="4:4" x14ac:dyDescent="0.3">
      <c r="D3061" t="s">
        <v>3091</v>
      </c>
    </row>
    <row r="3062" spans="4:4" x14ac:dyDescent="0.3">
      <c r="D3062" t="s">
        <v>3092</v>
      </c>
    </row>
    <row r="3063" spans="4:4" x14ac:dyDescent="0.3">
      <c r="D3063" t="s">
        <v>3093</v>
      </c>
    </row>
    <row r="3064" spans="4:4" x14ac:dyDescent="0.3">
      <c r="D3064" t="s">
        <v>3094</v>
      </c>
    </row>
    <row r="3065" spans="4:4" x14ac:dyDescent="0.3">
      <c r="D3065" t="s">
        <v>3095</v>
      </c>
    </row>
    <row r="3066" spans="4:4" x14ac:dyDescent="0.3">
      <c r="D3066" t="s">
        <v>3096</v>
      </c>
    </row>
    <row r="3067" spans="4:4" x14ac:dyDescent="0.3">
      <c r="D3067" t="s">
        <v>3097</v>
      </c>
    </row>
    <row r="3068" spans="4:4" x14ac:dyDescent="0.3">
      <c r="D3068" t="s">
        <v>3098</v>
      </c>
    </row>
    <row r="3069" spans="4:4" x14ac:dyDescent="0.3">
      <c r="D3069" t="s">
        <v>3099</v>
      </c>
    </row>
    <row r="3070" spans="4:4" x14ac:dyDescent="0.3">
      <c r="D3070" t="s">
        <v>3100</v>
      </c>
    </row>
    <row r="3071" spans="4:4" x14ac:dyDescent="0.3">
      <c r="D3071" t="s">
        <v>3101</v>
      </c>
    </row>
    <row r="3072" spans="4:4" x14ac:dyDescent="0.3">
      <c r="D3072" t="s">
        <v>3102</v>
      </c>
    </row>
    <row r="3073" spans="4:4" x14ac:dyDescent="0.3">
      <c r="D3073" t="s">
        <v>3103</v>
      </c>
    </row>
    <row r="3074" spans="4:4" x14ac:dyDescent="0.3">
      <c r="D3074" t="s">
        <v>3104</v>
      </c>
    </row>
    <row r="3075" spans="4:4" x14ac:dyDescent="0.3">
      <c r="D3075" t="s">
        <v>3105</v>
      </c>
    </row>
    <row r="3076" spans="4:4" x14ac:dyDescent="0.3">
      <c r="D3076" t="s">
        <v>3106</v>
      </c>
    </row>
    <row r="3077" spans="4:4" x14ac:dyDescent="0.3">
      <c r="D3077" t="s">
        <v>3107</v>
      </c>
    </row>
    <row r="3078" spans="4:4" x14ac:dyDescent="0.3">
      <c r="D3078" t="s">
        <v>3108</v>
      </c>
    </row>
    <row r="3079" spans="4:4" x14ac:dyDescent="0.3">
      <c r="D3079" t="s">
        <v>3109</v>
      </c>
    </row>
    <row r="3080" spans="4:4" x14ac:dyDescent="0.3">
      <c r="D3080" t="s">
        <v>3110</v>
      </c>
    </row>
    <row r="3081" spans="4:4" x14ac:dyDescent="0.3">
      <c r="D3081" t="s">
        <v>3111</v>
      </c>
    </row>
    <row r="3082" spans="4:4" x14ac:dyDescent="0.3">
      <c r="D3082" t="s">
        <v>3112</v>
      </c>
    </row>
    <row r="3083" spans="4:4" x14ac:dyDescent="0.3">
      <c r="D3083" t="s">
        <v>3113</v>
      </c>
    </row>
    <row r="3084" spans="4:4" x14ac:dyDescent="0.3">
      <c r="D3084" t="s">
        <v>3114</v>
      </c>
    </row>
    <row r="3085" spans="4:4" x14ac:dyDescent="0.3">
      <c r="D3085" t="s">
        <v>3115</v>
      </c>
    </row>
    <row r="3086" spans="4:4" x14ac:dyDescent="0.3">
      <c r="D3086" t="s">
        <v>3116</v>
      </c>
    </row>
    <row r="3087" spans="4:4" x14ac:dyDescent="0.3">
      <c r="D3087" t="s">
        <v>3117</v>
      </c>
    </row>
    <row r="3088" spans="4:4" x14ac:dyDescent="0.3">
      <c r="D3088" t="s">
        <v>3118</v>
      </c>
    </row>
    <row r="3089" spans="4:4" x14ac:dyDescent="0.3">
      <c r="D3089" t="s">
        <v>3119</v>
      </c>
    </row>
    <row r="3090" spans="4:4" x14ac:dyDescent="0.3">
      <c r="D3090" t="s">
        <v>3120</v>
      </c>
    </row>
    <row r="3091" spans="4:4" x14ac:dyDescent="0.3">
      <c r="D3091" t="s">
        <v>3121</v>
      </c>
    </row>
    <row r="3092" spans="4:4" x14ac:dyDescent="0.3">
      <c r="D3092" t="s">
        <v>3122</v>
      </c>
    </row>
    <row r="3093" spans="4:4" x14ac:dyDescent="0.3">
      <c r="D3093" t="s">
        <v>3123</v>
      </c>
    </row>
    <row r="3094" spans="4:4" x14ac:dyDescent="0.3">
      <c r="D3094" t="s">
        <v>3124</v>
      </c>
    </row>
    <row r="3095" spans="4:4" x14ac:dyDescent="0.3">
      <c r="D3095" t="s">
        <v>3125</v>
      </c>
    </row>
    <row r="3096" spans="4:4" x14ac:dyDescent="0.3">
      <c r="D3096" t="s">
        <v>3126</v>
      </c>
    </row>
    <row r="3097" spans="4:4" x14ac:dyDescent="0.3">
      <c r="D3097" t="s">
        <v>3127</v>
      </c>
    </row>
    <row r="3098" spans="4:4" x14ac:dyDescent="0.3">
      <c r="D3098" t="s">
        <v>3128</v>
      </c>
    </row>
    <row r="3099" spans="4:4" x14ac:dyDescent="0.3">
      <c r="D3099" t="s">
        <v>3129</v>
      </c>
    </row>
    <row r="3100" spans="4:4" x14ac:dyDescent="0.3">
      <c r="D3100" t="s">
        <v>3130</v>
      </c>
    </row>
    <row r="3101" spans="4:4" x14ac:dyDescent="0.3">
      <c r="D3101" t="s">
        <v>3131</v>
      </c>
    </row>
    <row r="3102" spans="4:4" x14ac:dyDescent="0.3">
      <c r="D3102" t="s">
        <v>3132</v>
      </c>
    </row>
    <row r="3103" spans="4:4" x14ac:dyDescent="0.3">
      <c r="D3103" t="s">
        <v>3133</v>
      </c>
    </row>
    <row r="3104" spans="4:4" x14ac:dyDescent="0.3">
      <c r="D3104" t="s">
        <v>3134</v>
      </c>
    </row>
    <row r="3105" spans="4:4" x14ac:dyDescent="0.3">
      <c r="D3105" t="s">
        <v>3135</v>
      </c>
    </row>
    <row r="3106" spans="4:4" x14ac:dyDescent="0.3">
      <c r="D3106" t="s">
        <v>3136</v>
      </c>
    </row>
    <row r="3107" spans="4:4" x14ac:dyDescent="0.3">
      <c r="D3107" t="s">
        <v>3137</v>
      </c>
    </row>
    <row r="3108" spans="4:4" x14ac:dyDescent="0.3">
      <c r="D3108" t="s">
        <v>3138</v>
      </c>
    </row>
    <row r="3109" spans="4:4" x14ac:dyDescent="0.3">
      <c r="D3109" t="s">
        <v>3139</v>
      </c>
    </row>
    <row r="3110" spans="4:4" x14ac:dyDescent="0.3">
      <c r="D3110" t="s">
        <v>3140</v>
      </c>
    </row>
    <row r="3111" spans="4:4" x14ac:dyDescent="0.3">
      <c r="D3111" t="s">
        <v>3141</v>
      </c>
    </row>
    <row r="3112" spans="4:4" x14ac:dyDescent="0.3">
      <c r="D3112" t="s">
        <v>3142</v>
      </c>
    </row>
    <row r="3113" spans="4:4" x14ac:dyDescent="0.3">
      <c r="D3113" t="s">
        <v>3143</v>
      </c>
    </row>
    <row r="3114" spans="4:4" x14ac:dyDescent="0.3">
      <c r="D3114" t="s">
        <v>3144</v>
      </c>
    </row>
    <row r="3115" spans="4:4" x14ac:dyDescent="0.3">
      <c r="D3115" t="s">
        <v>3145</v>
      </c>
    </row>
    <row r="3116" spans="4:4" x14ac:dyDescent="0.3">
      <c r="D3116" t="s">
        <v>3146</v>
      </c>
    </row>
    <row r="3117" spans="4:4" x14ac:dyDescent="0.3">
      <c r="D3117" t="s">
        <v>3147</v>
      </c>
    </row>
    <row r="3118" spans="4:4" x14ac:dyDescent="0.3">
      <c r="D3118" t="s">
        <v>3148</v>
      </c>
    </row>
    <row r="3119" spans="4:4" x14ac:dyDescent="0.3">
      <c r="D3119" t="s">
        <v>3149</v>
      </c>
    </row>
    <row r="3120" spans="4:4" x14ac:dyDescent="0.3">
      <c r="D3120" t="s">
        <v>3150</v>
      </c>
    </row>
    <row r="3121" spans="4:4" x14ac:dyDescent="0.3">
      <c r="D3121" t="s">
        <v>3151</v>
      </c>
    </row>
    <row r="3122" spans="4:4" x14ac:dyDescent="0.3">
      <c r="D3122" t="s">
        <v>3152</v>
      </c>
    </row>
    <row r="3123" spans="4:4" x14ac:dyDescent="0.3">
      <c r="D3123" t="s">
        <v>3153</v>
      </c>
    </row>
    <row r="3124" spans="4:4" x14ac:dyDescent="0.3">
      <c r="D3124" t="s">
        <v>3154</v>
      </c>
    </row>
    <row r="3125" spans="4:4" x14ac:dyDescent="0.3">
      <c r="D3125" t="s">
        <v>3155</v>
      </c>
    </row>
    <row r="3126" spans="4:4" x14ac:dyDescent="0.3">
      <c r="D3126" t="s">
        <v>3156</v>
      </c>
    </row>
    <row r="3127" spans="4:4" x14ac:dyDescent="0.3">
      <c r="D3127" t="s">
        <v>3157</v>
      </c>
    </row>
    <row r="3128" spans="4:4" x14ac:dyDescent="0.3">
      <c r="D3128" t="s">
        <v>3158</v>
      </c>
    </row>
    <row r="3129" spans="4:4" x14ac:dyDescent="0.3">
      <c r="D3129" t="s">
        <v>3159</v>
      </c>
    </row>
    <row r="3130" spans="4:4" x14ac:dyDescent="0.3">
      <c r="D3130" t="s">
        <v>3160</v>
      </c>
    </row>
    <row r="3131" spans="4:4" x14ac:dyDescent="0.3">
      <c r="D3131" t="s">
        <v>3161</v>
      </c>
    </row>
    <row r="3132" spans="4:4" x14ac:dyDescent="0.3">
      <c r="D3132" t="s">
        <v>3162</v>
      </c>
    </row>
    <row r="3133" spans="4:4" x14ac:dyDescent="0.3">
      <c r="D3133" t="s">
        <v>3163</v>
      </c>
    </row>
    <row r="3134" spans="4:4" x14ac:dyDescent="0.3">
      <c r="D3134" t="s">
        <v>3164</v>
      </c>
    </row>
    <row r="3135" spans="4:4" x14ac:dyDescent="0.3">
      <c r="D3135" t="s">
        <v>3165</v>
      </c>
    </row>
    <row r="3136" spans="4:4" x14ac:dyDescent="0.3">
      <c r="D3136" t="s">
        <v>3166</v>
      </c>
    </row>
    <row r="3137" spans="4:4" x14ac:dyDescent="0.3">
      <c r="D3137" t="s">
        <v>3167</v>
      </c>
    </row>
    <row r="3138" spans="4:4" x14ac:dyDescent="0.3">
      <c r="D3138" t="s">
        <v>3168</v>
      </c>
    </row>
    <row r="3139" spans="4:4" x14ac:dyDescent="0.3">
      <c r="D3139" t="s">
        <v>3169</v>
      </c>
    </row>
    <row r="3140" spans="4:4" x14ac:dyDescent="0.3">
      <c r="D3140" t="s">
        <v>3170</v>
      </c>
    </row>
    <row r="3141" spans="4:4" x14ac:dyDescent="0.3">
      <c r="D3141" t="s">
        <v>3171</v>
      </c>
    </row>
    <row r="3142" spans="4:4" x14ac:dyDescent="0.3">
      <c r="D3142" t="s">
        <v>3172</v>
      </c>
    </row>
    <row r="3143" spans="4:4" x14ac:dyDescent="0.3">
      <c r="D3143" t="s">
        <v>3173</v>
      </c>
    </row>
    <row r="3144" spans="4:4" x14ac:dyDescent="0.3">
      <c r="D3144" t="s">
        <v>3174</v>
      </c>
    </row>
    <row r="3145" spans="4:4" x14ac:dyDescent="0.3">
      <c r="D3145" t="s">
        <v>3175</v>
      </c>
    </row>
    <row r="3146" spans="4:4" x14ac:dyDescent="0.3">
      <c r="D3146" t="s">
        <v>3176</v>
      </c>
    </row>
    <row r="3147" spans="4:4" x14ac:dyDescent="0.3">
      <c r="D3147" t="s">
        <v>3177</v>
      </c>
    </row>
    <row r="3148" spans="4:4" x14ac:dyDescent="0.3">
      <c r="D3148" t="s">
        <v>3178</v>
      </c>
    </row>
    <row r="3149" spans="4:4" x14ac:dyDescent="0.3">
      <c r="D3149" t="s">
        <v>3179</v>
      </c>
    </row>
    <row r="3150" spans="4:4" x14ac:dyDescent="0.3">
      <c r="D3150" t="s">
        <v>3180</v>
      </c>
    </row>
    <row r="3151" spans="4:4" x14ac:dyDescent="0.3">
      <c r="D3151" t="s">
        <v>3181</v>
      </c>
    </row>
    <row r="3152" spans="4:4" x14ac:dyDescent="0.3">
      <c r="D3152" t="s">
        <v>3182</v>
      </c>
    </row>
    <row r="3153" spans="4:4" x14ac:dyDescent="0.3">
      <c r="D3153" t="s">
        <v>3183</v>
      </c>
    </row>
    <row r="3154" spans="4:4" x14ac:dyDescent="0.3">
      <c r="D3154" t="s">
        <v>3184</v>
      </c>
    </row>
    <row r="3155" spans="4:4" x14ac:dyDescent="0.3">
      <c r="D3155" t="s">
        <v>3185</v>
      </c>
    </row>
    <row r="3156" spans="4:4" x14ac:dyDescent="0.3">
      <c r="D3156" t="s">
        <v>3186</v>
      </c>
    </row>
    <row r="3157" spans="4:4" x14ac:dyDescent="0.3">
      <c r="D3157" t="s">
        <v>3187</v>
      </c>
    </row>
    <row r="3158" spans="4:4" x14ac:dyDescent="0.3">
      <c r="D3158" t="s">
        <v>3188</v>
      </c>
    </row>
    <row r="3159" spans="4:4" x14ac:dyDescent="0.3">
      <c r="D3159" t="s">
        <v>3189</v>
      </c>
    </row>
    <row r="3160" spans="4:4" x14ac:dyDescent="0.3">
      <c r="D3160" t="s">
        <v>3190</v>
      </c>
    </row>
    <row r="3161" spans="4:4" x14ac:dyDescent="0.3">
      <c r="D3161" t="s">
        <v>3191</v>
      </c>
    </row>
    <row r="3162" spans="4:4" x14ac:dyDescent="0.3">
      <c r="D3162" t="s">
        <v>3192</v>
      </c>
    </row>
    <row r="3163" spans="4:4" x14ac:dyDescent="0.3">
      <c r="D3163" t="s">
        <v>3193</v>
      </c>
    </row>
    <row r="3164" spans="4:4" x14ac:dyDescent="0.3">
      <c r="D3164" t="s">
        <v>3194</v>
      </c>
    </row>
    <row r="3165" spans="4:4" x14ac:dyDescent="0.3">
      <c r="D3165" t="s">
        <v>3195</v>
      </c>
    </row>
    <row r="3166" spans="4:4" x14ac:dyDescent="0.3">
      <c r="D3166" t="s">
        <v>3196</v>
      </c>
    </row>
    <row r="3167" spans="4:4" x14ac:dyDescent="0.3">
      <c r="D3167" t="s">
        <v>3197</v>
      </c>
    </row>
    <row r="3168" spans="4:4" x14ac:dyDescent="0.3">
      <c r="D3168" t="s">
        <v>3198</v>
      </c>
    </row>
    <row r="3169" spans="4:4" x14ac:dyDescent="0.3">
      <c r="D3169" t="s">
        <v>3199</v>
      </c>
    </row>
    <row r="3170" spans="4:4" x14ac:dyDescent="0.3">
      <c r="D3170" t="s">
        <v>3200</v>
      </c>
    </row>
    <row r="3171" spans="4:4" x14ac:dyDescent="0.3">
      <c r="D3171" t="s">
        <v>3201</v>
      </c>
    </row>
    <row r="3172" spans="4:4" x14ac:dyDescent="0.3">
      <c r="D3172" t="s">
        <v>3202</v>
      </c>
    </row>
    <row r="3173" spans="4:4" x14ac:dyDescent="0.3">
      <c r="D3173" t="s">
        <v>3203</v>
      </c>
    </row>
    <row r="3174" spans="4:4" x14ac:dyDescent="0.3">
      <c r="D3174" t="s">
        <v>3204</v>
      </c>
    </row>
    <row r="3175" spans="4:4" x14ac:dyDescent="0.3">
      <c r="D3175" t="s">
        <v>3205</v>
      </c>
    </row>
    <row r="3176" spans="4:4" x14ac:dyDescent="0.3">
      <c r="D3176" t="s">
        <v>3206</v>
      </c>
    </row>
    <row r="3177" spans="4:4" x14ac:dyDescent="0.3">
      <c r="D3177" t="s">
        <v>3207</v>
      </c>
    </row>
    <row r="3178" spans="4:4" x14ac:dyDescent="0.3">
      <c r="D3178" t="s">
        <v>3208</v>
      </c>
    </row>
    <row r="3179" spans="4:4" x14ac:dyDescent="0.3">
      <c r="D3179" t="s">
        <v>3209</v>
      </c>
    </row>
    <row r="3180" spans="4:4" x14ac:dyDescent="0.3">
      <c r="D3180" t="s">
        <v>3210</v>
      </c>
    </row>
    <row r="3181" spans="4:4" x14ac:dyDescent="0.3">
      <c r="D3181" t="s">
        <v>3211</v>
      </c>
    </row>
    <row r="3182" spans="4:4" x14ac:dyDescent="0.3">
      <c r="D3182" t="s">
        <v>3212</v>
      </c>
    </row>
    <row r="3183" spans="4:4" x14ac:dyDescent="0.3">
      <c r="D3183" t="s">
        <v>3213</v>
      </c>
    </row>
    <row r="3184" spans="4:4" x14ac:dyDescent="0.3">
      <c r="D3184" t="s">
        <v>3214</v>
      </c>
    </row>
    <row r="3185" spans="4:4" x14ac:dyDescent="0.3">
      <c r="D3185" t="s">
        <v>3215</v>
      </c>
    </row>
    <row r="3186" spans="4:4" x14ac:dyDescent="0.3">
      <c r="D3186" t="s">
        <v>3216</v>
      </c>
    </row>
    <row r="3187" spans="4:4" x14ac:dyDescent="0.3">
      <c r="D3187" t="s">
        <v>3217</v>
      </c>
    </row>
    <row r="3188" spans="4:4" x14ac:dyDescent="0.3">
      <c r="D3188" t="s">
        <v>3218</v>
      </c>
    </row>
    <row r="3189" spans="4:4" x14ac:dyDescent="0.3">
      <c r="D3189" t="s">
        <v>3219</v>
      </c>
    </row>
    <row r="3190" spans="4:4" x14ac:dyDescent="0.3">
      <c r="D3190" t="s">
        <v>3220</v>
      </c>
    </row>
    <row r="3191" spans="4:4" x14ac:dyDescent="0.3">
      <c r="D3191" t="s">
        <v>3221</v>
      </c>
    </row>
    <row r="3192" spans="4:4" x14ac:dyDescent="0.3">
      <c r="D3192" t="s">
        <v>3222</v>
      </c>
    </row>
    <row r="3193" spans="4:4" x14ac:dyDescent="0.3">
      <c r="D3193" t="s">
        <v>3223</v>
      </c>
    </row>
    <row r="3194" spans="4:4" x14ac:dyDescent="0.3">
      <c r="D3194" t="s">
        <v>3224</v>
      </c>
    </row>
    <row r="3195" spans="4:4" x14ac:dyDescent="0.3">
      <c r="D3195" t="s">
        <v>3225</v>
      </c>
    </row>
    <row r="3196" spans="4:4" x14ac:dyDescent="0.3">
      <c r="D3196" t="s">
        <v>3226</v>
      </c>
    </row>
    <row r="3197" spans="4:4" x14ac:dyDescent="0.3">
      <c r="D3197" t="s">
        <v>3227</v>
      </c>
    </row>
    <row r="3198" spans="4:4" x14ac:dyDescent="0.3">
      <c r="D3198" t="s">
        <v>3228</v>
      </c>
    </row>
    <row r="3199" spans="4:4" x14ac:dyDescent="0.3">
      <c r="D3199" t="s">
        <v>3229</v>
      </c>
    </row>
    <row r="3200" spans="4:4" x14ac:dyDescent="0.3">
      <c r="D3200" t="s">
        <v>3230</v>
      </c>
    </row>
    <row r="3201" spans="4:4" x14ac:dyDescent="0.3">
      <c r="D3201" t="s">
        <v>3231</v>
      </c>
    </row>
    <row r="3202" spans="4:4" x14ac:dyDescent="0.3">
      <c r="D3202" t="s">
        <v>3232</v>
      </c>
    </row>
    <row r="3203" spans="4:4" x14ac:dyDescent="0.3">
      <c r="D3203" t="s">
        <v>3233</v>
      </c>
    </row>
    <row r="3204" spans="4:4" x14ac:dyDescent="0.3">
      <c r="D3204" t="s">
        <v>3234</v>
      </c>
    </row>
    <row r="3205" spans="4:4" x14ac:dyDescent="0.3">
      <c r="D3205" t="s">
        <v>3235</v>
      </c>
    </row>
    <row r="3206" spans="4:4" x14ac:dyDescent="0.3">
      <c r="D3206" t="s">
        <v>3236</v>
      </c>
    </row>
    <row r="3207" spans="4:4" x14ac:dyDescent="0.3">
      <c r="D3207" t="s">
        <v>3237</v>
      </c>
    </row>
    <row r="3208" spans="4:4" x14ac:dyDescent="0.3">
      <c r="D3208" t="s">
        <v>3238</v>
      </c>
    </row>
    <row r="3209" spans="4:4" x14ac:dyDescent="0.3">
      <c r="D3209" t="s">
        <v>3239</v>
      </c>
    </row>
    <row r="3210" spans="4:4" x14ac:dyDescent="0.3">
      <c r="D3210" t="s">
        <v>3240</v>
      </c>
    </row>
    <row r="3211" spans="4:4" x14ac:dyDescent="0.3">
      <c r="D3211" t="s">
        <v>3241</v>
      </c>
    </row>
    <row r="3212" spans="4:4" x14ac:dyDescent="0.3">
      <c r="D3212" t="s">
        <v>3242</v>
      </c>
    </row>
    <row r="3213" spans="4:4" x14ac:dyDescent="0.3">
      <c r="D3213" t="s">
        <v>3243</v>
      </c>
    </row>
    <row r="3214" spans="4:4" x14ac:dyDescent="0.3">
      <c r="D3214" t="s">
        <v>3244</v>
      </c>
    </row>
    <row r="3215" spans="4:4" x14ac:dyDescent="0.3">
      <c r="D3215" t="s">
        <v>3245</v>
      </c>
    </row>
    <row r="3216" spans="4:4" x14ac:dyDescent="0.3">
      <c r="D3216" t="s">
        <v>3246</v>
      </c>
    </row>
    <row r="3217" spans="4:4" x14ac:dyDescent="0.3">
      <c r="D3217" t="s">
        <v>3247</v>
      </c>
    </row>
    <row r="3218" spans="4:4" x14ac:dyDescent="0.3">
      <c r="D3218" t="s">
        <v>3248</v>
      </c>
    </row>
    <row r="3219" spans="4:4" x14ac:dyDescent="0.3">
      <c r="D3219" t="s">
        <v>3249</v>
      </c>
    </row>
    <row r="3220" spans="4:4" x14ac:dyDescent="0.3">
      <c r="D3220" t="s">
        <v>3250</v>
      </c>
    </row>
    <row r="3221" spans="4:4" x14ac:dyDescent="0.3">
      <c r="D3221" t="s">
        <v>3251</v>
      </c>
    </row>
    <row r="3222" spans="4:4" x14ac:dyDescent="0.3">
      <c r="D3222" t="s">
        <v>3252</v>
      </c>
    </row>
    <row r="3223" spans="4:4" x14ac:dyDescent="0.3">
      <c r="D3223" t="s">
        <v>3253</v>
      </c>
    </row>
    <row r="3224" spans="4:4" x14ac:dyDescent="0.3">
      <c r="D3224" t="s">
        <v>3254</v>
      </c>
    </row>
    <row r="3225" spans="4:4" x14ac:dyDescent="0.3">
      <c r="D3225" t="s">
        <v>3255</v>
      </c>
    </row>
    <row r="3226" spans="4:4" x14ac:dyDescent="0.3">
      <c r="D3226" t="s">
        <v>3256</v>
      </c>
    </row>
    <row r="3227" spans="4:4" x14ac:dyDescent="0.3">
      <c r="D3227" t="s">
        <v>3257</v>
      </c>
    </row>
    <row r="3228" spans="4:4" x14ac:dyDescent="0.3">
      <c r="D3228" t="s">
        <v>3258</v>
      </c>
    </row>
    <row r="3229" spans="4:4" x14ac:dyDescent="0.3">
      <c r="D3229" t="s">
        <v>3259</v>
      </c>
    </row>
    <row r="3230" spans="4:4" x14ac:dyDescent="0.3">
      <c r="D3230" t="s">
        <v>3260</v>
      </c>
    </row>
    <row r="3231" spans="4:4" x14ac:dyDescent="0.3">
      <c r="D3231" t="s">
        <v>3261</v>
      </c>
    </row>
    <row r="3232" spans="4:4" x14ac:dyDescent="0.3">
      <c r="D3232" t="s">
        <v>3262</v>
      </c>
    </row>
    <row r="3233" spans="4:4" x14ac:dyDescent="0.3">
      <c r="D3233" t="s">
        <v>3263</v>
      </c>
    </row>
    <row r="3234" spans="4:4" x14ac:dyDescent="0.3">
      <c r="D3234" t="s">
        <v>3264</v>
      </c>
    </row>
    <row r="3235" spans="4:4" x14ac:dyDescent="0.3">
      <c r="D3235" t="s">
        <v>3265</v>
      </c>
    </row>
    <row r="3236" spans="4:4" x14ac:dyDescent="0.3">
      <c r="D3236" t="s">
        <v>3266</v>
      </c>
    </row>
    <row r="3237" spans="4:4" x14ac:dyDescent="0.3">
      <c r="D3237" t="s">
        <v>3267</v>
      </c>
    </row>
    <row r="3238" spans="4:4" x14ac:dyDescent="0.3">
      <c r="D3238" t="s">
        <v>3268</v>
      </c>
    </row>
    <row r="3239" spans="4:4" x14ac:dyDescent="0.3">
      <c r="D3239" t="s">
        <v>3269</v>
      </c>
    </row>
    <row r="3240" spans="4:4" x14ac:dyDescent="0.3">
      <c r="D3240" t="s">
        <v>3270</v>
      </c>
    </row>
    <row r="3241" spans="4:4" x14ac:dyDescent="0.3">
      <c r="D3241" t="s">
        <v>3271</v>
      </c>
    </row>
    <row r="3242" spans="4:4" x14ac:dyDescent="0.3">
      <c r="D3242" t="s">
        <v>3272</v>
      </c>
    </row>
    <row r="3243" spans="4:4" x14ac:dyDescent="0.3">
      <c r="D3243" t="s">
        <v>3273</v>
      </c>
    </row>
    <row r="3244" spans="4:4" x14ac:dyDescent="0.3">
      <c r="D3244" t="s">
        <v>3274</v>
      </c>
    </row>
    <row r="3245" spans="4:4" x14ac:dyDescent="0.3">
      <c r="D3245" t="s">
        <v>3275</v>
      </c>
    </row>
    <row r="3246" spans="4:4" x14ac:dyDescent="0.3">
      <c r="D3246" t="s">
        <v>3276</v>
      </c>
    </row>
    <row r="3247" spans="4:4" x14ac:dyDescent="0.3">
      <c r="D3247" t="s">
        <v>3277</v>
      </c>
    </row>
    <row r="3248" spans="4:4" x14ac:dyDescent="0.3">
      <c r="D3248" t="s">
        <v>3278</v>
      </c>
    </row>
    <row r="3249" spans="4:4" x14ac:dyDescent="0.3">
      <c r="D3249" t="s">
        <v>3279</v>
      </c>
    </row>
    <row r="3250" spans="4:4" x14ac:dyDescent="0.3">
      <c r="D3250" t="s">
        <v>3280</v>
      </c>
    </row>
    <row r="3251" spans="4:4" x14ac:dyDescent="0.3">
      <c r="D3251" t="s">
        <v>3281</v>
      </c>
    </row>
    <row r="3252" spans="4:4" x14ac:dyDescent="0.3">
      <c r="D3252" t="s">
        <v>3282</v>
      </c>
    </row>
    <row r="3253" spans="4:4" x14ac:dyDescent="0.3">
      <c r="D3253" t="s">
        <v>3283</v>
      </c>
    </row>
    <row r="3254" spans="4:4" x14ac:dyDescent="0.3">
      <c r="D3254" t="s">
        <v>3284</v>
      </c>
    </row>
    <row r="3255" spans="4:4" x14ac:dyDescent="0.3">
      <c r="D3255" t="s">
        <v>3285</v>
      </c>
    </row>
    <row r="3256" spans="4:4" x14ac:dyDescent="0.3">
      <c r="D3256" t="s">
        <v>3286</v>
      </c>
    </row>
    <row r="3257" spans="4:4" x14ac:dyDescent="0.3">
      <c r="D3257" t="s">
        <v>3287</v>
      </c>
    </row>
    <row r="3258" spans="4:4" x14ac:dyDescent="0.3">
      <c r="D3258" t="s">
        <v>3288</v>
      </c>
    </row>
    <row r="3259" spans="4:4" x14ac:dyDescent="0.3">
      <c r="D3259" t="s">
        <v>3289</v>
      </c>
    </row>
    <row r="3260" spans="4:4" x14ac:dyDescent="0.3">
      <c r="D3260" t="s">
        <v>3290</v>
      </c>
    </row>
    <row r="3261" spans="4:4" x14ac:dyDescent="0.3">
      <c r="D3261" t="s">
        <v>3291</v>
      </c>
    </row>
    <row r="3262" spans="4:4" x14ac:dyDescent="0.3">
      <c r="D3262" t="s">
        <v>3292</v>
      </c>
    </row>
    <row r="3263" spans="4:4" x14ac:dyDescent="0.3">
      <c r="D3263" t="s">
        <v>3293</v>
      </c>
    </row>
    <row r="3264" spans="4:4" x14ac:dyDescent="0.3">
      <c r="D3264" t="s">
        <v>3294</v>
      </c>
    </row>
    <row r="3265" spans="4:4" x14ac:dyDescent="0.3">
      <c r="D3265" t="s">
        <v>3295</v>
      </c>
    </row>
    <row r="3266" spans="4:4" x14ac:dyDescent="0.3">
      <c r="D3266" t="s">
        <v>3296</v>
      </c>
    </row>
    <row r="3267" spans="4:4" x14ac:dyDescent="0.3">
      <c r="D3267" t="s">
        <v>3297</v>
      </c>
    </row>
    <row r="3268" spans="4:4" x14ac:dyDescent="0.3">
      <c r="D3268" t="s">
        <v>3298</v>
      </c>
    </row>
    <row r="3269" spans="4:4" x14ac:dyDescent="0.3">
      <c r="D3269" t="s">
        <v>3299</v>
      </c>
    </row>
    <row r="3270" spans="4:4" x14ac:dyDescent="0.3">
      <c r="D3270" t="s">
        <v>3300</v>
      </c>
    </row>
    <row r="3271" spans="4:4" x14ac:dyDescent="0.3">
      <c r="D3271" t="s">
        <v>3301</v>
      </c>
    </row>
    <row r="3272" spans="4:4" x14ac:dyDescent="0.3">
      <c r="D3272" t="s">
        <v>3302</v>
      </c>
    </row>
    <row r="3273" spans="4:4" x14ac:dyDescent="0.3">
      <c r="D3273" t="s">
        <v>3303</v>
      </c>
    </row>
    <row r="3274" spans="4:4" x14ac:dyDescent="0.3">
      <c r="D3274" t="s">
        <v>3304</v>
      </c>
    </row>
    <row r="3275" spans="4:4" x14ac:dyDescent="0.3">
      <c r="D3275" t="s">
        <v>3305</v>
      </c>
    </row>
    <row r="3276" spans="4:4" x14ac:dyDescent="0.3">
      <c r="D3276" t="s">
        <v>3306</v>
      </c>
    </row>
    <row r="3277" spans="4:4" x14ac:dyDescent="0.3">
      <c r="D3277" t="s">
        <v>3307</v>
      </c>
    </row>
    <row r="3278" spans="4:4" x14ac:dyDescent="0.3">
      <c r="D3278" t="s">
        <v>3308</v>
      </c>
    </row>
    <row r="3279" spans="4:4" x14ac:dyDescent="0.3">
      <c r="D3279" t="s">
        <v>3309</v>
      </c>
    </row>
    <row r="3280" spans="4:4" x14ac:dyDescent="0.3">
      <c r="D3280" t="s">
        <v>3310</v>
      </c>
    </row>
    <row r="3281" spans="4:4" x14ac:dyDescent="0.3">
      <c r="D3281" t="s">
        <v>3311</v>
      </c>
    </row>
    <row r="3282" spans="4:4" x14ac:dyDescent="0.3">
      <c r="D3282" t="s">
        <v>3312</v>
      </c>
    </row>
    <row r="3283" spans="4:4" x14ac:dyDescent="0.3">
      <c r="D3283" t="s">
        <v>3313</v>
      </c>
    </row>
    <row r="3284" spans="4:4" x14ac:dyDescent="0.3">
      <c r="D3284" t="s">
        <v>3314</v>
      </c>
    </row>
    <row r="3285" spans="4:4" x14ac:dyDescent="0.3">
      <c r="D3285" t="s">
        <v>3315</v>
      </c>
    </row>
    <row r="3286" spans="4:4" x14ac:dyDescent="0.3">
      <c r="D3286" t="s">
        <v>3316</v>
      </c>
    </row>
    <row r="3287" spans="4:4" x14ac:dyDescent="0.3">
      <c r="D3287" t="s">
        <v>3317</v>
      </c>
    </row>
    <row r="3288" spans="4:4" x14ac:dyDescent="0.3">
      <c r="D3288" t="s">
        <v>3318</v>
      </c>
    </row>
    <row r="3289" spans="4:4" x14ac:dyDescent="0.3">
      <c r="D3289" t="s">
        <v>3319</v>
      </c>
    </row>
    <row r="3290" spans="4:4" x14ac:dyDescent="0.3">
      <c r="D3290" t="s">
        <v>3320</v>
      </c>
    </row>
    <row r="3291" spans="4:4" x14ac:dyDescent="0.3">
      <c r="D3291" t="s">
        <v>3321</v>
      </c>
    </row>
    <row r="3292" spans="4:4" x14ac:dyDescent="0.3">
      <c r="D3292" t="s">
        <v>3322</v>
      </c>
    </row>
    <row r="3293" spans="4:4" x14ac:dyDescent="0.3">
      <c r="D3293" t="s">
        <v>3323</v>
      </c>
    </row>
    <row r="3294" spans="4:4" x14ac:dyDescent="0.3">
      <c r="D3294" t="s">
        <v>3324</v>
      </c>
    </row>
    <row r="3295" spans="4:4" x14ac:dyDescent="0.3">
      <c r="D3295" t="s">
        <v>3325</v>
      </c>
    </row>
    <row r="3296" spans="4:4" x14ac:dyDescent="0.3">
      <c r="D3296" t="s">
        <v>3326</v>
      </c>
    </row>
    <row r="3297" spans="4:4" x14ac:dyDescent="0.3">
      <c r="D3297" t="s">
        <v>3327</v>
      </c>
    </row>
    <row r="3298" spans="4:4" x14ac:dyDescent="0.3">
      <c r="D3298" t="s">
        <v>3328</v>
      </c>
    </row>
    <row r="3299" spans="4:4" x14ac:dyDescent="0.3">
      <c r="D3299" t="s">
        <v>3329</v>
      </c>
    </row>
    <row r="3300" spans="4:4" x14ac:dyDescent="0.3">
      <c r="D3300" t="s">
        <v>3330</v>
      </c>
    </row>
    <row r="3301" spans="4:4" x14ac:dyDescent="0.3">
      <c r="D3301" t="s">
        <v>3331</v>
      </c>
    </row>
    <row r="3302" spans="4:4" x14ac:dyDescent="0.3">
      <c r="D3302" t="s">
        <v>3332</v>
      </c>
    </row>
    <row r="3303" spans="4:4" x14ac:dyDescent="0.3">
      <c r="D3303" t="s">
        <v>3333</v>
      </c>
    </row>
    <row r="3304" spans="4:4" x14ac:dyDescent="0.3">
      <c r="D3304" t="s">
        <v>3334</v>
      </c>
    </row>
    <row r="3305" spans="4:4" x14ac:dyDescent="0.3">
      <c r="D3305" t="s">
        <v>3335</v>
      </c>
    </row>
    <row r="3306" spans="4:4" x14ac:dyDescent="0.3">
      <c r="D3306" t="s">
        <v>3336</v>
      </c>
    </row>
    <row r="3307" spans="4:4" x14ac:dyDescent="0.3">
      <c r="D3307" t="s">
        <v>3337</v>
      </c>
    </row>
    <row r="3308" spans="4:4" x14ac:dyDescent="0.3">
      <c r="D3308" t="s">
        <v>3338</v>
      </c>
    </row>
    <row r="3309" spans="4:4" x14ac:dyDescent="0.3">
      <c r="D3309" t="s">
        <v>3339</v>
      </c>
    </row>
    <row r="3310" spans="4:4" x14ac:dyDescent="0.3">
      <c r="D3310" t="s">
        <v>3340</v>
      </c>
    </row>
    <row r="3311" spans="4:4" x14ac:dyDescent="0.3">
      <c r="D3311" t="s">
        <v>3341</v>
      </c>
    </row>
    <row r="3312" spans="4:4" x14ac:dyDescent="0.3">
      <c r="D3312" t="s">
        <v>3342</v>
      </c>
    </row>
    <row r="3313" spans="4:4" x14ac:dyDescent="0.3">
      <c r="D3313" t="s">
        <v>3343</v>
      </c>
    </row>
    <row r="3314" spans="4:4" x14ac:dyDescent="0.3">
      <c r="D3314" t="s">
        <v>3344</v>
      </c>
    </row>
    <row r="3315" spans="4:4" x14ac:dyDescent="0.3">
      <c r="D3315" t="s">
        <v>3345</v>
      </c>
    </row>
    <row r="3316" spans="4:4" x14ac:dyDescent="0.3">
      <c r="D3316" t="s">
        <v>3346</v>
      </c>
    </row>
    <row r="3317" spans="4:4" x14ac:dyDescent="0.3">
      <c r="D3317" t="s">
        <v>3347</v>
      </c>
    </row>
    <row r="3318" spans="4:4" x14ac:dyDescent="0.3">
      <c r="D3318" t="s">
        <v>3348</v>
      </c>
    </row>
    <row r="3319" spans="4:4" x14ac:dyDescent="0.3">
      <c r="D3319" t="s">
        <v>3349</v>
      </c>
    </row>
    <row r="3320" spans="4:4" x14ac:dyDescent="0.3">
      <c r="D3320" t="s">
        <v>3350</v>
      </c>
    </row>
    <row r="3321" spans="4:4" x14ac:dyDescent="0.3">
      <c r="D3321" t="s">
        <v>3351</v>
      </c>
    </row>
    <row r="3322" spans="4:4" x14ac:dyDescent="0.3">
      <c r="D3322" t="s">
        <v>3352</v>
      </c>
    </row>
    <row r="3323" spans="4:4" x14ac:dyDescent="0.3">
      <c r="D3323" t="s">
        <v>3353</v>
      </c>
    </row>
    <row r="3324" spans="4:4" x14ac:dyDescent="0.3">
      <c r="D3324" t="s">
        <v>3354</v>
      </c>
    </row>
    <row r="3325" spans="4:4" x14ac:dyDescent="0.3">
      <c r="D3325" t="s">
        <v>3355</v>
      </c>
    </row>
    <row r="3326" spans="4:4" x14ac:dyDescent="0.3">
      <c r="D3326" t="s">
        <v>3356</v>
      </c>
    </row>
    <row r="3327" spans="4:4" x14ac:dyDescent="0.3">
      <c r="D3327" t="s">
        <v>3357</v>
      </c>
    </row>
    <row r="3328" spans="4:4" x14ac:dyDescent="0.3">
      <c r="D3328" t="s">
        <v>3358</v>
      </c>
    </row>
    <row r="3329" spans="4:4" x14ac:dyDescent="0.3">
      <c r="D3329" t="s">
        <v>3359</v>
      </c>
    </row>
    <row r="3330" spans="4:4" x14ac:dyDescent="0.3">
      <c r="D3330" t="s">
        <v>3360</v>
      </c>
    </row>
    <row r="3331" spans="4:4" x14ac:dyDescent="0.3">
      <c r="D3331" t="s">
        <v>3361</v>
      </c>
    </row>
    <row r="3332" spans="4:4" x14ac:dyDescent="0.3">
      <c r="D3332" t="s">
        <v>3362</v>
      </c>
    </row>
    <row r="3333" spans="4:4" x14ac:dyDescent="0.3">
      <c r="D3333" t="s">
        <v>3363</v>
      </c>
    </row>
    <row r="3334" spans="4:4" x14ac:dyDescent="0.3">
      <c r="D3334" t="s">
        <v>3364</v>
      </c>
    </row>
    <row r="3335" spans="4:4" x14ac:dyDescent="0.3">
      <c r="D3335" t="s">
        <v>3365</v>
      </c>
    </row>
    <row r="3336" spans="4:4" x14ac:dyDescent="0.3">
      <c r="D3336" t="s">
        <v>3366</v>
      </c>
    </row>
    <row r="3337" spans="4:4" x14ac:dyDescent="0.3">
      <c r="D3337" t="s">
        <v>3367</v>
      </c>
    </row>
    <row r="3338" spans="4:4" x14ac:dyDescent="0.3">
      <c r="D3338" t="s">
        <v>3368</v>
      </c>
    </row>
    <row r="3339" spans="4:4" x14ac:dyDescent="0.3">
      <c r="D3339" t="s">
        <v>3369</v>
      </c>
    </row>
    <row r="3340" spans="4:4" x14ac:dyDescent="0.3">
      <c r="D3340" t="s">
        <v>3370</v>
      </c>
    </row>
    <row r="3341" spans="4:4" x14ac:dyDescent="0.3">
      <c r="D3341" t="s">
        <v>3371</v>
      </c>
    </row>
    <row r="3342" spans="4:4" x14ac:dyDescent="0.3">
      <c r="D3342" t="s">
        <v>3372</v>
      </c>
    </row>
    <row r="3343" spans="4:4" x14ac:dyDescent="0.3">
      <c r="D3343" t="s">
        <v>3373</v>
      </c>
    </row>
    <row r="3344" spans="4:4" x14ac:dyDescent="0.3">
      <c r="D3344" t="s">
        <v>3374</v>
      </c>
    </row>
    <row r="3345" spans="4:4" x14ac:dyDescent="0.3">
      <c r="D3345" t="s">
        <v>3375</v>
      </c>
    </row>
    <row r="3346" spans="4:4" x14ac:dyDescent="0.3">
      <c r="D3346" t="s">
        <v>3376</v>
      </c>
    </row>
    <row r="3347" spans="4:4" x14ac:dyDescent="0.3">
      <c r="D3347" t="s">
        <v>3377</v>
      </c>
    </row>
    <row r="3348" spans="4:4" x14ac:dyDescent="0.3">
      <c r="D3348" t="s">
        <v>3378</v>
      </c>
    </row>
    <row r="3349" spans="4:4" x14ac:dyDescent="0.3">
      <c r="D3349" t="s">
        <v>3379</v>
      </c>
    </row>
    <row r="3350" spans="4:4" x14ac:dyDescent="0.3">
      <c r="D3350" t="s">
        <v>3380</v>
      </c>
    </row>
    <row r="3351" spans="4:4" x14ac:dyDescent="0.3">
      <c r="D3351" t="s">
        <v>3381</v>
      </c>
    </row>
    <row r="3352" spans="4:4" x14ac:dyDescent="0.3">
      <c r="D3352" t="s">
        <v>3382</v>
      </c>
    </row>
    <row r="3353" spans="4:4" x14ac:dyDescent="0.3">
      <c r="D3353" t="s">
        <v>3383</v>
      </c>
    </row>
    <row r="3354" spans="4:4" x14ac:dyDescent="0.3">
      <c r="D3354" t="s">
        <v>3384</v>
      </c>
    </row>
    <row r="3355" spans="4:4" x14ac:dyDescent="0.3">
      <c r="D3355" t="s">
        <v>3385</v>
      </c>
    </row>
    <row r="3356" spans="4:4" x14ac:dyDescent="0.3">
      <c r="D3356" t="s">
        <v>3386</v>
      </c>
    </row>
    <row r="3357" spans="4:4" x14ac:dyDescent="0.3">
      <c r="D3357" t="s">
        <v>3387</v>
      </c>
    </row>
    <row r="3358" spans="4:4" x14ac:dyDescent="0.3">
      <c r="D3358" t="s">
        <v>3388</v>
      </c>
    </row>
    <row r="3359" spans="4:4" x14ac:dyDescent="0.3">
      <c r="D3359" t="s">
        <v>3389</v>
      </c>
    </row>
    <row r="3360" spans="4:4" x14ac:dyDescent="0.3">
      <c r="D3360" t="s">
        <v>3390</v>
      </c>
    </row>
    <row r="3361" spans="4:4" x14ac:dyDescent="0.3">
      <c r="D3361" t="s">
        <v>3391</v>
      </c>
    </row>
    <row r="3362" spans="4:4" x14ac:dyDescent="0.3">
      <c r="D3362" t="s">
        <v>3392</v>
      </c>
    </row>
    <row r="3363" spans="4:4" x14ac:dyDescent="0.3">
      <c r="D3363" t="s">
        <v>3393</v>
      </c>
    </row>
    <row r="3364" spans="4:4" x14ac:dyDescent="0.3">
      <c r="D3364" t="s">
        <v>3394</v>
      </c>
    </row>
    <row r="3365" spans="4:4" x14ac:dyDescent="0.3">
      <c r="D3365" t="s">
        <v>3395</v>
      </c>
    </row>
    <row r="3366" spans="4:4" x14ac:dyDescent="0.3">
      <c r="D3366" t="s">
        <v>3396</v>
      </c>
    </row>
    <row r="3367" spans="4:4" x14ac:dyDescent="0.3">
      <c r="D3367" t="s">
        <v>3397</v>
      </c>
    </row>
    <row r="3368" spans="4:4" x14ac:dyDescent="0.3">
      <c r="D3368" t="s">
        <v>3398</v>
      </c>
    </row>
    <row r="3369" spans="4:4" x14ac:dyDescent="0.3">
      <c r="D3369" t="s">
        <v>3399</v>
      </c>
    </row>
    <row r="3370" spans="4:4" x14ac:dyDescent="0.3">
      <c r="D3370" t="s">
        <v>3400</v>
      </c>
    </row>
    <row r="3371" spans="4:4" x14ac:dyDescent="0.3">
      <c r="D3371" t="s">
        <v>3401</v>
      </c>
    </row>
    <row r="3372" spans="4:4" x14ac:dyDescent="0.3">
      <c r="D3372" t="s">
        <v>3402</v>
      </c>
    </row>
    <row r="3373" spans="4:4" x14ac:dyDescent="0.3">
      <c r="D3373" t="s">
        <v>3403</v>
      </c>
    </row>
    <row r="3374" spans="4:4" x14ac:dyDescent="0.3">
      <c r="D3374" t="s">
        <v>3404</v>
      </c>
    </row>
    <row r="3375" spans="4:4" x14ac:dyDescent="0.3">
      <c r="D3375" t="s">
        <v>3405</v>
      </c>
    </row>
    <row r="3376" spans="4:4" x14ac:dyDescent="0.3">
      <c r="D3376" t="s">
        <v>3406</v>
      </c>
    </row>
    <row r="3377" spans="4:4" x14ac:dyDescent="0.3">
      <c r="D3377" t="s">
        <v>3407</v>
      </c>
    </row>
    <row r="3378" spans="4:4" x14ac:dyDescent="0.3">
      <c r="D3378" t="s">
        <v>3408</v>
      </c>
    </row>
    <row r="3379" spans="4:4" x14ac:dyDescent="0.3">
      <c r="D3379" t="s">
        <v>3409</v>
      </c>
    </row>
    <row r="3380" spans="4:4" x14ac:dyDescent="0.3">
      <c r="D3380" t="s">
        <v>3410</v>
      </c>
    </row>
    <row r="3381" spans="4:4" x14ac:dyDescent="0.3">
      <c r="D3381" t="s">
        <v>3411</v>
      </c>
    </row>
    <row r="3382" spans="4:4" x14ac:dyDescent="0.3">
      <c r="D3382" t="s">
        <v>3412</v>
      </c>
    </row>
    <row r="3383" spans="4:4" x14ac:dyDescent="0.3">
      <c r="D3383" t="s">
        <v>3413</v>
      </c>
    </row>
    <row r="3384" spans="4:4" x14ac:dyDescent="0.3">
      <c r="D3384" t="s">
        <v>3414</v>
      </c>
    </row>
    <row r="3385" spans="4:4" x14ac:dyDescent="0.3">
      <c r="D3385" t="s">
        <v>3415</v>
      </c>
    </row>
    <row r="3386" spans="4:4" x14ac:dyDescent="0.3">
      <c r="D3386" t="s">
        <v>3416</v>
      </c>
    </row>
    <row r="3387" spans="4:4" x14ac:dyDescent="0.3">
      <c r="D3387" t="s">
        <v>3417</v>
      </c>
    </row>
    <row r="3388" spans="4:4" x14ac:dyDescent="0.3">
      <c r="D3388" t="s">
        <v>3418</v>
      </c>
    </row>
    <row r="3389" spans="4:4" x14ac:dyDescent="0.3">
      <c r="D3389" t="s">
        <v>3419</v>
      </c>
    </row>
    <row r="3390" spans="4:4" x14ac:dyDescent="0.3">
      <c r="D3390" t="s">
        <v>3420</v>
      </c>
    </row>
    <row r="3391" spans="4:4" x14ac:dyDescent="0.3">
      <c r="D3391" t="s">
        <v>3421</v>
      </c>
    </row>
    <row r="3392" spans="4:4" x14ac:dyDescent="0.3">
      <c r="D3392" t="s">
        <v>3422</v>
      </c>
    </row>
    <row r="3393" spans="4:4" x14ac:dyDescent="0.3">
      <c r="D3393" t="s">
        <v>3423</v>
      </c>
    </row>
    <row r="3394" spans="4:4" x14ac:dyDescent="0.3">
      <c r="D3394" t="s">
        <v>3424</v>
      </c>
    </row>
    <row r="3395" spans="4:4" x14ac:dyDescent="0.3">
      <c r="D3395" t="s">
        <v>3425</v>
      </c>
    </row>
    <row r="3396" spans="4:4" x14ac:dyDescent="0.3">
      <c r="D3396" t="s">
        <v>3426</v>
      </c>
    </row>
    <row r="3397" spans="4:4" x14ac:dyDescent="0.3">
      <c r="D3397" t="s">
        <v>3427</v>
      </c>
    </row>
    <row r="3398" spans="4:4" x14ac:dyDescent="0.3">
      <c r="D3398" t="s">
        <v>3428</v>
      </c>
    </row>
    <row r="3399" spans="4:4" x14ac:dyDescent="0.3">
      <c r="D3399" t="s">
        <v>3429</v>
      </c>
    </row>
    <row r="3400" spans="4:4" x14ac:dyDescent="0.3">
      <c r="D3400" t="s">
        <v>3430</v>
      </c>
    </row>
    <row r="3401" spans="4:4" x14ac:dyDescent="0.3">
      <c r="D3401" t="s">
        <v>3431</v>
      </c>
    </row>
    <row r="3402" spans="4:4" x14ac:dyDescent="0.3">
      <c r="D3402" t="s">
        <v>3432</v>
      </c>
    </row>
    <row r="3403" spans="4:4" x14ac:dyDescent="0.3">
      <c r="D3403" t="s">
        <v>3433</v>
      </c>
    </row>
    <row r="3404" spans="4:4" x14ac:dyDescent="0.3">
      <c r="D3404" t="s">
        <v>3434</v>
      </c>
    </row>
    <row r="3405" spans="4:4" x14ac:dyDescent="0.3">
      <c r="D3405" t="s">
        <v>3435</v>
      </c>
    </row>
    <row r="3406" spans="4:4" x14ac:dyDescent="0.3">
      <c r="D3406" t="s">
        <v>3436</v>
      </c>
    </row>
    <row r="3407" spans="4:4" x14ac:dyDescent="0.3">
      <c r="D3407" t="s">
        <v>3437</v>
      </c>
    </row>
    <row r="3408" spans="4:4" x14ac:dyDescent="0.3">
      <c r="D3408" t="s">
        <v>3438</v>
      </c>
    </row>
    <row r="3409" spans="4:4" x14ac:dyDescent="0.3">
      <c r="D3409" t="s">
        <v>3439</v>
      </c>
    </row>
    <row r="3410" spans="4:4" x14ac:dyDescent="0.3">
      <c r="D3410" t="s">
        <v>3440</v>
      </c>
    </row>
    <row r="3411" spans="4:4" x14ac:dyDescent="0.3">
      <c r="D3411" t="s">
        <v>3441</v>
      </c>
    </row>
    <row r="3412" spans="4:4" x14ac:dyDescent="0.3">
      <c r="D3412" t="s">
        <v>3442</v>
      </c>
    </row>
    <row r="3413" spans="4:4" x14ac:dyDescent="0.3">
      <c r="D3413" t="s">
        <v>3443</v>
      </c>
    </row>
    <row r="3414" spans="4:4" x14ac:dyDescent="0.3">
      <c r="D3414" t="s">
        <v>3444</v>
      </c>
    </row>
    <row r="3415" spans="4:4" x14ac:dyDescent="0.3">
      <c r="D3415" t="s">
        <v>3445</v>
      </c>
    </row>
    <row r="3416" spans="4:4" x14ac:dyDescent="0.3">
      <c r="D3416" t="s">
        <v>3446</v>
      </c>
    </row>
    <row r="3417" spans="4:4" x14ac:dyDescent="0.3">
      <c r="D3417" t="s">
        <v>3447</v>
      </c>
    </row>
    <row r="3418" spans="4:4" x14ac:dyDescent="0.3">
      <c r="D3418" t="s">
        <v>3448</v>
      </c>
    </row>
    <row r="3419" spans="4:4" x14ac:dyDescent="0.3">
      <c r="D3419" t="s">
        <v>3449</v>
      </c>
    </row>
    <row r="3420" spans="4:4" x14ac:dyDescent="0.3">
      <c r="D3420" t="s">
        <v>3450</v>
      </c>
    </row>
    <row r="3421" spans="4:4" x14ac:dyDescent="0.3">
      <c r="D3421" t="s">
        <v>3451</v>
      </c>
    </row>
    <row r="3422" spans="4:4" x14ac:dyDescent="0.3">
      <c r="D3422" t="s">
        <v>3452</v>
      </c>
    </row>
    <row r="3423" spans="4:4" x14ac:dyDescent="0.3">
      <c r="D3423" t="s">
        <v>3453</v>
      </c>
    </row>
    <row r="3424" spans="4:4" x14ac:dyDescent="0.3">
      <c r="D3424" t="s">
        <v>3454</v>
      </c>
    </row>
    <row r="3425" spans="4:4" x14ac:dyDescent="0.3">
      <c r="D3425" t="s">
        <v>3455</v>
      </c>
    </row>
    <row r="3426" spans="4:4" x14ac:dyDescent="0.3">
      <c r="D3426" t="s">
        <v>3456</v>
      </c>
    </row>
    <row r="3427" spans="4:4" x14ac:dyDescent="0.3">
      <c r="D3427" t="s">
        <v>3457</v>
      </c>
    </row>
    <row r="3428" spans="4:4" x14ac:dyDescent="0.3">
      <c r="D3428" t="s">
        <v>3458</v>
      </c>
    </row>
    <row r="3429" spans="4:4" x14ac:dyDescent="0.3">
      <c r="D3429" t="s">
        <v>3459</v>
      </c>
    </row>
    <row r="3430" spans="4:4" x14ac:dyDescent="0.3">
      <c r="D3430" t="s">
        <v>3460</v>
      </c>
    </row>
    <row r="3431" spans="4:4" x14ac:dyDescent="0.3">
      <c r="D3431" t="s">
        <v>3461</v>
      </c>
    </row>
    <row r="3432" spans="4:4" x14ac:dyDescent="0.3">
      <c r="D3432" t="s">
        <v>3462</v>
      </c>
    </row>
    <row r="3433" spans="4:4" x14ac:dyDescent="0.3">
      <c r="D3433" t="s">
        <v>3463</v>
      </c>
    </row>
    <row r="3434" spans="4:4" x14ac:dyDescent="0.3">
      <c r="D3434" t="s">
        <v>3464</v>
      </c>
    </row>
    <row r="3435" spans="4:4" x14ac:dyDescent="0.3">
      <c r="D3435" t="s">
        <v>3465</v>
      </c>
    </row>
    <row r="3436" spans="4:4" x14ac:dyDescent="0.3">
      <c r="D3436" t="s">
        <v>3466</v>
      </c>
    </row>
    <row r="3437" spans="4:4" x14ac:dyDescent="0.3">
      <c r="D3437" t="s">
        <v>3467</v>
      </c>
    </row>
    <row r="3438" spans="4:4" x14ac:dyDescent="0.3">
      <c r="D3438" t="s">
        <v>3468</v>
      </c>
    </row>
    <row r="3439" spans="4:4" x14ac:dyDescent="0.3">
      <c r="D3439" t="s">
        <v>3469</v>
      </c>
    </row>
    <row r="3440" spans="4:4" x14ac:dyDescent="0.3">
      <c r="D3440" t="s">
        <v>3470</v>
      </c>
    </row>
    <row r="3441" spans="4:4" x14ac:dyDescent="0.3">
      <c r="D3441" t="s">
        <v>3471</v>
      </c>
    </row>
    <row r="3442" spans="4:4" x14ac:dyDescent="0.3">
      <c r="D3442" t="s">
        <v>3472</v>
      </c>
    </row>
    <row r="3443" spans="4:4" x14ac:dyDescent="0.3">
      <c r="D3443" t="s">
        <v>3473</v>
      </c>
    </row>
    <row r="3444" spans="4:4" x14ac:dyDescent="0.3">
      <c r="D3444" t="s">
        <v>3474</v>
      </c>
    </row>
    <row r="3445" spans="4:4" x14ac:dyDescent="0.3">
      <c r="D3445" t="s">
        <v>3475</v>
      </c>
    </row>
    <row r="3446" spans="4:4" x14ac:dyDescent="0.3">
      <c r="D3446" t="s">
        <v>3476</v>
      </c>
    </row>
    <row r="3447" spans="4:4" x14ac:dyDescent="0.3">
      <c r="D3447" t="s">
        <v>3477</v>
      </c>
    </row>
    <row r="3448" spans="4:4" x14ac:dyDescent="0.3">
      <c r="D3448" t="s">
        <v>3478</v>
      </c>
    </row>
    <row r="3449" spans="4:4" x14ac:dyDescent="0.3">
      <c r="D3449" t="s">
        <v>3479</v>
      </c>
    </row>
    <row r="3450" spans="4:4" x14ac:dyDescent="0.3">
      <c r="D3450" t="s">
        <v>3480</v>
      </c>
    </row>
    <row r="3451" spans="4:4" x14ac:dyDescent="0.3">
      <c r="D3451" t="s">
        <v>3481</v>
      </c>
    </row>
    <row r="3452" spans="4:4" x14ac:dyDescent="0.3">
      <c r="D3452" t="s">
        <v>3482</v>
      </c>
    </row>
    <row r="3453" spans="4:4" x14ac:dyDescent="0.3">
      <c r="D3453" t="s">
        <v>3483</v>
      </c>
    </row>
    <row r="3454" spans="4:4" x14ac:dyDescent="0.3">
      <c r="D3454" t="s">
        <v>3484</v>
      </c>
    </row>
    <row r="3455" spans="4:4" x14ac:dyDescent="0.3">
      <c r="D3455" t="s">
        <v>3485</v>
      </c>
    </row>
    <row r="3456" spans="4:4" x14ac:dyDescent="0.3">
      <c r="D3456" t="s">
        <v>3486</v>
      </c>
    </row>
    <row r="3457" spans="4:4" x14ac:dyDescent="0.3">
      <c r="D3457" t="s">
        <v>3487</v>
      </c>
    </row>
    <row r="3458" spans="4:4" x14ac:dyDescent="0.3">
      <c r="D3458" t="s">
        <v>3488</v>
      </c>
    </row>
    <row r="3459" spans="4:4" x14ac:dyDescent="0.3">
      <c r="D3459" t="s">
        <v>3489</v>
      </c>
    </row>
    <row r="3460" spans="4:4" x14ac:dyDescent="0.3">
      <c r="D3460" t="s">
        <v>3490</v>
      </c>
    </row>
    <row r="3461" spans="4:4" x14ac:dyDescent="0.3">
      <c r="D3461" t="s">
        <v>3491</v>
      </c>
    </row>
    <row r="3462" spans="4:4" x14ac:dyDescent="0.3">
      <c r="D3462" t="s">
        <v>3492</v>
      </c>
    </row>
    <row r="3463" spans="4:4" x14ac:dyDescent="0.3">
      <c r="D3463" t="s">
        <v>3493</v>
      </c>
    </row>
    <row r="3464" spans="4:4" x14ac:dyDescent="0.3">
      <c r="D3464" t="s">
        <v>3494</v>
      </c>
    </row>
    <row r="3465" spans="4:4" x14ac:dyDescent="0.3">
      <c r="D3465" t="s">
        <v>3495</v>
      </c>
    </row>
    <row r="3466" spans="4:4" x14ac:dyDescent="0.3">
      <c r="D3466" t="s">
        <v>3496</v>
      </c>
    </row>
    <row r="3467" spans="4:4" x14ac:dyDescent="0.3">
      <c r="D3467" t="s">
        <v>3497</v>
      </c>
    </row>
    <row r="3468" spans="4:4" x14ac:dyDescent="0.3">
      <c r="D3468" t="s">
        <v>3498</v>
      </c>
    </row>
    <row r="3469" spans="4:4" x14ac:dyDescent="0.3">
      <c r="D3469" t="s">
        <v>3499</v>
      </c>
    </row>
    <row r="3470" spans="4:4" x14ac:dyDescent="0.3">
      <c r="D3470" t="s">
        <v>3500</v>
      </c>
    </row>
    <row r="3471" spans="4:4" x14ac:dyDescent="0.3">
      <c r="D3471" t="s">
        <v>3501</v>
      </c>
    </row>
    <row r="3472" spans="4:4" x14ac:dyDescent="0.3">
      <c r="D3472" t="s">
        <v>3502</v>
      </c>
    </row>
    <row r="3473" spans="4:4" x14ac:dyDescent="0.3">
      <c r="D3473" t="s">
        <v>3503</v>
      </c>
    </row>
    <row r="3474" spans="4:4" x14ac:dyDescent="0.3">
      <c r="D3474" t="s">
        <v>3504</v>
      </c>
    </row>
    <row r="3475" spans="4:4" x14ac:dyDescent="0.3">
      <c r="D3475" t="s">
        <v>3505</v>
      </c>
    </row>
    <row r="3476" spans="4:4" x14ac:dyDescent="0.3">
      <c r="D3476" t="s">
        <v>3506</v>
      </c>
    </row>
    <row r="3477" spans="4:4" x14ac:dyDescent="0.3">
      <c r="D3477" t="s">
        <v>3507</v>
      </c>
    </row>
    <row r="3478" spans="4:4" x14ac:dyDescent="0.3">
      <c r="D3478" t="s">
        <v>3508</v>
      </c>
    </row>
    <row r="3479" spans="4:4" x14ac:dyDescent="0.3">
      <c r="D3479" t="s">
        <v>3509</v>
      </c>
    </row>
    <row r="3480" spans="4:4" x14ac:dyDescent="0.3">
      <c r="D3480" t="s">
        <v>3510</v>
      </c>
    </row>
    <row r="3481" spans="4:4" x14ac:dyDescent="0.3">
      <c r="D3481" t="s">
        <v>3511</v>
      </c>
    </row>
    <row r="3482" spans="4:4" x14ac:dyDescent="0.3">
      <c r="D3482" t="s">
        <v>3512</v>
      </c>
    </row>
    <row r="3483" spans="4:4" x14ac:dyDescent="0.3">
      <c r="D3483" t="s">
        <v>3513</v>
      </c>
    </row>
    <row r="3484" spans="4:4" x14ac:dyDescent="0.3">
      <c r="D3484" t="s">
        <v>3514</v>
      </c>
    </row>
    <row r="3485" spans="4:4" x14ac:dyDescent="0.3">
      <c r="D3485" t="s">
        <v>3515</v>
      </c>
    </row>
    <row r="3486" spans="4:4" x14ac:dyDescent="0.3">
      <c r="D3486" t="s">
        <v>3516</v>
      </c>
    </row>
    <row r="3487" spans="4:4" x14ac:dyDescent="0.3">
      <c r="D3487" t="s">
        <v>3517</v>
      </c>
    </row>
    <row r="3488" spans="4:4" x14ac:dyDescent="0.3">
      <c r="D3488" t="s">
        <v>3518</v>
      </c>
    </row>
    <row r="3489" spans="4:4" x14ac:dyDescent="0.3">
      <c r="D3489" t="s">
        <v>3519</v>
      </c>
    </row>
    <row r="3490" spans="4:4" x14ac:dyDescent="0.3">
      <c r="D3490" t="s">
        <v>3520</v>
      </c>
    </row>
    <row r="3491" spans="4:4" x14ac:dyDescent="0.3">
      <c r="D3491" t="s">
        <v>3521</v>
      </c>
    </row>
    <row r="3492" spans="4:4" x14ac:dyDescent="0.3">
      <c r="D3492" t="s">
        <v>3522</v>
      </c>
    </row>
    <row r="3493" spans="4:4" x14ac:dyDescent="0.3">
      <c r="D3493" t="s">
        <v>3523</v>
      </c>
    </row>
    <row r="3494" spans="4:4" x14ac:dyDescent="0.3">
      <c r="D3494" t="s">
        <v>3524</v>
      </c>
    </row>
    <row r="3495" spans="4:4" x14ac:dyDescent="0.3">
      <c r="D3495" t="s">
        <v>3525</v>
      </c>
    </row>
    <row r="3496" spans="4:4" x14ac:dyDescent="0.3">
      <c r="D3496" t="s">
        <v>3526</v>
      </c>
    </row>
    <row r="3497" spans="4:4" x14ac:dyDescent="0.3">
      <c r="D3497" t="s">
        <v>3527</v>
      </c>
    </row>
    <row r="3498" spans="4:4" x14ac:dyDescent="0.3">
      <c r="D3498" t="s">
        <v>3528</v>
      </c>
    </row>
    <row r="3499" spans="4:4" x14ac:dyDescent="0.3">
      <c r="D3499" t="s">
        <v>3529</v>
      </c>
    </row>
    <row r="3500" spans="4:4" x14ac:dyDescent="0.3">
      <c r="D3500" t="s">
        <v>3530</v>
      </c>
    </row>
    <row r="3501" spans="4:4" x14ac:dyDescent="0.3">
      <c r="D3501" t="s">
        <v>3531</v>
      </c>
    </row>
    <row r="3502" spans="4:4" x14ac:dyDescent="0.3">
      <c r="D3502" t="s">
        <v>3532</v>
      </c>
    </row>
    <row r="3503" spans="4:4" x14ac:dyDescent="0.3">
      <c r="D3503" t="s">
        <v>3533</v>
      </c>
    </row>
    <row r="3504" spans="4:4" x14ac:dyDescent="0.3">
      <c r="D3504" t="s">
        <v>3534</v>
      </c>
    </row>
    <row r="3505" spans="4:4" x14ac:dyDescent="0.3">
      <c r="D3505" t="s">
        <v>3535</v>
      </c>
    </row>
    <row r="3506" spans="4:4" x14ac:dyDescent="0.3">
      <c r="D3506" t="s">
        <v>3536</v>
      </c>
    </row>
    <row r="3507" spans="4:4" x14ac:dyDescent="0.3">
      <c r="D3507" t="s">
        <v>3537</v>
      </c>
    </row>
    <row r="3508" spans="4:4" x14ac:dyDescent="0.3">
      <c r="D3508" t="s">
        <v>3538</v>
      </c>
    </row>
    <row r="3509" spans="4:4" x14ac:dyDescent="0.3">
      <c r="D3509" t="s">
        <v>3539</v>
      </c>
    </row>
    <row r="3510" spans="4:4" x14ac:dyDescent="0.3">
      <c r="D3510" t="s">
        <v>3540</v>
      </c>
    </row>
    <row r="3511" spans="4:4" x14ac:dyDescent="0.3">
      <c r="D3511" t="s">
        <v>3541</v>
      </c>
    </row>
    <row r="3512" spans="4:4" x14ac:dyDescent="0.3">
      <c r="D3512" t="s">
        <v>3542</v>
      </c>
    </row>
    <row r="3513" spans="4:4" x14ac:dyDescent="0.3">
      <c r="D3513" t="s">
        <v>3543</v>
      </c>
    </row>
    <row r="3514" spans="4:4" x14ac:dyDescent="0.3">
      <c r="D3514" t="s">
        <v>3544</v>
      </c>
    </row>
    <row r="3515" spans="4:4" x14ac:dyDescent="0.3">
      <c r="D3515" t="s">
        <v>3545</v>
      </c>
    </row>
    <row r="3516" spans="4:4" x14ac:dyDescent="0.3">
      <c r="D3516" t="s">
        <v>3546</v>
      </c>
    </row>
    <row r="3517" spans="4:4" x14ac:dyDescent="0.3">
      <c r="D3517" t="s">
        <v>3547</v>
      </c>
    </row>
    <row r="3518" spans="4:4" x14ac:dyDescent="0.3">
      <c r="D3518" t="s">
        <v>3548</v>
      </c>
    </row>
    <row r="3519" spans="4:4" x14ac:dyDescent="0.3">
      <c r="D3519" t="s">
        <v>3549</v>
      </c>
    </row>
    <row r="3520" spans="4:4" x14ac:dyDescent="0.3">
      <c r="D3520" t="s">
        <v>3550</v>
      </c>
    </row>
    <row r="3521" spans="4:4" x14ac:dyDescent="0.3">
      <c r="D3521" t="s">
        <v>3551</v>
      </c>
    </row>
    <row r="3522" spans="4:4" x14ac:dyDescent="0.3">
      <c r="D3522" t="s">
        <v>3552</v>
      </c>
    </row>
    <row r="3523" spans="4:4" x14ac:dyDescent="0.3">
      <c r="D3523" t="s">
        <v>3553</v>
      </c>
    </row>
    <row r="3524" spans="4:4" x14ac:dyDescent="0.3">
      <c r="D3524" t="s">
        <v>3554</v>
      </c>
    </row>
    <row r="3525" spans="4:4" x14ac:dyDescent="0.3">
      <c r="D3525" t="s">
        <v>3555</v>
      </c>
    </row>
    <row r="3526" spans="4:4" x14ac:dyDescent="0.3">
      <c r="D3526" t="s">
        <v>3556</v>
      </c>
    </row>
    <row r="3527" spans="4:4" x14ac:dyDescent="0.3">
      <c r="D3527" t="s">
        <v>3557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8DB80311A9B41972280FBD9E4BB17" ma:contentTypeVersion="8" ma:contentTypeDescription="Create a new document." ma:contentTypeScope="" ma:versionID="d98310f8c5acdc75271627c22d62cbd7">
  <xsd:schema xmlns:xsd="http://www.w3.org/2001/XMLSchema" xmlns:xs="http://www.w3.org/2001/XMLSchema" xmlns:p="http://schemas.microsoft.com/office/2006/metadata/properties" xmlns:ns2="5efbd90f-7da3-45e4-981c-30c822524f86" targetNamespace="http://schemas.microsoft.com/office/2006/metadata/properties" ma:root="true" ma:fieldsID="10d52b7dfbf87d356ca68ac5243c4064" ns2:_="">
    <xsd:import namespace="5efbd90f-7da3-45e4-981c-30c822524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lient" minOccurs="0"/>
                <xsd:element ref="ns2:Process" minOccurs="0"/>
                <xsd:element ref="ns2:Document_x0020_Type" minOccurs="0"/>
                <xsd:element ref="ns2:System" minOccurs="0"/>
                <xsd:element ref="ns2:File_x0020_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bd90f-7da3-45e4-981c-30c822524f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lient" ma:index="11" nillable="true" ma:displayName="Client" ma:description="Which client is for?&#10;" ma:format="Dropdown" ma:internalName="Client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we"/>
                        <xsd:enumeration value="Havi NL"/>
                        <xsd:enumeration value="Havi BE"/>
                        <xsd:enumeration value="Havi DE"/>
                        <xsd:enumeration value="Carrefour FIF"/>
                        <xsd:enumeration value="Carrefour KDC"/>
                        <xsd:enumeration value="Netto SG"/>
                        <xsd:enumeration value="Netto MD"/>
                        <xsd:enumeration value="Lidl"/>
                        <xsd:enumeration value="Penny"/>
                        <xsd:enumeration value="Edeka"/>
                        <xsd:enumeration value="Colruyt"/>
                        <xsd:enumeration value="Heeren"/>
                        <xsd:enumeration value="Hello Fresh"/>
                        <xsd:enumeration value="Jumbo"/>
                        <xsd:enumeration value="Plus"/>
                        <xsd:enumeration value="Vomar"/>
                        <xsd:enumeration value="Spar"/>
                        <xsd:enumeration value="Versunie"/>
                        <xsd:enumeration value="Globus"/>
                        <xsd:enumeration value="Van Vugt"/>
                        <xsd:enumeration value="Bilka SG"/>
                        <xsd:enumeration value="EFC Raalte"/>
                        <xsd:enumeration value="EFC Bleiswijk"/>
                        <xsd:enumeration value="EFC Den Bosch"/>
                        <xsd:enumeration value="Van Dijk"/>
                        <xsd:enumeration value="Marhaba"/>
                        <xsd:enumeration value="Snebo"/>
                        <xsd:enumeration value="T. van der Plas"/>
                        <xsd:enumeration value="Van Rijsingen"/>
                        <xsd:enumeration value="Bio Brass"/>
                        <xsd:enumeration value="Signature Foods"/>
                        <xsd:enumeration value="Kramer"/>
                        <xsd:enumeration value="Interhaven"/>
                        <xsd:enumeration value="Tacken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rocess" ma:index="12" nillable="true" ma:displayName="Process" ma:description="What process is related to?" ma:format="Dropdown" ma:internalName="Process">
      <xsd:simpleType>
        <xsd:union memberTypes="dms:Text">
          <xsd:simpleType>
            <xsd:restriction base="dms:Choice">
              <xsd:enumeration value="Outbound"/>
              <xsd:enumeration value="Inbound"/>
              <xsd:enumeration value="Derving"/>
              <xsd:enumeration value="Sales order"/>
              <xsd:enumeration value="Purchase order"/>
              <xsd:enumeration value="Mancos"/>
              <xsd:enumeration value="Stock"/>
              <xsd:enumeration value="Picking"/>
              <xsd:enumeration value="EMB"/>
              <xsd:enumeration value="Packaging"/>
              <xsd:enumeration value="Training"/>
            </xsd:restriction>
          </xsd:simpleType>
        </xsd:union>
      </xsd:simpleType>
    </xsd:element>
    <xsd:element name="Document_x0020_Type" ma:index="13" nillable="true" ma:displayName="Document Type" ma:description="What type of document is?" ma:format="Dropdown" ma:internalName="Document_x0020_Type">
      <xsd:simpleType>
        <xsd:union memberTypes="dms:Text">
          <xsd:simpleType>
            <xsd:restriction base="dms:Choice">
              <xsd:enumeration value="Instruction"/>
              <xsd:enumeration value="Template"/>
              <xsd:enumeration value="Flowchart"/>
              <xsd:enumeration value="CMR"/>
              <xsd:enumeration value="Pakbon"/>
              <xsd:enumeration value="BAS"/>
              <xsd:enumeration value="Raangerlijst"/>
              <xsd:enumeration value="Tellijst"/>
              <xsd:enumeration value="Communication Matrix"/>
            </xsd:restriction>
          </xsd:simpleType>
        </xsd:union>
      </xsd:simpleType>
    </xsd:element>
    <xsd:element name="System" ma:index="14" nillable="true" ma:displayName="System" ma:description="Which system we are using it" ma:format="Dropdown" ma:internalName="System">
      <xsd:simpleType>
        <xsd:union memberTypes="dms:Text">
          <xsd:simpleType>
            <xsd:restriction base="dms:Choice">
              <xsd:enumeration value="D365"/>
              <xsd:enumeration value="Excel"/>
              <xsd:enumeration value="Scanner"/>
              <xsd:enumeration value="Medea"/>
              <xsd:enumeration value="Medius"/>
              <xsd:enumeration value="Teams"/>
              <xsd:enumeration value="Optimal"/>
            </xsd:restriction>
          </xsd:simpleType>
        </xsd:union>
      </xsd:simpleType>
    </xsd:element>
    <xsd:element name="File_x0020_link" ma:index="15" nillable="true" ma:displayName="File link" ma:description="Link to related file" ma:format="Hyperlink" ma:internalName="File_x0020_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s xmlns="5efbd90f-7da3-45e4-981c-30c822524f86" xsi:nil="true"/>
    <System xmlns="5efbd90f-7da3-45e4-981c-30c822524f86" xsi:nil="true"/>
    <Client xmlns="5efbd90f-7da3-45e4-981c-30c822524f86" xsi:nil="true"/>
    <Document_x0020_Type xmlns="5efbd90f-7da3-45e4-981c-30c822524f86" xsi:nil="true"/>
    <File_x0020_link xmlns="5efbd90f-7da3-45e4-981c-30c822524f86">
      <Url xsi:nil="true"/>
      <Description xsi:nil="true"/>
    </File_x0020_link>
  </documentManagement>
</p:properties>
</file>

<file path=customXml/itemProps1.xml><?xml version="1.0" encoding="utf-8"?>
<ds:datastoreItem xmlns:ds="http://schemas.openxmlformats.org/officeDocument/2006/customXml" ds:itemID="{FDC47EDE-1A9A-41BC-BABD-7504D9433E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97CF8A-BC88-4906-970D-2FE84F1E2E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fbd90f-7da3-45e4-981c-30c822524f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6E2D2C-554F-40C9-8A01-99C5F4E44E5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FC049A1-BCAE-4C80-95A4-D29AE92014F9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5efbd90f-7da3-45e4-981c-30c822524f86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PROGNOSE EP&amp;PP</vt:lpstr>
      <vt:lpstr>MANCOS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Dominik Pöpperl</dc:creator>
  <cp:lastModifiedBy>Patricia Garcia Vazquez</cp:lastModifiedBy>
  <cp:lastPrinted>2026-03-24T11:33:51Z</cp:lastPrinted>
  <dcterms:created xsi:type="dcterms:W3CDTF">2023-02-08T15:05:13Z</dcterms:created>
  <dcterms:modified xsi:type="dcterms:W3CDTF">2026-03-27T15:14:19Z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0x0101009B58DB80311A9B41972280FBD9E4BB17</vt:lpwstr>
  </property>
</Properties>
</file>