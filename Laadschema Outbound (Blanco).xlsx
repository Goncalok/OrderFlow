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ssingeu.sharepoint.com/sites/administrationvenlo/Shared Documents/Admin/Laadschema/"/>
    </mc:Choice>
  </mc:AlternateContent>
  <xr:revisionPtr revIDLastSave="153" documentId="10_ncr:80_{9039A206-A4BA-4C70-97B8-DD4A4F101C3F}" xr6:coauthVersionLast="47" xr6:coauthVersionMax="47" xr10:uidLastSave="{15757B26-9754-4E2F-8D58-7D31BDB26DA6}"/>
  <bookViews>
    <workbookView xWindow="-23148" yWindow="-912" windowWidth="23256" windowHeight="12456" tabRatio="598" xr2:uid="{00000000-000D-0000-FFFF-FFFF00000000}"/>
  </bookViews>
  <sheets>
    <sheet name="Maandag" sheetId="1" r:id="rId1"/>
    <sheet name="Dinsdag" sheetId="2" r:id="rId2"/>
    <sheet name="Woensdag" sheetId="3" r:id="rId3"/>
    <sheet name="Donderdag" sheetId="4" r:id="rId4"/>
    <sheet name="Vrijdag" sheetId="5" r:id="rId5"/>
    <sheet name="Zaterdag" sheetId="6" r:id="rId6"/>
    <sheet name="Zondag" sheetId="7" r:id="rId7"/>
  </sheets>
  <definedNames>
    <definedName name="ID" localSheetId="1" hidden="1">"82c6f839-bdfd-45f9-af9d-c8bc30c29992"</definedName>
    <definedName name="ID" localSheetId="3" hidden="1">"4450a6b4-309a-431f-8394-ad76fb5d7da2"</definedName>
    <definedName name="ID" localSheetId="0" hidden="1">"d7649ac4-fe53-4902-b4aa-25e1bcf34a05"</definedName>
    <definedName name="ID" localSheetId="4" hidden="1">"141d1137-2e7b-420b-8031-5ec23eae0155"</definedName>
    <definedName name="ID" localSheetId="2" hidden="1">"6e460f52-ba05-40ad-b23f-c6b571491740"</definedName>
    <definedName name="ID" localSheetId="5" hidden="1">"dfe00e8b-4c3d-4b03-81dd-e8743a609b67"</definedName>
    <definedName name="ID" localSheetId="6" hidden="1">"0f6a7cb6-3bab-4cf5-a2d1-95941a531836"</definedName>
    <definedName name="_xlnm.Print_Area" localSheetId="1">Dinsdag!$D$7:$T$19</definedName>
    <definedName name="_xlnm.Print_Area" localSheetId="3">Donderdag!$D$7:$U$19</definedName>
    <definedName name="_xlnm.Print_Area" localSheetId="4">Vrijdag!$D$7:$T$19</definedName>
    <definedName name="_xlnm.Print_Area" localSheetId="2">Woensdag!$D$7:$T$19</definedName>
    <definedName name="_xlnm.Print_Area" localSheetId="5">Zaterdag!$D$7:$J$19</definedName>
    <definedName name="_xlnm.Print_Area" localSheetId="6">Zondag!$I$7:$K$19</definedName>
    <definedName name="_xlnm.Print_Titles" localSheetId="1">Dinsdag!$A:$C,Dinsdag!$1:$6</definedName>
    <definedName name="_xlnm.Print_Titles" localSheetId="3">Donderdag!$A:$C,Donderdag!$1:$6</definedName>
    <definedName name="_xlnm.Print_Titles" localSheetId="0">Maandag!$A:$C,Maandag!$1:$6</definedName>
    <definedName name="_xlnm.Print_Titles" localSheetId="4">Vrijdag!$A:$C,Vrijdag!$1:$6</definedName>
    <definedName name="_xlnm.Print_Titles" localSheetId="2">Woensdag!$A:$C,Woensdag!$1:$6</definedName>
    <definedName name="_xlnm.Print_Titles" localSheetId="5">Zaterdag!$A:$C,Zaterdag!$1:$6</definedName>
    <definedName name="_xlnm.Print_Titles" localSheetId="6">Zondag!$A:$C,Zondag!$1:$6</definedName>
    <definedName name="Z_21FEB403_0AD4_4E43_ABA1_C03B0FA30C00_.wvu.Cols" localSheetId="1" hidden="1">Dinsdag!#REF!</definedName>
    <definedName name="Z_21FEB403_0AD4_4E43_ABA1_C03B0FA30C00_.wvu.Cols" localSheetId="3" hidden="1">Donderdag!#REF!</definedName>
    <definedName name="Z_21FEB403_0AD4_4E43_ABA1_C03B0FA30C00_.wvu.Cols" localSheetId="0" hidden="1">Maandag!#REF!</definedName>
    <definedName name="Z_21FEB403_0AD4_4E43_ABA1_C03B0FA30C00_.wvu.Cols" localSheetId="4" hidden="1">Vrijdag!#REF!</definedName>
    <definedName name="Z_21FEB403_0AD4_4E43_ABA1_C03B0FA30C00_.wvu.Cols" localSheetId="2" hidden="1">Woensdag!#REF!</definedName>
    <definedName name="Z_21FEB403_0AD4_4E43_ABA1_C03B0FA30C00_.wvu.Cols" localSheetId="5" hidden="1">Zaterdag!#REF!</definedName>
    <definedName name="Z_21FEB403_0AD4_4E43_ABA1_C03B0FA30C00_.wvu.Cols" localSheetId="6" hidden="1">Zondag!#REF!</definedName>
    <definedName name="Z_21FEB403_0AD4_4E43_ABA1_C03B0FA30C00_.wvu.PrintArea" localSheetId="1" hidden="1">Dinsdag!$D$7:$T$19</definedName>
    <definedName name="Z_21FEB403_0AD4_4E43_ABA1_C03B0FA30C00_.wvu.PrintArea" localSheetId="3" hidden="1">Donderdag!$D$7:$U$19</definedName>
    <definedName name="Z_21FEB403_0AD4_4E43_ABA1_C03B0FA30C00_.wvu.PrintArea" localSheetId="4" hidden="1">Vrijdag!$D$7:$T$19</definedName>
    <definedName name="Z_21FEB403_0AD4_4E43_ABA1_C03B0FA30C00_.wvu.PrintArea" localSheetId="2" hidden="1">Woensdag!$D$7:$T$19</definedName>
    <definedName name="Z_21FEB403_0AD4_4E43_ABA1_C03B0FA30C00_.wvu.PrintArea" localSheetId="5" hidden="1">Zaterdag!$D$7:$J$19</definedName>
    <definedName name="Z_21FEB403_0AD4_4E43_ABA1_C03B0FA30C00_.wvu.PrintArea" localSheetId="6" hidden="1">Zondag!$I$7:$K$19</definedName>
    <definedName name="Z_21FEB403_0AD4_4E43_ABA1_C03B0FA30C00_.wvu.PrintTitles" localSheetId="1" hidden="1">Dinsdag!$A:$C,Dinsdag!$1:$6</definedName>
    <definedName name="Z_21FEB403_0AD4_4E43_ABA1_C03B0FA30C00_.wvu.PrintTitles" localSheetId="3" hidden="1">Donderdag!$A:$C,Donderdag!$1:$6</definedName>
    <definedName name="Z_21FEB403_0AD4_4E43_ABA1_C03B0FA30C00_.wvu.PrintTitles" localSheetId="0" hidden="1">Maandag!$A:$C,Maandag!$1:$6</definedName>
    <definedName name="Z_21FEB403_0AD4_4E43_ABA1_C03B0FA30C00_.wvu.PrintTitles" localSheetId="4" hidden="1">Vrijdag!$A:$C,Vrijdag!$1:$6</definedName>
    <definedName name="Z_21FEB403_0AD4_4E43_ABA1_C03B0FA30C00_.wvu.PrintTitles" localSheetId="2" hidden="1">Woensdag!$A:$C,Woensdag!$1:$6</definedName>
    <definedName name="Z_21FEB403_0AD4_4E43_ABA1_C03B0FA30C00_.wvu.PrintTitles" localSheetId="5" hidden="1">Zaterdag!$A:$C,Zaterdag!$1:$6</definedName>
    <definedName name="Z_21FEB403_0AD4_4E43_ABA1_C03B0FA30C00_.wvu.PrintTitles" localSheetId="6" hidden="1">Zondag!$A:$C,Zondag!$1:$6</definedName>
    <definedName name="Z_36E52512_3EE3_4CC3_8A85_95E4740740EE_.wvu.PrintArea" localSheetId="1" hidden="1">Dinsdag!$D$7:$T$19</definedName>
    <definedName name="Z_36E52512_3EE3_4CC3_8A85_95E4740740EE_.wvu.PrintArea" localSheetId="3" hidden="1">Donderdag!$D$7:$U$19</definedName>
    <definedName name="Z_36E52512_3EE3_4CC3_8A85_95E4740740EE_.wvu.PrintArea" localSheetId="4" hidden="1">Vrijdag!$D$7:$T$19</definedName>
    <definedName name="Z_36E52512_3EE3_4CC3_8A85_95E4740740EE_.wvu.PrintArea" localSheetId="2" hidden="1">Woensdag!$D$7:$T$19</definedName>
    <definedName name="Z_36E52512_3EE3_4CC3_8A85_95E4740740EE_.wvu.PrintArea" localSheetId="5" hidden="1">Zaterdag!$D$7:$J$19</definedName>
    <definedName name="Z_36E52512_3EE3_4CC3_8A85_95E4740740EE_.wvu.PrintArea" localSheetId="6" hidden="1">Zondag!$I$7:$K$19</definedName>
    <definedName name="Z_36E52512_3EE3_4CC3_8A85_95E4740740EE_.wvu.PrintTitles" localSheetId="1" hidden="1">Dinsdag!$A:$C,Dinsdag!$1:$6</definedName>
    <definedName name="Z_36E52512_3EE3_4CC3_8A85_95E4740740EE_.wvu.PrintTitles" localSheetId="3" hidden="1">Donderdag!$A:$C,Donderdag!$1:$6</definedName>
    <definedName name="Z_36E52512_3EE3_4CC3_8A85_95E4740740EE_.wvu.PrintTitles" localSheetId="0" hidden="1">Maandag!$A:$C,Maandag!$1:$6</definedName>
    <definedName name="Z_36E52512_3EE3_4CC3_8A85_95E4740740EE_.wvu.PrintTitles" localSheetId="4" hidden="1">Vrijdag!$A:$C,Vrijdag!$1:$6</definedName>
    <definedName name="Z_36E52512_3EE3_4CC3_8A85_95E4740740EE_.wvu.PrintTitles" localSheetId="2" hidden="1">Woensdag!$A:$C,Woensdag!$1:$6</definedName>
    <definedName name="Z_36E52512_3EE3_4CC3_8A85_95E4740740EE_.wvu.PrintTitles" localSheetId="5" hidden="1">Zaterdag!$A:$C,Zaterdag!$1:$6</definedName>
    <definedName name="Z_36E52512_3EE3_4CC3_8A85_95E4740740EE_.wvu.PrintTitles" localSheetId="6" hidden="1">Zondag!$A:$C,Zondag!$1:$6</definedName>
    <definedName name="Z_56C6EF76_EDBC_4D28_BBAD_E202D7EB4BF2_.wvu.PrintArea" localSheetId="1" hidden="1">Dinsdag!$D$7:$T$19</definedName>
    <definedName name="Z_56C6EF76_EDBC_4D28_BBAD_E202D7EB4BF2_.wvu.PrintArea" localSheetId="3" hidden="1">Donderdag!$D$7:$U$19</definedName>
    <definedName name="Z_56C6EF76_EDBC_4D28_BBAD_E202D7EB4BF2_.wvu.PrintArea" localSheetId="4" hidden="1">Vrijdag!$D$7:$T$19</definedName>
    <definedName name="Z_56C6EF76_EDBC_4D28_BBAD_E202D7EB4BF2_.wvu.PrintArea" localSheetId="2" hidden="1">Woensdag!$D$7:$T$19</definedName>
    <definedName name="Z_56C6EF76_EDBC_4D28_BBAD_E202D7EB4BF2_.wvu.PrintArea" localSheetId="5" hidden="1">Zaterdag!$D$7:$J$19</definedName>
    <definedName name="Z_56C6EF76_EDBC_4D28_BBAD_E202D7EB4BF2_.wvu.PrintArea" localSheetId="6" hidden="1">Zondag!$I$7:$K$19</definedName>
    <definedName name="Z_56C6EF76_EDBC_4D28_BBAD_E202D7EB4BF2_.wvu.PrintTitles" localSheetId="1" hidden="1">Dinsdag!$A:$C,Dinsdag!$1:$6</definedName>
    <definedName name="Z_56C6EF76_EDBC_4D28_BBAD_E202D7EB4BF2_.wvu.PrintTitles" localSheetId="3" hidden="1">Donderdag!$A:$C,Donderdag!$1:$6</definedName>
    <definedName name="Z_56C6EF76_EDBC_4D28_BBAD_E202D7EB4BF2_.wvu.PrintTitles" localSheetId="0" hidden="1">Maandag!$A:$C,Maandag!$1:$6</definedName>
    <definedName name="Z_56C6EF76_EDBC_4D28_BBAD_E202D7EB4BF2_.wvu.PrintTitles" localSheetId="4" hidden="1">Vrijdag!$A:$C,Vrijdag!$1:$6</definedName>
    <definedName name="Z_56C6EF76_EDBC_4D28_BBAD_E202D7EB4BF2_.wvu.PrintTitles" localSheetId="2" hidden="1">Woensdag!$A:$C,Woensdag!$1:$6</definedName>
    <definedName name="Z_56C6EF76_EDBC_4D28_BBAD_E202D7EB4BF2_.wvu.PrintTitles" localSheetId="5" hidden="1">Zaterdag!$A:$C,Zaterdag!$1:$6</definedName>
    <definedName name="Z_56C6EF76_EDBC_4D28_BBAD_E202D7EB4BF2_.wvu.PrintTitles" localSheetId="6" hidden="1">Zondag!$A:$C,Zondag!$1:$6</definedName>
    <definedName name="Z_5B62A984_2C2E_4C53_8256_48A393D80845_.wvu.PrintArea" localSheetId="1" hidden="1">Dinsdag!$D$7:$T$19</definedName>
    <definedName name="Z_5B62A984_2C2E_4C53_8256_48A393D80845_.wvu.PrintArea" localSheetId="3" hidden="1">Donderdag!$D$7:$U$19</definedName>
    <definedName name="Z_5B62A984_2C2E_4C53_8256_48A393D80845_.wvu.PrintArea" localSheetId="4" hidden="1">Vrijdag!$D$7:$T$19</definedName>
    <definedName name="Z_5B62A984_2C2E_4C53_8256_48A393D80845_.wvu.PrintArea" localSheetId="2" hidden="1">Woensdag!$D$7:$T$19</definedName>
    <definedName name="Z_5B62A984_2C2E_4C53_8256_48A393D80845_.wvu.PrintArea" localSheetId="5" hidden="1">Zaterdag!$D$7:$J$19</definedName>
    <definedName name="Z_5B62A984_2C2E_4C53_8256_48A393D80845_.wvu.PrintArea" localSheetId="6" hidden="1">Zondag!$I$7:$K$19</definedName>
    <definedName name="Z_5B62A984_2C2E_4C53_8256_48A393D80845_.wvu.PrintTitles" localSheetId="1" hidden="1">Dinsdag!$A:$C,Dinsdag!$1:$6</definedName>
    <definedName name="Z_5B62A984_2C2E_4C53_8256_48A393D80845_.wvu.PrintTitles" localSheetId="3" hidden="1">Donderdag!$A:$C,Donderdag!$1:$6</definedName>
    <definedName name="Z_5B62A984_2C2E_4C53_8256_48A393D80845_.wvu.PrintTitles" localSheetId="0" hidden="1">Maandag!$A:$C,Maandag!$1:$6</definedName>
    <definedName name="Z_5B62A984_2C2E_4C53_8256_48A393D80845_.wvu.PrintTitles" localSheetId="4" hidden="1">Vrijdag!$A:$C,Vrijdag!$1:$6</definedName>
    <definedName name="Z_5B62A984_2C2E_4C53_8256_48A393D80845_.wvu.PrintTitles" localSheetId="2" hidden="1">Woensdag!$A:$C,Woensdag!$1:$6</definedName>
    <definedName name="Z_5B62A984_2C2E_4C53_8256_48A393D80845_.wvu.PrintTitles" localSheetId="5" hidden="1">Zaterdag!$A:$C,Zaterdag!$1:$6</definedName>
    <definedName name="Z_5B62A984_2C2E_4C53_8256_48A393D80845_.wvu.PrintTitles" localSheetId="6" hidden="1">Zondag!$A:$C,Zondag!$1:$6</definedName>
    <definedName name="Z_64E48CFE_DF1A_4AED_8A67_A77739A758B8_.wvu.Cols" localSheetId="5" hidden="1">Zaterdag!#REF!</definedName>
    <definedName name="Z_64E48CFE_DF1A_4AED_8A67_A77739A758B8_.wvu.PrintArea" localSheetId="1" hidden="1">Dinsdag!$D$7:$T$19</definedName>
    <definedName name="Z_64E48CFE_DF1A_4AED_8A67_A77739A758B8_.wvu.PrintArea" localSheetId="3" hidden="1">Donderdag!$D$7:$U$19</definedName>
    <definedName name="Z_64E48CFE_DF1A_4AED_8A67_A77739A758B8_.wvu.PrintArea" localSheetId="4" hidden="1">Vrijdag!$D$7:$T$19</definedName>
    <definedName name="Z_64E48CFE_DF1A_4AED_8A67_A77739A758B8_.wvu.PrintArea" localSheetId="2" hidden="1">Woensdag!$D$7:$T$19</definedName>
    <definedName name="Z_64E48CFE_DF1A_4AED_8A67_A77739A758B8_.wvu.PrintArea" localSheetId="5" hidden="1">Zaterdag!$D$7:$J$19</definedName>
    <definedName name="Z_64E48CFE_DF1A_4AED_8A67_A77739A758B8_.wvu.PrintArea" localSheetId="6" hidden="1">Zondag!$I$7:$K$19</definedName>
    <definedName name="Z_64E48CFE_DF1A_4AED_8A67_A77739A758B8_.wvu.PrintTitles" localSheetId="1" hidden="1">Dinsdag!$A:$C,Dinsdag!$1:$6</definedName>
    <definedName name="Z_64E48CFE_DF1A_4AED_8A67_A77739A758B8_.wvu.PrintTitles" localSheetId="3" hidden="1">Donderdag!$A:$C,Donderdag!$1:$6</definedName>
    <definedName name="Z_64E48CFE_DF1A_4AED_8A67_A77739A758B8_.wvu.PrintTitles" localSheetId="0" hidden="1">Maandag!$A:$C,Maandag!$1:$6</definedName>
    <definedName name="Z_64E48CFE_DF1A_4AED_8A67_A77739A758B8_.wvu.PrintTitles" localSheetId="4" hidden="1">Vrijdag!$A:$C,Vrijdag!$1:$6</definedName>
    <definedName name="Z_64E48CFE_DF1A_4AED_8A67_A77739A758B8_.wvu.PrintTitles" localSheetId="2" hidden="1">Woensdag!$A:$C,Woensdag!$1:$6</definedName>
    <definedName name="Z_64E48CFE_DF1A_4AED_8A67_A77739A758B8_.wvu.PrintTitles" localSheetId="5" hidden="1">Zaterdag!$A:$C,Zaterdag!$1:$6</definedName>
    <definedName name="Z_64E48CFE_DF1A_4AED_8A67_A77739A758B8_.wvu.PrintTitles" localSheetId="6" hidden="1">Zondag!$A:$C,Zondag!$1:$6</definedName>
    <definedName name="Z_7DED5FBD_5FFD_49FF_9218_D92A4805A00B_.wvu.PrintArea" localSheetId="1" hidden="1">Dinsdag!$D$7:$T$19</definedName>
    <definedName name="Z_7DED5FBD_5FFD_49FF_9218_D92A4805A00B_.wvu.PrintArea" localSheetId="3" hidden="1">Donderdag!$D$7:$U$19</definedName>
    <definedName name="Z_7DED5FBD_5FFD_49FF_9218_D92A4805A00B_.wvu.PrintArea" localSheetId="4" hidden="1">Vrijdag!$D$7:$T$19</definedName>
    <definedName name="Z_7DED5FBD_5FFD_49FF_9218_D92A4805A00B_.wvu.PrintArea" localSheetId="2" hidden="1">Woensdag!$D$7:$T$19</definedName>
    <definedName name="Z_7DED5FBD_5FFD_49FF_9218_D92A4805A00B_.wvu.PrintArea" localSheetId="5" hidden="1">Zaterdag!$D$7:$J$19</definedName>
    <definedName name="Z_7DED5FBD_5FFD_49FF_9218_D92A4805A00B_.wvu.PrintArea" localSheetId="6" hidden="1">Zondag!$I$7:$K$19</definedName>
    <definedName name="Z_7DED5FBD_5FFD_49FF_9218_D92A4805A00B_.wvu.PrintTitles" localSheetId="1" hidden="1">Dinsdag!$A:$C,Dinsdag!$1:$6</definedName>
    <definedName name="Z_7DED5FBD_5FFD_49FF_9218_D92A4805A00B_.wvu.PrintTitles" localSheetId="3" hidden="1">Donderdag!$A:$C,Donderdag!$1:$6</definedName>
    <definedName name="Z_7DED5FBD_5FFD_49FF_9218_D92A4805A00B_.wvu.PrintTitles" localSheetId="0" hidden="1">Maandag!$A:$C,Maandag!$1:$6</definedName>
    <definedName name="Z_7DED5FBD_5FFD_49FF_9218_D92A4805A00B_.wvu.PrintTitles" localSheetId="4" hidden="1">Vrijdag!$A:$C,Vrijdag!$1:$6</definedName>
    <definedName name="Z_7DED5FBD_5FFD_49FF_9218_D92A4805A00B_.wvu.PrintTitles" localSheetId="2" hidden="1">Woensdag!$A:$C,Woensdag!$1:$6</definedName>
    <definedName name="Z_7DED5FBD_5FFD_49FF_9218_D92A4805A00B_.wvu.PrintTitles" localSheetId="5" hidden="1">Zaterdag!$A:$C,Zaterdag!$1:$6</definedName>
    <definedName name="Z_7DED5FBD_5FFD_49FF_9218_D92A4805A00B_.wvu.PrintTitles" localSheetId="6" hidden="1">Zondag!$A:$C,Zondag!$1:$6</definedName>
    <definedName name="Z_874BD86F_8562_4C20_AEDD_66497496FA14_.wvu.PrintArea" localSheetId="1" hidden="1">Dinsdag!$D$7:$T$19</definedName>
    <definedName name="Z_874BD86F_8562_4C20_AEDD_66497496FA14_.wvu.PrintArea" localSheetId="3" hidden="1">Donderdag!$D$7:$U$19</definedName>
    <definedName name="Z_874BD86F_8562_4C20_AEDD_66497496FA14_.wvu.PrintArea" localSheetId="4" hidden="1">Vrijdag!$D$7:$T$19</definedName>
    <definedName name="Z_874BD86F_8562_4C20_AEDD_66497496FA14_.wvu.PrintArea" localSheetId="2" hidden="1">Woensdag!$D$7:$T$19</definedName>
    <definedName name="Z_874BD86F_8562_4C20_AEDD_66497496FA14_.wvu.PrintArea" localSheetId="5" hidden="1">Zaterdag!$D$7:$J$19</definedName>
    <definedName name="Z_874BD86F_8562_4C20_AEDD_66497496FA14_.wvu.PrintArea" localSheetId="6" hidden="1">Zondag!$I$7:$K$19</definedName>
    <definedName name="Z_874BD86F_8562_4C20_AEDD_66497496FA14_.wvu.PrintTitles" localSheetId="1" hidden="1">Dinsdag!$A:$C,Dinsdag!$1:$6</definedName>
    <definedName name="Z_874BD86F_8562_4C20_AEDD_66497496FA14_.wvu.PrintTitles" localSheetId="3" hidden="1">Donderdag!$A:$C,Donderdag!$1:$6</definedName>
    <definedName name="Z_874BD86F_8562_4C20_AEDD_66497496FA14_.wvu.PrintTitles" localSheetId="0" hidden="1">Maandag!$A:$C,Maandag!$1:$6</definedName>
    <definedName name="Z_874BD86F_8562_4C20_AEDD_66497496FA14_.wvu.PrintTitles" localSheetId="4" hidden="1">Vrijdag!$A:$C,Vrijdag!$1:$6</definedName>
    <definedName name="Z_874BD86F_8562_4C20_AEDD_66497496FA14_.wvu.PrintTitles" localSheetId="2" hidden="1">Woensdag!$A:$C,Woensdag!$1:$6</definedName>
    <definedName name="Z_874BD86F_8562_4C20_AEDD_66497496FA14_.wvu.PrintTitles" localSheetId="5" hidden="1">Zaterdag!$A:$C,Zaterdag!$1:$6</definedName>
    <definedName name="Z_874BD86F_8562_4C20_AEDD_66497496FA14_.wvu.PrintTitles" localSheetId="6" hidden="1">Zondag!$A:$C,Zondag!$1:$6</definedName>
    <definedName name="Z_937051C1_F928_4CE1_90E6_4BD5AA5F0CA0_.wvu.PrintArea" localSheetId="1" hidden="1">Dinsdag!$D$7:$T$19</definedName>
    <definedName name="Z_937051C1_F928_4CE1_90E6_4BD5AA5F0CA0_.wvu.PrintArea" localSheetId="3" hidden="1">Donderdag!$D$7:$U$19</definedName>
    <definedName name="Z_937051C1_F928_4CE1_90E6_4BD5AA5F0CA0_.wvu.PrintArea" localSheetId="4" hidden="1">Vrijdag!$D$7:$T$19</definedName>
    <definedName name="Z_937051C1_F928_4CE1_90E6_4BD5AA5F0CA0_.wvu.PrintArea" localSheetId="2" hidden="1">Woensdag!$D$7:$T$19</definedName>
    <definedName name="Z_937051C1_F928_4CE1_90E6_4BD5AA5F0CA0_.wvu.PrintArea" localSheetId="5" hidden="1">Zaterdag!$D$7:$J$19</definedName>
    <definedName name="Z_937051C1_F928_4CE1_90E6_4BD5AA5F0CA0_.wvu.PrintArea" localSheetId="6" hidden="1">Zondag!$I$7:$K$19</definedName>
    <definedName name="Z_937051C1_F928_4CE1_90E6_4BD5AA5F0CA0_.wvu.PrintTitles" localSheetId="1" hidden="1">Dinsdag!$A:$C,Dinsdag!$1:$6</definedName>
    <definedName name="Z_937051C1_F928_4CE1_90E6_4BD5AA5F0CA0_.wvu.PrintTitles" localSheetId="3" hidden="1">Donderdag!$A:$C,Donderdag!$1:$6</definedName>
    <definedName name="Z_937051C1_F928_4CE1_90E6_4BD5AA5F0CA0_.wvu.PrintTitles" localSheetId="0" hidden="1">Maandag!$A:$C,Maandag!$1:$6</definedName>
    <definedName name="Z_937051C1_F928_4CE1_90E6_4BD5AA5F0CA0_.wvu.PrintTitles" localSheetId="4" hidden="1">Vrijdag!$A:$C,Vrijdag!$1:$6</definedName>
    <definedName name="Z_937051C1_F928_4CE1_90E6_4BD5AA5F0CA0_.wvu.PrintTitles" localSheetId="2" hidden="1">Woensdag!$A:$C,Woensdag!$1:$6</definedName>
    <definedName name="Z_937051C1_F928_4CE1_90E6_4BD5AA5F0CA0_.wvu.PrintTitles" localSheetId="5" hidden="1">Zaterdag!$A:$C,Zaterdag!$1:$6</definedName>
    <definedName name="Z_937051C1_F928_4CE1_90E6_4BD5AA5F0CA0_.wvu.PrintTitles" localSheetId="6" hidden="1">Zondag!$A:$C,Zondag!$1:$6</definedName>
    <definedName name="Z_A37ED6A4_E892_4495_BA3F_35C26C7337C1_.wvu.PrintArea" localSheetId="1" hidden="1">Dinsdag!$D$7:$T$19</definedName>
    <definedName name="Z_A37ED6A4_E892_4495_BA3F_35C26C7337C1_.wvu.PrintArea" localSheetId="3" hidden="1">Donderdag!$D$7:$U$19</definedName>
    <definedName name="Z_A37ED6A4_E892_4495_BA3F_35C26C7337C1_.wvu.PrintArea" localSheetId="4" hidden="1">Vrijdag!$D$7:$T$19</definedName>
    <definedName name="Z_A37ED6A4_E892_4495_BA3F_35C26C7337C1_.wvu.PrintArea" localSheetId="2" hidden="1">Woensdag!$D$7:$T$19</definedName>
    <definedName name="Z_A37ED6A4_E892_4495_BA3F_35C26C7337C1_.wvu.PrintArea" localSheetId="5" hidden="1">Zaterdag!$D$7:$J$19</definedName>
    <definedName name="Z_A37ED6A4_E892_4495_BA3F_35C26C7337C1_.wvu.PrintArea" localSheetId="6" hidden="1">Zondag!$I$7:$K$19</definedName>
    <definedName name="Z_A37ED6A4_E892_4495_BA3F_35C26C7337C1_.wvu.PrintTitles" localSheetId="1" hidden="1">Dinsdag!$A:$C,Dinsdag!$1:$6</definedName>
    <definedName name="Z_A37ED6A4_E892_4495_BA3F_35C26C7337C1_.wvu.PrintTitles" localSheetId="3" hidden="1">Donderdag!$A:$C,Donderdag!$1:$6</definedName>
    <definedName name="Z_A37ED6A4_E892_4495_BA3F_35C26C7337C1_.wvu.PrintTitles" localSheetId="0" hidden="1">Maandag!$A:$C,Maandag!$1:$6</definedName>
    <definedName name="Z_A37ED6A4_E892_4495_BA3F_35C26C7337C1_.wvu.PrintTitles" localSheetId="4" hidden="1">Vrijdag!$A:$C,Vrijdag!$1:$6</definedName>
    <definedName name="Z_A37ED6A4_E892_4495_BA3F_35C26C7337C1_.wvu.PrintTitles" localSheetId="2" hidden="1">Woensdag!$A:$C,Woensdag!$1:$6</definedName>
    <definedName name="Z_A37ED6A4_E892_4495_BA3F_35C26C7337C1_.wvu.PrintTitles" localSheetId="5" hidden="1">Zaterdag!$A:$C,Zaterdag!$1:$6</definedName>
    <definedName name="Z_A37ED6A4_E892_4495_BA3F_35C26C7337C1_.wvu.PrintTitles" localSheetId="6" hidden="1">Zondag!$A:$C,Zondag!$1:$6</definedName>
    <definedName name="Z_AB3B1E7B_5893_4A96_8A5A_BC4EAAD6D0C6_.wvu.PrintArea" localSheetId="1" hidden="1">Dinsdag!$D$7:$T$19</definedName>
    <definedName name="Z_AB3B1E7B_5893_4A96_8A5A_BC4EAAD6D0C6_.wvu.PrintArea" localSheetId="3" hidden="1">Donderdag!$D$7:$U$19</definedName>
    <definedName name="Z_AB3B1E7B_5893_4A96_8A5A_BC4EAAD6D0C6_.wvu.PrintArea" localSheetId="4" hidden="1">Vrijdag!$D$7:$T$19</definedName>
    <definedName name="Z_AB3B1E7B_5893_4A96_8A5A_BC4EAAD6D0C6_.wvu.PrintArea" localSheetId="2" hidden="1">Woensdag!$D$7:$T$19</definedName>
    <definedName name="Z_AB3B1E7B_5893_4A96_8A5A_BC4EAAD6D0C6_.wvu.PrintArea" localSheetId="5" hidden="1">Zaterdag!$D$7:$J$19</definedName>
    <definedName name="Z_AB3B1E7B_5893_4A96_8A5A_BC4EAAD6D0C6_.wvu.PrintArea" localSheetId="6" hidden="1">Zondag!$I$7:$K$19</definedName>
    <definedName name="Z_AB3B1E7B_5893_4A96_8A5A_BC4EAAD6D0C6_.wvu.PrintTitles" localSheetId="1" hidden="1">Dinsdag!$A:$C,Dinsdag!$1:$6</definedName>
    <definedName name="Z_AB3B1E7B_5893_4A96_8A5A_BC4EAAD6D0C6_.wvu.PrintTitles" localSheetId="3" hidden="1">Donderdag!$A:$C,Donderdag!$1:$6</definedName>
    <definedName name="Z_AB3B1E7B_5893_4A96_8A5A_BC4EAAD6D0C6_.wvu.PrintTitles" localSheetId="0" hidden="1">Maandag!$A:$C,Maandag!$1:$6</definedName>
    <definedName name="Z_AB3B1E7B_5893_4A96_8A5A_BC4EAAD6D0C6_.wvu.PrintTitles" localSheetId="4" hidden="1">Vrijdag!$A:$C,Vrijdag!$1:$6</definedName>
    <definedName name="Z_AB3B1E7B_5893_4A96_8A5A_BC4EAAD6D0C6_.wvu.PrintTitles" localSheetId="2" hidden="1">Woensdag!$A:$C,Woensdag!$1:$6</definedName>
    <definedName name="Z_AB3B1E7B_5893_4A96_8A5A_BC4EAAD6D0C6_.wvu.PrintTitles" localSheetId="5" hidden="1">Zaterdag!$A:$C,Zaterdag!$1:$6</definedName>
    <definedName name="Z_AB3B1E7B_5893_4A96_8A5A_BC4EAAD6D0C6_.wvu.PrintTitles" localSheetId="6" hidden="1">Zondag!$A:$C,Zondag!$1:$6</definedName>
    <definedName name="Z_AE556AAC_C1CB_4650_BC55_D888C94C12FA_.wvu.PrintArea" localSheetId="1" hidden="1">Dinsdag!$D$7:$T$19</definedName>
    <definedName name="Z_AE556AAC_C1CB_4650_BC55_D888C94C12FA_.wvu.PrintArea" localSheetId="3" hidden="1">Donderdag!$D$7:$U$19</definedName>
    <definedName name="Z_AE556AAC_C1CB_4650_BC55_D888C94C12FA_.wvu.PrintArea" localSheetId="4" hidden="1">Vrijdag!$D$7:$T$19</definedName>
    <definedName name="Z_AE556AAC_C1CB_4650_BC55_D888C94C12FA_.wvu.PrintArea" localSheetId="2" hidden="1">Woensdag!$D$7:$T$19</definedName>
    <definedName name="Z_AE556AAC_C1CB_4650_BC55_D888C94C12FA_.wvu.PrintArea" localSheetId="5" hidden="1">Zaterdag!$D$7:$J$19</definedName>
    <definedName name="Z_AE556AAC_C1CB_4650_BC55_D888C94C12FA_.wvu.PrintArea" localSheetId="6" hidden="1">Zondag!$I$7:$K$19</definedName>
    <definedName name="Z_AE556AAC_C1CB_4650_BC55_D888C94C12FA_.wvu.PrintTitles" localSheetId="1" hidden="1">Dinsdag!$A:$C,Dinsdag!$1:$6</definedName>
    <definedName name="Z_AE556AAC_C1CB_4650_BC55_D888C94C12FA_.wvu.PrintTitles" localSheetId="3" hidden="1">Donderdag!$A:$C,Donderdag!$1:$6</definedName>
    <definedName name="Z_AE556AAC_C1CB_4650_BC55_D888C94C12FA_.wvu.PrintTitles" localSheetId="0" hidden="1">Maandag!$A:$C,Maandag!$1:$6</definedName>
    <definedName name="Z_AE556AAC_C1CB_4650_BC55_D888C94C12FA_.wvu.PrintTitles" localSheetId="4" hidden="1">Vrijdag!$A:$C,Vrijdag!$1:$6</definedName>
    <definedName name="Z_AE556AAC_C1CB_4650_BC55_D888C94C12FA_.wvu.PrintTitles" localSheetId="2" hidden="1">Woensdag!$A:$C,Woensdag!$1:$6</definedName>
    <definedName name="Z_AE556AAC_C1CB_4650_BC55_D888C94C12FA_.wvu.PrintTitles" localSheetId="5" hidden="1">Zaterdag!$A:$C,Zaterdag!$1:$6</definedName>
    <definedName name="Z_AE556AAC_C1CB_4650_BC55_D888C94C12FA_.wvu.PrintTitles" localSheetId="6" hidden="1">Zondag!$A:$C,Zondag!$1:$6</definedName>
    <definedName name="Z_AEDB124E_3FA4_4F6C_9C8E_B2303E639C5E_.wvu.Cols" localSheetId="1" hidden="1">Dinsdag!$D:$D,Dinsdag!$S:$S</definedName>
    <definedName name="Z_AEDB124E_3FA4_4F6C_9C8E_B2303E639C5E_.wvu.Cols" localSheetId="3" hidden="1">Donderdag!$D:$D,Donderdag!$S:$S</definedName>
    <definedName name="Z_AEDB124E_3FA4_4F6C_9C8E_B2303E639C5E_.wvu.Cols" localSheetId="0" hidden="1">Maandag!$D:$D,Maandag!#REF!</definedName>
    <definedName name="Z_AEDB124E_3FA4_4F6C_9C8E_B2303E639C5E_.wvu.Cols" localSheetId="4" hidden="1">Vrijdag!$R:$R</definedName>
    <definedName name="Z_AEDB124E_3FA4_4F6C_9C8E_B2303E639C5E_.wvu.Cols" localSheetId="2" hidden="1">Woensdag!$D:$D,Woensdag!$S:$S</definedName>
    <definedName name="Z_AEDB124E_3FA4_4F6C_9C8E_B2303E639C5E_.wvu.Cols" localSheetId="5" hidden="1">Zaterdag!$D:$D,Zaterdag!$S:$S</definedName>
    <definedName name="Z_AEDB124E_3FA4_4F6C_9C8E_B2303E639C5E_.wvu.PrintArea" localSheetId="1" hidden="1">Dinsdag!$D$7:$T$19</definedName>
    <definedName name="Z_AEDB124E_3FA4_4F6C_9C8E_B2303E639C5E_.wvu.PrintArea" localSheetId="3" hidden="1">Donderdag!$D$7:$U$19</definedName>
    <definedName name="Z_AEDB124E_3FA4_4F6C_9C8E_B2303E639C5E_.wvu.PrintArea" localSheetId="4" hidden="1">Vrijdag!$D$7:$T$19</definedName>
    <definedName name="Z_AEDB124E_3FA4_4F6C_9C8E_B2303E639C5E_.wvu.PrintArea" localSheetId="2" hidden="1">Woensdag!$D$7:$T$19</definedName>
    <definedName name="Z_AEDB124E_3FA4_4F6C_9C8E_B2303E639C5E_.wvu.PrintArea" localSheetId="5" hidden="1">Zaterdag!$D$7:$J$19</definedName>
    <definedName name="Z_AEDB124E_3FA4_4F6C_9C8E_B2303E639C5E_.wvu.PrintArea" localSheetId="6" hidden="1">Zondag!$I$7:$K$19</definedName>
    <definedName name="Z_AEDB124E_3FA4_4F6C_9C8E_B2303E639C5E_.wvu.PrintTitles" localSheetId="1" hidden="1">Dinsdag!$A:$C,Dinsdag!$1:$6</definedName>
    <definedName name="Z_AEDB124E_3FA4_4F6C_9C8E_B2303E639C5E_.wvu.PrintTitles" localSheetId="3" hidden="1">Donderdag!$A:$C,Donderdag!$1:$6</definedName>
    <definedName name="Z_AEDB124E_3FA4_4F6C_9C8E_B2303E639C5E_.wvu.PrintTitles" localSheetId="0" hidden="1">Maandag!$A:$C,Maandag!$1:$6</definedName>
    <definedName name="Z_AEDB124E_3FA4_4F6C_9C8E_B2303E639C5E_.wvu.PrintTitles" localSheetId="4" hidden="1">Vrijdag!$A:$C,Vrijdag!$1:$6</definedName>
    <definedName name="Z_AEDB124E_3FA4_4F6C_9C8E_B2303E639C5E_.wvu.PrintTitles" localSheetId="2" hidden="1">Woensdag!$A:$C,Woensdag!$1:$6</definedName>
    <definedName name="Z_AEDB124E_3FA4_4F6C_9C8E_B2303E639C5E_.wvu.PrintTitles" localSheetId="5" hidden="1">Zaterdag!$A:$C,Zaterdag!$1:$6</definedName>
    <definedName name="Z_AEDB124E_3FA4_4F6C_9C8E_B2303E639C5E_.wvu.PrintTitles" localSheetId="6" hidden="1">Zondag!$A:$C,Zondag!$1:$6</definedName>
    <definedName name="Z_D8A31FCA_0338_4FE6_B202_6F01AF887A7C_.wvu.PrintArea" localSheetId="1" hidden="1">Dinsdag!$D$7:$T$19</definedName>
    <definedName name="Z_D8A31FCA_0338_4FE6_B202_6F01AF887A7C_.wvu.PrintArea" localSheetId="3" hidden="1">Donderdag!$D$7:$U$19</definedName>
    <definedName name="Z_D8A31FCA_0338_4FE6_B202_6F01AF887A7C_.wvu.PrintArea" localSheetId="4" hidden="1">Vrijdag!$D$7:$T$19</definedName>
    <definedName name="Z_D8A31FCA_0338_4FE6_B202_6F01AF887A7C_.wvu.PrintArea" localSheetId="2" hidden="1">Woensdag!$D$7:$T$19</definedName>
    <definedName name="Z_D8A31FCA_0338_4FE6_B202_6F01AF887A7C_.wvu.PrintArea" localSheetId="5" hidden="1">Zaterdag!$D$7:$J$19</definedName>
    <definedName name="Z_D8A31FCA_0338_4FE6_B202_6F01AF887A7C_.wvu.PrintArea" localSheetId="6" hidden="1">Zondag!$I$7:$K$19</definedName>
    <definedName name="Z_D8A31FCA_0338_4FE6_B202_6F01AF887A7C_.wvu.PrintTitles" localSheetId="1" hidden="1">Dinsdag!$A:$C,Dinsdag!$1:$6</definedName>
    <definedName name="Z_D8A31FCA_0338_4FE6_B202_6F01AF887A7C_.wvu.PrintTitles" localSheetId="3" hidden="1">Donderdag!$A:$C,Donderdag!$1:$6</definedName>
    <definedName name="Z_D8A31FCA_0338_4FE6_B202_6F01AF887A7C_.wvu.PrintTitles" localSheetId="0" hidden="1">Maandag!$A:$C,Maandag!$1:$6</definedName>
    <definedName name="Z_D8A31FCA_0338_4FE6_B202_6F01AF887A7C_.wvu.PrintTitles" localSheetId="4" hidden="1">Vrijdag!$A:$C,Vrijdag!$1:$6</definedName>
    <definedName name="Z_D8A31FCA_0338_4FE6_B202_6F01AF887A7C_.wvu.PrintTitles" localSheetId="2" hidden="1">Woensdag!$A:$C,Woensdag!$1:$6</definedName>
    <definedName name="Z_D8A31FCA_0338_4FE6_B202_6F01AF887A7C_.wvu.PrintTitles" localSheetId="5" hidden="1">Zaterdag!$A:$C,Zaterdag!$1:$6</definedName>
    <definedName name="Z_D8A31FCA_0338_4FE6_B202_6F01AF887A7C_.wvu.PrintTitles" localSheetId="6" hidden="1">Zondag!$A:$C,Zondag!$1:$6</definedName>
    <definedName name="Z_DDAFD65C_B89E_4C6A_AC5C_AE6F1F424E3A_.wvu.Cols" localSheetId="1" hidden="1">Dinsdag!#REF!</definedName>
    <definedName name="Z_DDAFD65C_B89E_4C6A_AC5C_AE6F1F424E3A_.wvu.Cols" localSheetId="3" hidden="1">Donderdag!#REF!</definedName>
    <definedName name="Z_DDAFD65C_B89E_4C6A_AC5C_AE6F1F424E3A_.wvu.Cols" localSheetId="6" hidden="1">Zondag!#REF!</definedName>
    <definedName name="Z_DDAFD65C_B89E_4C6A_AC5C_AE6F1F424E3A_.wvu.PrintArea" localSheetId="1" hidden="1">Dinsdag!$D$7:$T$19</definedName>
    <definedName name="Z_DDAFD65C_B89E_4C6A_AC5C_AE6F1F424E3A_.wvu.PrintArea" localSheetId="3" hidden="1">Donderdag!$D$7:$U$19</definedName>
    <definedName name="Z_DDAFD65C_B89E_4C6A_AC5C_AE6F1F424E3A_.wvu.PrintArea" localSheetId="4" hidden="1">Vrijdag!$D$7:$T$19</definedName>
    <definedName name="Z_DDAFD65C_B89E_4C6A_AC5C_AE6F1F424E3A_.wvu.PrintArea" localSheetId="2" hidden="1">Woensdag!$D$7:$T$19</definedName>
    <definedName name="Z_DDAFD65C_B89E_4C6A_AC5C_AE6F1F424E3A_.wvu.PrintArea" localSheetId="5" hidden="1">Zaterdag!$D$7:$J$19</definedName>
    <definedName name="Z_DDAFD65C_B89E_4C6A_AC5C_AE6F1F424E3A_.wvu.PrintArea" localSheetId="6" hidden="1">Zondag!$I$7:$K$19</definedName>
    <definedName name="Z_DDAFD65C_B89E_4C6A_AC5C_AE6F1F424E3A_.wvu.PrintTitles" localSheetId="1" hidden="1">Dinsdag!$A:$C,Dinsdag!$1:$6</definedName>
    <definedName name="Z_DDAFD65C_B89E_4C6A_AC5C_AE6F1F424E3A_.wvu.PrintTitles" localSheetId="3" hidden="1">Donderdag!$A:$C,Donderdag!$1:$6</definedName>
    <definedName name="Z_DDAFD65C_B89E_4C6A_AC5C_AE6F1F424E3A_.wvu.PrintTitles" localSheetId="0" hidden="1">Maandag!$A:$C,Maandag!$1:$6</definedName>
    <definedName name="Z_DDAFD65C_B89E_4C6A_AC5C_AE6F1F424E3A_.wvu.PrintTitles" localSheetId="4" hidden="1">Vrijdag!$A:$C,Vrijdag!$1:$6</definedName>
    <definedName name="Z_DDAFD65C_B89E_4C6A_AC5C_AE6F1F424E3A_.wvu.PrintTitles" localSheetId="2" hidden="1">Woensdag!$A:$C,Woensdag!$1:$6</definedName>
    <definedName name="Z_DDAFD65C_B89E_4C6A_AC5C_AE6F1F424E3A_.wvu.PrintTitles" localSheetId="5" hidden="1">Zaterdag!$A:$C,Zaterdag!$1:$6</definedName>
    <definedName name="Z_DDAFD65C_B89E_4C6A_AC5C_AE6F1F424E3A_.wvu.PrintTitles" localSheetId="6" hidden="1">Zondag!$A:$C,Zondag!$1:$6</definedName>
    <definedName name="Z_E1F0EABA_5105_43CC_8E07_85079A367209_.wvu.PrintArea" localSheetId="1" hidden="1">Dinsdag!$D$7:$T$19</definedName>
    <definedName name="Z_E1F0EABA_5105_43CC_8E07_85079A367209_.wvu.PrintArea" localSheetId="3" hidden="1">Donderdag!$D$7:$U$19</definedName>
    <definedName name="Z_E1F0EABA_5105_43CC_8E07_85079A367209_.wvu.PrintArea" localSheetId="4" hidden="1">Vrijdag!$D$7:$T$19</definedName>
    <definedName name="Z_E1F0EABA_5105_43CC_8E07_85079A367209_.wvu.PrintArea" localSheetId="2" hidden="1">Woensdag!$D$7:$T$19</definedName>
    <definedName name="Z_E1F0EABA_5105_43CC_8E07_85079A367209_.wvu.PrintArea" localSheetId="5" hidden="1">Zaterdag!$D$7:$J$19</definedName>
    <definedName name="Z_E1F0EABA_5105_43CC_8E07_85079A367209_.wvu.PrintArea" localSheetId="6" hidden="1">Zondag!$I$7:$K$19</definedName>
    <definedName name="Z_E1F0EABA_5105_43CC_8E07_85079A367209_.wvu.PrintTitles" localSheetId="1" hidden="1">Dinsdag!$A:$C,Dinsdag!$1:$6</definedName>
    <definedName name="Z_E1F0EABA_5105_43CC_8E07_85079A367209_.wvu.PrintTitles" localSheetId="3" hidden="1">Donderdag!$A:$C,Donderdag!$1:$6</definedName>
    <definedName name="Z_E1F0EABA_5105_43CC_8E07_85079A367209_.wvu.PrintTitles" localSheetId="0" hidden="1">Maandag!$A:$C,Maandag!$1:$6</definedName>
    <definedName name="Z_E1F0EABA_5105_43CC_8E07_85079A367209_.wvu.PrintTitles" localSheetId="4" hidden="1">Vrijdag!$A:$C,Vrijdag!$1:$6</definedName>
    <definedName name="Z_E1F0EABA_5105_43CC_8E07_85079A367209_.wvu.PrintTitles" localSheetId="2" hidden="1">Woensdag!$A:$C,Woensdag!$1:$6</definedName>
    <definedName name="Z_E1F0EABA_5105_43CC_8E07_85079A367209_.wvu.PrintTitles" localSheetId="5" hidden="1">Zaterdag!$A:$C,Zaterdag!$1:$6</definedName>
    <definedName name="Z_E1F0EABA_5105_43CC_8E07_85079A367209_.wvu.PrintTitles" localSheetId="6" hidden="1">Zondag!$A:$C,Zondag!$1:$6</definedName>
    <definedName name="Z_EBED728A_42DC_41FC_A46F_E83588C5D9C3_.wvu.PrintArea" localSheetId="1" hidden="1">Dinsdag!$D$7:$T$19</definedName>
    <definedName name="Z_EBED728A_42DC_41FC_A46F_E83588C5D9C3_.wvu.PrintArea" localSheetId="3" hidden="1">Donderdag!$D$7:$U$19</definedName>
    <definedName name="Z_EBED728A_42DC_41FC_A46F_E83588C5D9C3_.wvu.PrintArea" localSheetId="4" hidden="1">Vrijdag!$D$7:$T$19</definedName>
    <definedName name="Z_EBED728A_42DC_41FC_A46F_E83588C5D9C3_.wvu.PrintArea" localSheetId="2" hidden="1">Woensdag!$D$7:$T$19</definedName>
    <definedName name="Z_EBED728A_42DC_41FC_A46F_E83588C5D9C3_.wvu.PrintArea" localSheetId="5" hidden="1">Zaterdag!$D$7:$J$19</definedName>
    <definedName name="Z_EBED728A_42DC_41FC_A46F_E83588C5D9C3_.wvu.PrintArea" localSheetId="6" hidden="1">Zondag!$I$7:$K$19</definedName>
    <definedName name="Z_EBED728A_42DC_41FC_A46F_E83588C5D9C3_.wvu.PrintTitles" localSheetId="1" hidden="1">Dinsdag!$A:$C,Dinsdag!$1:$6</definedName>
    <definedName name="Z_EBED728A_42DC_41FC_A46F_E83588C5D9C3_.wvu.PrintTitles" localSheetId="3" hidden="1">Donderdag!$A:$C,Donderdag!$1:$6</definedName>
    <definedName name="Z_EBED728A_42DC_41FC_A46F_E83588C5D9C3_.wvu.PrintTitles" localSheetId="0" hidden="1">Maandag!$A:$C,Maandag!$1:$6</definedName>
    <definedName name="Z_EBED728A_42DC_41FC_A46F_E83588C5D9C3_.wvu.PrintTitles" localSheetId="4" hidden="1">Vrijdag!$A:$C,Vrijdag!$1:$6</definedName>
    <definedName name="Z_EBED728A_42DC_41FC_A46F_E83588C5D9C3_.wvu.PrintTitles" localSheetId="2" hidden="1">Woensdag!$A:$C,Woensdag!$1:$6</definedName>
    <definedName name="Z_EBED728A_42DC_41FC_A46F_E83588C5D9C3_.wvu.PrintTitles" localSheetId="5" hidden="1">Zaterdag!$A:$C,Zaterdag!$1:$6</definedName>
    <definedName name="Z_EBED728A_42DC_41FC_A46F_E83588C5D9C3_.wvu.PrintTitles" localSheetId="6" hidden="1">Zondag!$A:$C,Zondag!$1:$6</definedName>
    <definedName name="Z_F7C2F952_D051_47AE_9460_68ACA77D3540_.wvu.PrintArea" localSheetId="1" hidden="1">Dinsdag!$D$7:$T$19</definedName>
    <definedName name="Z_F7C2F952_D051_47AE_9460_68ACA77D3540_.wvu.PrintArea" localSheetId="3" hidden="1">Donderdag!$D$7:$U$19</definedName>
    <definedName name="Z_F7C2F952_D051_47AE_9460_68ACA77D3540_.wvu.PrintArea" localSheetId="4" hidden="1">Vrijdag!$D$7:$T$19</definedName>
    <definedName name="Z_F7C2F952_D051_47AE_9460_68ACA77D3540_.wvu.PrintArea" localSheetId="2" hidden="1">Woensdag!$D$7:$T$19</definedName>
    <definedName name="Z_F7C2F952_D051_47AE_9460_68ACA77D3540_.wvu.PrintArea" localSheetId="5" hidden="1">Zaterdag!$D$7:$J$19</definedName>
    <definedName name="Z_F7C2F952_D051_47AE_9460_68ACA77D3540_.wvu.PrintArea" localSheetId="6" hidden="1">Zondag!$I$7:$K$19</definedName>
    <definedName name="Z_F7C2F952_D051_47AE_9460_68ACA77D3540_.wvu.PrintTitles" localSheetId="1" hidden="1">Dinsdag!$A:$C,Dinsdag!$1:$6</definedName>
    <definedName name="Z_F7C2F952_D051_47AE_9460_68ACA77D3540_.wvu.PrintTitles" localSheetId="3" hidden="1">Donderdag!$A:$C,Donderdag!$1:$6</definedName>
    <definedName name="Z_F7C2F952_D051_47AE_9460_68ACA77D3540_.wvu.PrintTitles" localSheetId="0" hidden="1">Maandag!$A:$C,Maandag!$1:$6</definedName>
    <definedName name="Z_F7C2F952_D051_47AE_9460_68ACA77D3540_.wvu.PrintTitles" localSheetId="4" hidden="1">Vrijdag!$A:$C,Vrijdag!$1:$6</definedName>
    <definedName name="Z_F7C2F952_D051_47AE_9460_68ACA77D3540_.wvu.PrintTitles" localSheetId="2" hidden="1">Woensdag!$A:$C,Woensdag!$1:$6</definedName>
    <definedName name="Z_F7C2F952_D051_47AE_9460_68ACA77D3540_.wvu.PrintTitles" localSheetId="5" hidden="1">Zaterdag!$A:$C,Zaterdag!$1:$6</definedName>
    <definedName name="Z_F7C2F952_D051_47AE_9460_68ACA77D3540_.wvu.PrintTitles" localSheetId="6" hidden="1">Zondag!$A:$C,Zondag!$1:$6</definedName>
    <definedName name="Z_FDAD6E8C_C6AF_4699_A337_B5A30AFE7C23_.wvu.PrintArea" localSheetId="1" hidden="1">Dinsdag!$D$7:$T$19</definedName>
    <definedName name="Z_FDAD6E8C_C6AF_4699_A337_B5A30AFE7C23_.wvu.PrintArea" localSheetId="3" hidden="1">Donderdag!$D$7:$U$19</definedName>
    <definedName name="Z_FDAD6E8C_C6AF_4699_A337_B5A30AFE7C23_.wvu.PrintArea" localSheetId="4" hidden="1">Vrijdag!$D$7:$T$19</definedName>
    <definedName name="Z_FDAD6E8C_C6AF_4699_A337_B5A30AFE7C23_.wvu.PrintArea" localSheetId="2" hidden="1">Woensdag!$D$7:$T$19</definedName>
    <definedName name="Z_FDAD6E8C_C6AF_4699_A337_B5A30AFE7C23_.wvu.PrintArea" localSheetId="5" hidden="1">Zaterdag!$D$7:$J$19</definedName>
    <definedName name="Z_FDAD6E8C_C6AF_4699_A337_B5A30AFE7C23_.wvu.PrintArea" localSheetId="6" hidden="1">Zondag!$I$7:$K$19</definedName>
    <definedName name="Z_FDAD6E8C_C6AF_4699_A337_B5A30AFE7C23_.wvu.PrintTitles" localSheetId="1" hidden="1">Dinsdag!$A:$C,Dinsdag!$1:$6</definedName>
    <definedName name="Z_FDAD6E8C_C6AF_4699_A337_B5A30AFE7C23_.wvu.PrintTitles" localSheetId="3" hidden="1">Donderdag!$A:$C,Donderdag!$1:$6</definedName>
    <definedName name="Z_FDAD6E8C_C6AF_4699_A337_B5A30AFE7C23_.wvu.PrintTitles" localSheetId="0" hidden="1">Maandag!$A:$C,Maandag!$1:$6</definedName>
    <definedName name="Z_FDAD6E8C_C6AF_4699_A337_B5A30AFE7C23_.wvu.PrintTitles" localSheetId="4" hidden="1">Vrijdag!$A:$C,Vrijdag!$1:$6</definedName>
    <definedName name="Z_FDAD6E8C_C6AF_4699_A337_B5A30AFE7C23_.wvu.PrintTitles" localSheetId="2" hidden="1">Woensdag!$A:$C,Woensdag!$1:$6</definedName>
    <definedName name="Z_FDAD6E8C_C6AF_4699_A337_B5A30AFE7C23_.wvu.PrintTitles" localSheetId="5" hidden="1">Zaterdag!$A:$C,Zaterdag!$1:$6</definedName>
    <definedName name="Z_FDAD6E8C_C6AF_4699_A337_B5A30AFE7C23_.wvu.PrintTitles" localSheetId="6" hidden="1">Zondag!$A:$C,Zondag!$1:$6</definedName>
  </definedNames>
  <calcPr calcId="191029"/>
  <customWorkbookViews>
    <customWorkbookView name="Goncalo Latino Candido - Personal View" guid="{AE556AAC-C1CB-4650-BC55-D888C94C12FA}" mergeInterval="0" personalView="1" maximized="1" xWindow="-9" yWindow="-9" windowWidth="1938" windowHeight="1048" tabRatio="598" activeSheetId="7"/>
    <customWorkbookView name="allrounder EXP HLM 1 - Persoonlijke weergave" guid="{E1F0EABA-5105-43CC-8E07-85079A367209}" mergeInterval="0" personalView="1" maximized="1" xWindow="1912" yWindow="-8" windowWidth="1936" windowHeight="1096" tabRatio="598" activeSheetId="1"/>
    <customWorkbookView name="Administratie OG Helmond - Persoonlijke weergave" guid="{937051C1-F928-4CE1-90E6-4BD5AA5F0CA0}" mergeInterval="0" personalView="1" maximized="1" xWindow="-8" yWindow="-8" windowWidth="1936" windowHeight="1056" tabRatio="598" activeSheetId="1"/>
    <customWorkbookView name="Allrounder EXP HLM 3 - Persoonlijke weergave" guid="{D8A31FCA-0338-4FE6-B202-6F01AF887A7C}" mergeInterval="0" personalView="1" maximized="1" windowWidth="1916" windowHeight="855" tabRatio="598" activeSheetId="1"/>
    <customWorkbookView name="Expeditie2 Helmond - Persoonlijke weergave" guid="{FDAD6E8C-C6AF-4699-A337-B5A30AFE7C23}" mergeInterval="0" personalView="1" maximized="1" windowWidth="1920" windowHeight="894" tabRatio="598" activeSheetId="1"/>
    <customWorkbookView name="Abdel el Azzouzi - Persoonlijke weergave" guid="{56C6EF76-EDBC-4D28-BBAD-E202D7EB4BF2}" mergeInterval="0" personalView="1" maximized="1" windowWidth="1276" windowHeight="799" tabRatio="598" activeSheetId="7"/>
    <customWorkbookView name="Philip van Raaij - Persoonlijke weergave" guid="{874BD86F-8562-4C20-AEDD-66497496FA14}" mergeInterval="0" personalView="1" maximized="1" windowWidth="1276" windowHeight="799" tabRatio="598" activeSheetId="1"/>
    <customWorkbookView name="Robert Smaal - Persoonlijke weergave" guid="{EBED728A-42DC-41FC-A46F-E83588C5D9C3}" mergeInterval="0" personalView="1" maximized="1" windowWidth="1276" windowHeight="799" tabRatio="598" activeSheetId="3"/>
    <customWorkbookView name="Frank Bouwels - Persoonlijke weergave" guid="{21FEB403-0AD4-4E43-ABA1-C03B0FA30C00}" mergeInterval="0" personalView="1" maximized="1" windowWidth="1276" windowHeight="795" tabRatio="598" activeSheetId="5"/>
    <customWorkbookView name="Administrator - Persoonlijke weergave" guid="{DDAFD65C-B89E-4C6A-AC5C-AE6F1F424E3A}" mergeInterval="0" personalView="1" maximized="1" windowWidth="1276" windowHeight="795" tabRatio="598" activeSheetId="1"/>
    <customWorkbookView name="Ruud Coolen - Persoonlijke weergave" guid="{36E52512-3EE3-4CC3-8A85-95E4740740EE}" mergeInterval="0" personalView="1" maximized="1" windowWidth="1276" windowHeight="799" tabRatio="598" activeSheetId="1"/>
    <customWorkbookView name="Wim van Grunsven - Persoonlijke weergave" guid="{AB3B1E7B-5893-4A96-8A5A-BC4EAAD6D0C6}" mergeInterval="0" personalView="1" maximized="1" windowWidth="1276" windowHeight="799" tabRatio="598" activeSheetId="1"/>
    <customWorkbookView name="Expeditie3 Helmond - Persoonlijke weergave" guid="{64E48CFE-DF1A-4AED-8A67-A77739A758B8}" mergeInterval="0" personalView="1" maximized="1" windowWidth="1280" windowHeight="779" tabRatio="598" activeSheetId="7"/>
    <customWorkbookView name="Expeditie Helmond - Persoonlijke weergave" guid="{5B62A984-2C2E-4C53-8256-48A393D80845}" mergeInterval="0" personalView="1" maximized="1" windowWidth="1920" windowHeight="874" tabRatio="598" activeSheetId="2"/>
    <customWorkbookView name="Vytenis Valiukas - Persoonlijke weergave" guid="{7DED5FBD-5FFD-49FF-9218-D92A4805A00B}" mergeInterval="0" personalView="1" maximized="1" xWindow="-8" yWindow="-8" windowWidth="1936" windowHeight="1056" tabRatio="598" activeSheetId="1"/>
    <customWorkbookView name="Vytenis Valiukas - Personal View" guid="{A37ED6A4-E892-4495-BA3F-35C26C7337C1}" mergeInterval="0" personalView="1" maximized="1" xWindow="1912" yWindow="-8" windowWidth="1936" windowHeight="1096" tabRatio="598" activeSheetId="7"/>
    <customWorkbookView name="Allrounder EXP HLM 2 - Persoonlijke weergave" guid="{F7C2F952-D051-47AE-9460-68ACA77D3540}" mergeInterval="0" personalView="1" maximized="1" xWindow="1912" yWindow="-8" windowWidth="1936" windowHeight="1096" tabRatio="598" activeSheetId="5"/>
    <customWorkbookView name="Expeditie Venlo - Personal View" guid="{AEDB124E-3FA4-4F6C-9C8E-B2303E639C5E}" mergeInterval="0" personalView="1" maximized="1" xWindow="-8" yWindow="-8" windowWidth="1936" windowHeight="1048" tabRatio="59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2" i="2" s="1"/>
  <c r="E16" i="1"/>
  <c r="F16" i="1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T5" i="6"/>
  <c r="S5" i="6"/>
  <c r="L5" i="6"/>
  <c r="K5" i="6"/>
  <c r="J5" i="6"/>
  <c r="I5" i="6"/>
  <c r="G5" i="6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S5" i="5"/>
  <c r="R5" i="5"/>
  <c r="L5" i="5"/>
  <c r="K5" i="5"/>
  <c r="J5" i="5"/>
  <c r="I5" i="5"/>
  <c r="G5" i="5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T5" i="4"/>
  <c r="S5" i="4"/>
  <c r="L5" i="4"/>
  <c r="K5" i="4"/>
  <c r="J5" i="4"/>
  <c r="I5" i="4"/>
  <c r="G5" i="4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T5" i="3"/>
  <c r="S5" i="3"/>
  <c r="L5" i="3"/>
  <c r="K5" i="3"/>
  <c r="J5" i="3"/>
  <c r="I5" i="3"/>
  <c r="G5" i="3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T5" i="2"/>
  <c r="S5" i="2"/>
  <c r="L5" i="2"/>
  <c r="K5" i="2"/>
  <c r="J5" i="2"/>
  <c r="I5" i="2"/>
  <c r="G5" i="2"/>
  <c r="Q16" i="1"/>
  <c r="N16" i="7"/>
  <c r="M16" i="7"/>
  <c r="J16" i="1"/>
  <c r="J5" i="1"/>
  <c r="U16" i="1"/>
  <c r="E16" i="7"/>
  <c r="K16" i="1"/>
  <c r="D16" i="7"/>
  <c r="D5" i="7"/>
  <c r="E5" i="7"/>
  <c r="K5" i="1"/>
  <c r="K16" i="7"/>
  <c r="N16" i="1"/>
  <c r="G16" i="7"/>
  <c r="H16" i="7"/>
  <c r="G5" i="7"/>
  <c r="H5" i="7"/>
  <c r="L16" i="7"/>
  <c r="J16" i="7"/>
  <c r="O16" i="1" l="1"/>
  <c r="P16" i="1"/>
  <c r="R16" i="1"/>
  <c r="F16" i="7" l="1"/>
  <c r="F5" i="7"/>
  <c r="D16" i="6"/>
  <c r="D5" i="6"/>
  <c r="D16" i="5"/>
  <c r="D5" i="5"/>
  <c r="D16" i="4"/>
  <c r="D5" i="4"/>
  <c r="D16" i="3"/>
  <c r="D5" i="3"/>
  <c r="D16" i="2"/>
  <c r="D5" i="2"/>
  <c r="M16" i="1"/>
  <c r="T16" i="1" l="1"/>
  <c r="T5" i="1"/>
  <c r="C19" i="6" l="1"/>
  <c r="C19" i="5"/>
  <c r="C19" i="4"/>
  <c r="C19" i="3"/>
  <c r="C19" i="2"/>
  <c r="B16" i="2"/>
  <c r="B16" i="4" l="1"/>
  <c r="B16" i="5"/>
  <c r="C5" i="2"/>
  <c r="C16" i="2" s="1"/>
  <c r="C5" i="6"/>
  <c r="B16" i="3"/>
  <c r="C5" i="5"/>
  <c r="B16" i="6"/>
  <c r="C5" i="4"/>
  <c r="C5" i="3"/>
  <c r="H16" i="1"/>
  <c r="S16" i="1"/>
  <c r="L16" i="1"/>
  <c r="I16" i="1"/>
  <c r="G16" i="1"/>
  <c r="D16" i="1"/>
  <c r="S5" i="1"/>
  <c r="L5" i="1"/>
  <c r="I5" i="1"/>
  <c r="G5" i="1"/>
  <c r="D5" i="1"/>
  <c r="C16" i="5" l="1"/>
  <c r="C16" i="4"/>
  <c r="C16" i="6"/>
  <c r="C16" i="3"/>
  <c r="I16" i="7" l="1"/>
  <c r="B16" i="7" s="1"/>
  <c r="I5" i="7"/>
  <c r="C19" i="7"/>
  <c r="B16" i="1"/>
  <c r="C19" i="1"/>
  <c r="C5" i="1"/>
  <c r="C16" i="1" l="1"/>
  <c r="C5" i="7"/>
  <c r="C16" i="7" s="1"/>
  <c r="A2" i="7"/>
  <c r="B2" i="7" s="1"/>
  <c r="A2" i="3"/>
  <c r="B2" i="3" s="1"/>
  <c r="B2" i="2"/>
  <c r="A2" i="4"/>
  <c r="B2" i="4" s="1"/>
  <c r="B2" i="1"/>
  <c r="A2" i="6"/>
  <c r="B2" i="6" s="1"/>
  <c r="A2" i="5"/>
  <c r="B2" i="5" s="1"/>
</calcChain>
</file>

<file path=xl/sharedStrings.xml><?xml version="1.0" encoding="utf-8"?>
<sst xmlns="http://schemas.openxmlformats.org/spreadsheetml/2006/main" count="523" uniqueCount="49">
  <si>
    <t>Tijdstip gepland vertrek</t>
  </si>
  <si>
    <t>Totalen</t>
  </si>
  <si>
    <t>Naam</t>
  </si>
  <si>
    <t>Totaal aantal auto's</t>
  </si>
  <si>
    <t>Datum</t>
  </si>
  <si>
    <t>Week</t>
  </si>
  <si>
    <t>°C</t>
  </si>
  <si>
    <t>Logger geactiveerd</t>
  </si>
  <si>
    <t>Tijdstip</t>
  </si>
  <si>
    <t>Totaal aantal plaatsen</t>
  </si>
  <si>
    <t>Gemeten temperatuur voor verladen</t>
  </si>
  <si>
    <t>Ingestelde temperatuur voor verladen</t>
  </si>
  <si>
    <t>Vracht</t>
  </si>
  <si>
    <t>Opmerking</t>
  </si>
  <si>
    <t>ma t/m za</t>
  </si>
  <si>
    <t>Carrefour KDC</t>
  </si>
  <si>
    <t>Vertrek te laat  %</t>
  </si>
  <si>
    <t>Colruyt</t>
  </si>
  <si>
    <t>McD NL</t>
  </si>
  <si>
    <t>DK auto 1</t>
  </si>
  <si>
    <t>Wielkeggen geplaatst</t>
  </si>
  <si>
    <t xml:space="preserve">      CONTROLE</t>
  </si>
  <si>
    <t>Carrefour FIF</t>
  </si>
  <si>
    <t>x</t>
  </si>
  <si>
    <t>Ma Di Do Vr Za</t>
  </si>
  <si>
    <t>Rewe/Penny</t>
  </si>
  <si>
    <t>MCD BE</t>
  </si>
  <si>
    <t>DK auto 2</t>
  </si>
  <si>
    <t>ma  t/mza</t>
  </si>
  <si>
    <t>Bon afgemeld (Admin)</t>
  </si>
  <si>
    <t>Fysieke controle + inspectie auto (Picker)</t>
  </si>
  <si>
    <t>Tijdstip aankomst chauffeur (Arrival time)</t>
  </si>
  <si>
    <t>Tijdstip werkelijk vertrek (Actual leaving time)</t>
  </si>
  <si>
    <t>(PP)</t>
  </si>
  <si>
    <t>Reden afwijking tijd (Reason why he is late)</t>
  </si>
  <si>
    <t>Overige producten mee? (Extra products loaded)</t>
  </si>
  <si>
    <t>Tijdstip aankomst chauffeur (Arrival Time)</t>
  </si>
  <si>
    <t>Hello Fresh</t>
  </si>
  <si>
    <t>X</t>
  </si>
  <si>
    <t>McD DE</t>
  </si>
  <si>
    <t>DK auto 3</t>
  </si>
  <si>
    <t>DK auto 4</t>
  </si>
  <si>
    <t>McD UK</t>
  </si>
  <si>
    <t>McD Dusiburg</t>
  </si>
  <si>
    <t xml:space="preserve">Hanos </t>
  </si>
  <si>
    <t>Rewe / Penny</t>
  </si>
  <si>
    <t>Hanos voor Maandag</t>
  </si>
  <si>
    <t>McD Dusiburg voor Maandag</t>
  </si>
  <si>
    <t>Netto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</si>
</sst>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color rgb="FFFF000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0F05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81D117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0" fillId="2" borderId="0" xfId="0" applyFill="1" applyAlignment="1">
      <alignment vertical="center"/>
    </xf>
    <xf numFmtId="20" fontId="1" fillId="0" borderId="8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1" fontId="8" fillId="4" borderId="7" xfId="0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64" fontId="0" fillId="7" borderId="8" xfId="1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right" vertical="center" wrapText="1"/>
    </xf>
    <xf numFmtId="0" fontId="1" fillId="3" borderId="14" xfId="0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0" fillId="3" borderId="2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3" borderId="13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0" fontId="10" fillId="2" borderId="1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 readingOrder="1"/>
    </xf>
    <xf numFmtId="0" fontId="10" fillId="2" borderId="6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 wrapText="1" readingOrder="1"/>
    </xf>
    <xf numFmtId="0" fontId="4" fillId="8" borderId="16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 shrinkToFit="1"/>
    </xf>
    <xf numFmtId="20" fontId="1" fillId="9" borderId="8" xfId="0" applyNumberFormat="1" applyFont="1" applyFill="1" applyBorder="1" applyAlignment="1">
      <alignment horizontal="center" vertical="center"/>
    </xf>
    <xf numFmtId="20" fontId="1" fillId="8" borderId="8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20" fontId="1" fillId="11" borderId="8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20" fontId="1" fillId="12" borderId="8" xfId="0" applyNumberFormat="1" applyFont="1" applyFill="1" applyBorder="1" applyAlignment="1">
      <alignment horizontal="center" vertical="center"/>
    </xf>
    <xf numFmtId="20" fontId="1" fillId="10" borderId="8" xfId="0" applyNumberFormat="1" applyFont="1" applyFill="1" applyBorder="1" applyAlignment="1">
      <alignment horizontal="center" vertical="center"/>
    </xf>
    <xf numFmtId="0" fontId="0" fillId="13" borderId="2" xfId="0" applyFill="1" applyBorder="1" applyAlignment="1">
      <alignment horizontal="left" vertical="center"/>
    </xf>
    <xf numFmtId="0" fontId="0" fillId="13" borderId="9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10" fillId="2" borderId="0" xfId="0" applyFont="1" applyFill="1" applyAlignment="1" applyProtection="1">
      <alignment horizontal="left" vertical="center" wrapText="1" readingOrder="1"/>
      <protection locked="0"/>
    </xf>
    <xf numFmtId="0" fontId="0" fillId="8" borderId="1" xfId="0" applyFill="1" applyBorder="1" applyAlignment="1">
      <alignment horizontal="center" vertical="center" wrapText="1" shrinkToFit="1"/>
    </xf>
    <xf numFmtId="0" fontId="0" fillId="12" borderId="1" xfId="0" applyFill="1" applyBorder="1" applyAlignment="1">
      <alignment horizontal="center" vertical="center" wrapText="1" shrinkToFit="1"/>
    </xf>
    <xf numFmtId="0" fontId="1" fillId="6" borderId="9" xfId="0" applyFont="1" applyFill="1" applyBorder="1" applyAlignment="1">
      <alignment vertical="center"/>
    </xf>
    <xf numFmtId="0" fontId="1" fillId="6" borderId="9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 shrinkToFit="1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 shrinkToFit="1"/>
    </xf>
    <xf numFmtId="20" fontId="4" fillId="8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20" fontId="4" fillId="10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20" fontId="4" fillId="12" borderId="1" xfId="0" applyNumberFormat="1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 wrapText="1" shrinkToFit="1"/>
    </xf>
    <xf numFmtId="0" fontId="4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20" fontId="12" fillId="14" borderId="8" xfId="0" applyNumberFormat="1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 wrapText="1" shrinkToFit="1"/>
    </xf>
    <xf numFmtId="0" fontId="4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20" fontId="12" fillId="15" borderId="8" xfId="0" applyNumberFormat="1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20" fontId="4" fillId="16" borderId="1" xfId="0" applyNumberFormat="1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20" fontId="1" fillId="16" borderId="8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0" fontId="4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0" fontId="1" fillId="6" borderId="8" xfId="0" applyNumberFormat="1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 shrinkToFit="1"/>
    </xf>
    <xf numFmtId="20" fontId="4" fillId="17" borderId="1" xfId="0" applyNumberFormat="1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20" fontId="1" fillId="17" borderId="8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20" fontId="1" fillId="4" borderId="8" xfId="0" applyNumberFormat="1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 shrinkToFit="1"/>
    </xf>
    <xf numFmtId="14" fontId="2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4" fontId="15" fillId="6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4">
    <dxf>
      <fill>
        <patternFill>
          <bgColor rgb="FFFF6699"/>
        </patternFill>
      </fill>
    </dxf>
    <dxf>
      <font>
        <color theme="0"/>
      </font>
    </dxf>
    <dxf>
      <fill>
        <patternFill>
          <bgColor rgb="FF30F05E"/>
        </patternFill>
      </fill>
    </dxf>
    <dxf>
      <fill>
        <patternFill>
          <bgColor rgb="FFFF6699"/>
        </patternFill>
      </fill>
    </dxf>
    <dxf>
      <font>
        <color theme="0"/>
      </font>
    </dxf>
    <dxf>
      <fill>
        <patternFill>
          <bgColor rgb="FF30F05E"/>
        </patternFill>
      </fill>
    </dxf>
    <dxf>
      <fill>
        <patternFill>
          <bgColor rgb="FFFF6699"/>
        </patternFill>
      </fill>
    </dxf>
    <dxf>
      <font>
        <color theme="0"/>
      </font>
    </dxf>
    <dxf>
      <fill>
        <patternFill>
          <bgColor rgb="FF30F05E"/>
        </patternFill>
      </fill>
    </dxf>
    <dxf>
      <fill>
        <patternFill>
          <bgColor rgb="FFFF6699"/>
        </patternFill>
      </fill>
    </dxf>
    <dxf>
      <font>
        <color theme="0"/>
      </font>
    </dxf>
    <dxf>
      <fill>
        <patternFill>
          <bgColor rgb="FF30F05E"/>
        </patternFill>
      </fill>
    </dxf>
    <dxf>
      <fill>
        <patternFill>
          <bgColor rgb="FFFF6699"/>
        </patternFill>
      </fill>
    </dxf>
    <dxf>
      <font>
        <color theme="0"/>
      </font>
    </dxf>
    <dxf>
      <fill>
        <patternFill>
          <bgColor rgb="FF30F05E"/>
        </patternFill>
      </fill>
    </dxf>
    <dxf>
      <fill>
        <patternFill>
          <bgColor rgb="FFFF6699"/>
        </patternFill>
      </fill>
    </dxf>
    <dxf>
      <font>
        <color theme="0"/>
      </font>
    </dxf>
    <dxf>
      <fill>
        <patternFill>
          <bgColor rgb="FF30F05E"/>
        </patternFill>
      </fill>
    </dxf>
    <dxf>
      <fill>
        <patternFill>
          <bgColor rgb="FFFF6699"/>
        </patternFill>
      </fill>
    </dxf>
    <dxf>
      <font>
        <color theme="0"/>
      </font>
    </dxf>
    <dxf>
      <fill>
        <patternFill>
          <bgColor rgb="FF30F05E"/>
        </patternFill>
      </fill>
    </dxf>
    <dxf>
      <fill>
        <patternFill>
          <bgColor rgb="FFFF6699"/>
        </patternFill>
      </fill>
    </dxf>
    <dxf>
      <font>
        <color theme="0"/>
      </font>
    </dxf>
    <dxf>
      <fill>
        <patternFill>
          <bgColor rgb="FF30F05E"/>
        </patternFill>
      </fill>
    </dxf>
  </dxfs>
  <tableStyles count="0" defaultTableStyle="TableStyleMedium2" defaultPivotStyle="PivotStyleLight16"/>
  <colors>
    <mruColors>
      <color rgb="FF30F05E"/>
      <color rgb="FF81D117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7.bin"/><Relationship Id="rId13" Type="http://schemas.openxmlformats.org/officeDocument/2006/relationships/printerSettings" Target="../printerSettings/printerSettings32.bin"/><Relationship Id="rId18" Type="http://schemas.openxmlformats.org/officeDocument/2006/relationships/printerSettings" Target="../printerSettings/printerSettings37.bin"/><Relationship Id="rId3" Type="http://schemas.openxmlformats.org/officeDocument/2006/relationships/printerSettings" Target="../printerSettings/printerSettings22.bin"/><Relationship Id="rId7" Type="http://schemas.openxmlformats.org/officeDocument/2006/relationships/printerSettings" Target="../printerSettings/printerSettings26.bin"/><Relationship Id="rId12" Type="http://schemas.openxmlformats.org/officeDocument/2006/relationships/printerSettings" Target="../printerSettings/printerSettings31.bin"/><Relationship Id="rId17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21.bin"/><Relationship Id="rId16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20.bin"/><Relationship Id="rId6" Type="http://schemas.openxmlformats.org/officeDocument/2006/relationships/printerSettings" Target="../printerSettings/printerSettings25.bin"/><Relationship Id="rId11" Type="http://schemas.openxmlformats.org/officeDocument/2006/relationships/printerSettings" Target="../printerSettings/printerSettings30.bin"/><Relationship Id="rId5" Type="http://schemas.openxmlformats.org/officeDocument/2006/relationships/printerSettings" Target="../printerSettings/printerSettings24.bin"/><Relationship Id="rId15" Type="http://schemas.openxmlformats.org/officeDocument/2006/relationships/printerSettings" Target="../printerSettings/printerSettings34.bin"/><Relationship Id="rId10" Type="http://schemas.openxmlformats.org/officeDocument/2006/relationships/printerSettings" Target="../printerSettings/printerSettings29.bin"/><Relationship Id="rId19" Type="http://schemas.openxmlformats.org/officeDocument/2006/relationships/printerSettings" Target="../printerSettings/printerSettings38.bin"/><Relationship Id="rId4" Type="http://schemas.openxmlformats.org/officeDocument/2006/relationships/printerSettings" Target="../printerSettings/printerSettings23.bin"/><Relationship Id="rId9" Type="http://schemas.openxmlformats.org/officeDocument/2006/relationships/printerSettings" Target="../printerSettings/printerSettings28.bin"/><Relationship Id="rId14" Type="http://schemas.openxmlformats.org/officeDocument/2006/relationships/printerSettings" Target="../printerSettings/printerSettings33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6.bin"/><Relationship Id="rId13" Type="http://schemas.openxmlformats.org/officeDocument/2006/relationships/printerSettings" Target="../printerSettings/printerSettings51.bin"/><Relationship Id="rId18" Type="http://schemas.openxmlformats.org/officeDocument/2006/relationships/printerSettings" Target="../printerSettings/printerSettings56.bin"/><Relationship Id="rId3" Type="http://schemas.openxmlformats.org/officeDocument/2006/relationships/printerSettings" Target="../printerSettings/printerSettings41.bin"/><Relationship Id="rId7" Type="http://schemas.openxmlformats.org/officeDocument/2006/relationships/printerSettings" Target="../printerSettings/printerSettings45.bin"/><Relationship Id="rId12" Type="http://schemas.openxmlformats.org/officeDocument/2006/relationships/printerSettings" Target="../printerSettings/printerSettings50.bin"/><Relationship Id="rId17" Type="http://schemas.openxmlformats.org/officeDocument/2006/relationships/printerSettings" Target="../printerSettings/printerSettings55.bin"/><Relationship Id="rId2" Type="http://schemas.openxmlformats.org/officeDocument/2006/relationships/printerSettings" Target="../printerSettings/printerSettings40.bin"/><Relationship Id="rId16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39.bin"/><Relationship Id="rId6" Type="http://schemas.openxmlformats.org/officeDocument/2006/relationships/printerSettings" Target="../printerSettings/printerSettings44.bin"/><Relationship Id="rId11" Type="http://schemas.openxmlformats.org/officeDocument/2006/relationships/printerSettings" Target="../printerSettings/printerSettings49.bin"/><Relationship Id="rId5" Type="http://schemas.openxmlformats.org/officeDocument/2006/relationships/printerSettings" Target="../printerSettings/printerSettings43.bin"/><Relationship Id="rId15" Type="http://schemas.openxmlformats.org/officeDocument/2006/relationships/printerSettings" Target="../printerSettings/printerSettings53.bin"/><Relationship Id="rId10" Type="http://schemas.openxmlformats.org/officeDocument/2006/relationships/printerSettings" Target="../printerSettings/printerSettings48.bin"/><Relationship Id="rId19" Type="http://schemas.openxmlformats.org/officeDocument/2006/relationships/printerSettings" Target="../printerSettings/printerSettings57.bin"/><Relationship Id="rId4" Type="http://schemas.openxmlformats.org/officeDocument/2006/relationships/printerSettings" Target="../printerSettings/printerSettings42.bin"/><Relationship Id="rId9" Type="http://schemas.openxmlformats.org/officeDocument/2006/relationships/printerSettings" Target="../printerSettings/printerSettings47.bin"/><Relationship Id="rId14" Type="http://schemas.openxmlformats.org/officeDocument/2006/relationships/printerSettings" Target="../printerSettings/printerSettings5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5.bin"/><Relationship Id="rId13" Type="http://schemas.openxmlformats.org/officeDocument/2006/relationships/printerSettings" Target="../printerSettings/printerSettings70.bin"/><Relationship Id="rId18" Type="http://schemas.openxmlformats.org/officeDocument/2006/relationships/printerSettings" Target="../printerSettings/printerSettings75.bin"/><Relationship Id="rId3" Type="http://schemas.openxmlformats.org/officeDocument/2006/relationships/printerSettings" Target="../printerSettings/printerSettings60.bin"/><Relationship Id="rId7" Type="http://schemas.openxmlformats.org/officeDocument/2006/relationships/printerSettings" Target="../printerSettings/printerSettings64.bin"/><Relationship Id="rId12" Type="http://schemas.openxmlformats.org/officeDocument/2006/relationships/printerSettings" Target="../printerSettings/printerSettings69.bin"/><Relationship Id="rId17" Type="http://schemas.openxmlformats.org/officeDocument/2006/relationships/printerSettings" Target="../printerSettings/printerSettings74.bin"/><Relationship Id="rId2" Type="http://schemas.openxmlformats.org/officeDocument/2006/relationships/printerSettings" Target="../printerSettings/printerSettings59.bin"/><Relationship Id="rId16" Type="http://schemas.openxmlformats.org/officeDocument/2006/relationships/printerSettings" Target="../printerSettings/printerSettings73.bin"/><Relationship Id="rId1" Type="http://schemas.openxmlformats.org/officeDocument/2006/relationships/printerSettings" Target="../printerSettings/printerSettings58.bin"/><Relationship Id="rId6" Type="http://schemas.openxmlformats.org/officeDocument/2006/relationships/printerSettings" Target="../printerSettings/printerSettings63.bin"/><Relationship Id="rId11" Type="http://schemas.openxmlformats.org/officeDocument/2006/relationships/printerSettings" Target="../printerSettings/printerSettings68.bin"/><Relationship Id="rId5" Type="http://schemas.openxmlformats.org/officeDocument/2006/relationships/printerSettings" Target="../printerSettings/printerSettings62.bin"/><Relationship Id="rId15" Type="http://schemas.openxmlformats.org/officeDocument/2006/relationships/printerSettings" Target="../printerSettings/printerSettings72.bin"/><Relationship Id="rId10" Type="http://schemas.openxmlformats.org/officeDocument/2006/relationships/printerSettings" Target="../printerSettings/printerSettings67.bin"/><Relationship Id="rId19" Type="http://schemas.openxmlformats.org/officeDocument/2006/relationships/printerSettings" Target="../printerSettings/printerSettings76.bin"/><Relationship Id="rId4" Type="http://schemas.openxmlformats.org/officeDocument/2006/relationships/printerSettings" Target="../printerSettings/printerSettings61.bin"/><Relationship Id="rId9" Type="http://schemas.openxmlformats.org/officeDocument/2006/relationships/printerSettings" Target="../printerSettings/printerSettings66.bin"/><Relationship Id="rId14" Type="http://schemas.openxmlformats.org/officeDocument/2006/relationships/printerSettings" Target="../printerSettings/printerSettings7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4.bin"/><Relationship Id="rId13" Type="http://schemas.openxmlformats.org/officeDocument/2006/relationships/printerSettings" Target="../printerSettings/printerSettings89.bin"/><Relationship Id="rId18" Type="http://schemas.openxmlformats.org/officeDocument/2006/relationships/printerSettings" Target="../printerSettings/printerSettings94.bin"/><Relationship Id="rId3" Type="http://schemas.openxmlformats.org/officeDocument/2006/relationships/printerSettings" Target="../printerSettings/printerSettings79.bin"/><Relationship Id="rId7" Type="http://schemas.openxmlformats.org/officeDocument/2006/relationships/printerSettings" Target="../printerSettings/printerSettings83.bin"/><Relationship Id="rId12" Type="http://schemas.openxmlformats.org/officeDocument/2006/relationships/printerSettings" Target="../printerSettings/printerSettings88.bin"/><Relationship Id="rId17" Type="http://schemas.openxmlformats.org/officeDocument/2006/relationships/printerSettings" Target="../printerSettings/printerSettings93.bin"/><Relationship Id="rId2" Type="http://schemas.openxmlformats.org/officeDocument/2006/relationships/printerSettings" Target="../printerSettings/printerSettings78.bin"/><Relationship Id="rId16" Type="http://schemas.openxmlformats.org/officeDocument/2006/relationships/printerSettings" Target="../printerSettings/printerSettings92.bin"/><Relationship Id="rId1" Type="http://schemas.openxmlformats.org/officeDocument/2006/relationships/printerSettings" Target="../printerSettings/printerSettings77.bin"/><Relationship Id="rId6" Type="http://schemas.openxmlformats.org/officeDocument/2006/relationships/printerSettings" Target="../printerSettings/printerSettings82.bin"/><Relationship Id="rId11" Type="http://schemas.openxmlformats.org/officeDocument/2006/relationships/printerSettings" Target="../printerSettings/printerSettings87.bin"/><Relationship Id="rId5" Type="http://schemas.openxmlformats.org/officeDocument/2006/relationships/printerSettings" Target="../printerSettings/printerSettings81.bin"/><Relationship Id="rId15" Type="http://schemas.openxmlformats.org/officeDocument/2006/relationships/printerSettings" Target="../printerSettings/printerSettings91.bin"/><Relationship Id="rId10" Type="http://schemas.openxmlformats.org/officeDocument/2006/relationships/printerSettings" Target="../printerSettings/printerSettings86.bin"/><Relationship Id="rId19" Type="http://schemas.openxmlformats.org/officeDocument/2006/relationships/printerSettings" Target="../printerSettings/printerSettings95.bin"/><Relationship Id="rId4" Type="http://schemas.openxmlformats.org/officeDocument/2006/relationships/printerSettings" Target="../printerSettings/printerSettings80.bin"/><Relationship Id="rId9" Type="http://schemas.openxmlformats.org/officeDocument/2006/relationships/printerSettings" Target="../printerSettings/printerSettings85.bin"/><Relationship Id="rId14" Type="http://schemas.openxmlformats.org/officeDocument/2006/relationships/printerSettings" Target="../printerSettings/printerSettings90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3.bin"/><Relationship Id="rId13" Type="http://schemas.openxmlformats.org/officeDocument/2006/relationships/printerSettings" Target="../printerSettings/printerSettings108.bin"/><Relationship Id="rId18" Type="http://schemas.openxmlformats.org/officeDocument/2006/relationships/printerSettings" Target="../printerSettings/printerSettings113.bin"/><Relationship Id="rId3" Type="http://schemas.openxmlformats.org/officeDocument/2006/relationships/printerSettings" Target="../printerSettings/printerSettings98.bin"/><Relationship Id="rId7" Type="http://schemas.openxmlformats.org/officeDocument/2006/relationships/printerSettings" Target="../printerSettings/printerSettings102.bin"/><Relationship Id="rId12" Type="http://schemas.openxmlformats.org/officeDocument/2006/relationships/printerSettings" Target="../printerSettings/printerSettings107.bin"/><Relationship Id="rId17" Type="http://schemas.openxmlformats.org/officeDocument/2006/relationships/printerSettings" Target="../printerSettings/printerSettings112.bin"/><Relationship Id="rId2" Type="http://schemas.openxmlformats.org/officeDocument/2006/relationships/printerSettings" Target="../printerSettings/printerSettings97.bin"/><Relationship Id="rId16" Type="http://schemas.openxmlformats.org/officeDocument/2006/relationships/printerSettings" Target="../printerSettings/printerSettings111.bin"/><Relationship Id="rId1" Type="http://schemas.openxmlformats.org/officeDocument/2006/relationships/printerSettings" Target="../printerSettings/printerSettings96.bin"/><Relationship Id="rId6" Type="http://schemas.openxmlformats.org/officeDocument/2006/relationships/printerSettings" Target="../printerSettings/printerSettings101.bin"/><Relationship Id="rId11" Type="http://schemas.openxmlformats.org/officeDocument/2006/relationships/printerSettings" Target="../printerSettings/printerSettings106.bin"/><Relationship Id="rId5" Type="http://schemas.openxmlformats.org/officeDocument/2006/relationships/printerSettings" Target="../printerSettings/printerSettings100.bin"/><Relationship Id="rId15" Type="http://schemas.openxmlformats.org/officeDocument/2006/relationships/printerSettings" Target="../printerSettings/printerSettings110.bin"/><Relationship Id="rId10" Type="http://schemas.openxmlformats.org/officeDocument/2006/relationships/printerSettings" Target="../printerSettings/printerSettings105.bin"/><Relationship Id="rId19" Type="http://schemas.openxmlformats.org/officeDocument/2006/relationships/printerSettings" Target="../printerSettings/printerSettings114.bin"/><Relationship Id="rId4" Type="http://schemas.openxmlformats.org/officeDocument/2006/relationships/printerSettings" Target="../printerSettings/printerSettings99.bin"/><Relationship Id="rId9" Type="http://schemas.openxmlformats.org/officeDocument/2006/relationships/printerSettings" Target="../printerSettings/printerSettings104.bin"/><Relationship Id="rId14" Type="http://schemas.openxmlformats.org/officeDocument/2006/relationships/printerSettings" Target="../printerSettings/printerSettings109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2.bin"/><Relationship Id="rId13" Type="http://schemas.openxmlformats.org/officeDocument/2006/relationships/printerSettings" Target="../printerSettings/printerSettings127.bin"/><Relationship Id="rId18" Type="http://schemas.openxmlformats.org/officeDocument/2006/relationships/printerSettings" Target="../printerSettings/printerSettings132.bin"/><Relationship Id="rId3" Type="http://schemas.openxmlformats.org/officeDocument/2006/relationships/printerSettings" Target="../printerSettings/printerSettings117.bin"/><Relationship Id="rId7" Type="http://schemas.openxmlformats.org/officeDocument/2006/relationships/printerSettings" Target="../printerSettings/printerSettings121.bin"/><Relationship Id="rId12" Type="http://schemas.openxmlformats.org/officeDocument/2006/relationships/printerSettings" Target="../printerSettings/printerSettings126.bin"/><Relationship Id="rId17" Type="http://schemas.openxmlformats.org/officeDocument/2006/relationships/printerSettings" Target="../printerSettings/printerSettings131.bin"/><Relationship Id="rId2" Type="http://schemas.openxmlformats.org/officeDocument/2006/relationships/printerSettings" Target="../printerSettings/printerSettings116.bin"/><Relationship Id="rId16" Type="http://schemas.openxmlformats.org/officeDocument/2006/relationships/printerSettings" Target="../printerSettings/printerSettings130.bin"/><Relationship Id="rId1" Type="http://schemas.openxmlformats.org/officeDocument/2006/relationships/printerSettings" Target="../printerSettings/printerSettings115.bin"/><Relationship Id="rId6" Type="http://schemas.openxmlformats.org/officeDocument/2006/relationships/printerSettings" Target="../printerSettings/printerSettings120.bin"/><Relationship Id="rId11" Type="http://schemas.openxmlformats.org/officeDocument/2006/relationships/printerSettings" Target="../printerSettings/printerSettings125.bin"/><Relationship Id="rId5" Type="http://schemas.openxmlformats.org/officeDocument/2006/relationships/printerSettings" Target="../printerSettings/printerSettings119.bin"/><Relationship Id="rId15" Type="http://schemas.openxmlformats.org/officeDocument/2006/relationships/printerSettings" Target="../printerSettings/printerSettings129.bin"/><Relationship Id="rId10" Type="http://schemas.openxmlformats.org/officeDocument/2006/relationships/printerSettings" Target="../printerSettings/printerSettings124.bin"/><Relationship Id="rId19" Type="http://schemas.openxmlformats.org/officeDocument/2006/relationships/printerSettings" Target="../printerSettings/printerSettings133.bin"/><Relationship Id="rId4" Type="http://schemas.openxmlformats.org/officeDocument/2006/relationships/printerSettings" Target="../printerSettings/printerSettings118.bin"/><Relationship Id="rId9" Type="http://schemas.openxmlformats.org/officeDocument/2006/relationships/printerSettings" Target="../printerSettings/printerSettings123.bin"/><Relationship Id="rId14" Type="http://schemas.openxmlformats.org/officeDocument/2006/relationships/printerSettings" Target="../printerSettings/printerSettings1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6"/>
  <sheetViews>
    <sheetView showGridLines="0" tabSelected="1" zoomScaleNormal="75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F4" sqref="F4"/>
    </sheetView>
  </sheetViews>
  <sheetFormatPr defaultColWidth="8.85546875" defaultRowHeight="15" x14ac:dyDescent="0.25"/>
  <cols>
    <col min="1" max="1" width="19.7109375" style="1" customWidth="1"/>
    <col min="2" max="2" width="15.140625" style="1" customWidth="1"/>
    <col min="3" max="3" width="8.5703125" style="2" customWidth="1"/>
    <col min="4" max="4" width="0.140625" style="1" hidden="1" customWidth="1"/>
    <col min="5" max="21" width="13" style="1" customWidth="1"/>
    <col min="22" max="16384" width="8.85546875" style="1"/>
  </cols>
  <sheetData>
    <row r="1" spans="1:21" ht="15" customHeight="1" x14ac:dyDescent="0.25">
      <c r="A1" s="100" t="s">
        <v>4</v>
      </c>
      <c r="B1" s="8" t="s">
        <v>5</v>
      </c>
      <c r="C1" s="23" t="s">
        <v>1</v>
      </c>
      <c r="D1" s="55"/>
      <c r="E1" s="55"/>
      <c r="F1" s="55"/>
      <c r="G1" s="55"/>
      <c r="H1" s="36"/>
      <c r="J1" s="37"/>
      <c r="L1" s="37"/>
      <c r="M1" s="37"/>
      <c r="N1" s="37"/>
      <c r="O1" s="37"/>
      <c r="P1" s="37"/>
      <c r="Q1" s="37"/>
      <c r="R1" s="37"/>
      <c r="S1" s="36"/>
      <c r="T1" s="37"/>
    </row>
    <row r="2" spans="1:21" ht="17.25" customHeight="1" x14ac:dyDescent="0.25">
      <c r="A2" s="101">
        <f ca="1">TODAY()</f>
        <v>46133</v>
      </c>
      <c r="B2" s="8">
        <f ca="1">WEEKNUM(A2)</f>
        <v>17</v>
      </c>
      <c r="C2" s="24"/>
      <c r="D2" s="37"/>
      <c r="E2" s="37"/>
      <c r="F2" s="37"/>
      <c r="G2" s="37"/>
      <c r="H2" s="38"/>
      <c r="J2" s="39"/>
      <c r="L2" s="39"/>
      <c r="M2" s="39"/>
      <c r="N2" s="39"/>
      <c r="O2" s="39"/>
      <c r="P2" s="39"/>
      <c r="Q2" s="39"/>
      <c r="R2" s="39"/>
      <c r="S2" s="38"/>
      <c r="T2" s="39"/>
    </row>
    <row r="3" spans="1:21" ht="45.75" customHeight="1" x14ac:dyDescent="0.25">
      <c r="A3" s="21" t="s">
        <v>12</v>
      </c>
      <c r="B3" s="22"/>
      <c r="C3" s="9"/>
      <c r="D3" s="57" t="s">
        <v>25</v>
      </c>
      <c r="E3" s="85" t="s">
        <v>44</v>
      </c>
      <c r="F3" s="57" t="s">
        <v>43</v>
      </c>
      <c r="G3" s="56" t="s">
        <v>26</v>
      </c>
      <c r="H3" s="60" t="s">
        <v>22</v>
      </c>
      <c r="I3" s="61" t="s">
        <v>18</v>
      </c>
      <c r="J3" s="77" t="s">
        <v>39</v>
      </c>
      <c r="K3" s="81" t="s">
        <v>42</v>
      </c>
      <c r="L3" s="56" t="s">
        <v>19</v>
      </c>
      <c r="M3" s="56" t="s">
        <v>27</v>
      </c>
      <c r="N3" s="73" t="s">
        <v>45</v>
      </c>
      <c r="O3" s="73" t="s">
        <v>45</v>
      </c>
      <c r="P3" s="73" t="s">
        <v>45</v>
      </c>
      <c r="Q3" s="73" t="s">
        <v>45</v>
      </c>
      <c r="R3" s="69" t="s">
        <v>48</v>
      </c>
      <c r="S3" s="60" t="s">
        <v>15</v>
      </c>
      <c r="T3" s="62" t="s">
        <v>17</v>
      </c>
      <c r="U3" s="89" t="s">
        <v>37</v>
      </c>
    </row>
    <row r="4" spans="1:21" ht="18" customHeight="1" x14ac:dyDescent="0.25">
      <c r="A4" s="25" t="s">
        <v>13</v>
      </c>
      <c r="B4" s="26"/>
      <c r="C4" s="10"/>
      <c r="D4" s="68" t="s">
        <v>14</v>
      </c>
      <c r="E4" s="86" t="s">
        <v>14</v>
      </c>
      <c r="F4" s="68" t="s">
        <v>14</v>
      </c>
      <c r="G4" s="63" t="s">
        <v>14</v>
      </c>
      <c r="H4" s="64" t="s">
        <v>14</v>
      </c>
      <c r="I4" s="65" t="s">
        <v>14</v>
      </c>
      <c r="J4" s="78" t="s">
        <v>14</v>
      </c>
      <c r="K4" s="82" t="s">
        <v>14</v>
      </c>
      <c r="L4" s="66" t="s">
        <v>14</v>
      </c>
      <c r="M4" s="66" t="s">
        <v>28</v>
      </c>
      <c r="N4" s="74" t="s">
        <v>28</v>
      </c>
      <c r="O4" s="74" t="s">
        <v>28</v>
      </c>
      <c r="P4" s="74" t="s">
        <v>28</v>
      </c>
      <c r="Q4" s="74" t="s">
        <v>28</v>
      </c>
      <c r="R4" s="70"/>
      <c r="S4" s="64" t="s">
        <v>14</v>
      </c>
      <c r="T4" s="67" t="s">
        <v>14</v>
      </c>
      <c r="U4" s="90" t="s">
        <v>24</v>
      </c>
    </row>
    <row r="5" spans="1:21" ht="15" customHeight="1" x14ac:dyDescent="0.25">
      <c r="A5" s="34" t="s">
        <v>3</v>
      </c>
      <c r="B5" s="35"/>
      <c r="C5" s="17">
        <f>SUM(D5:T5)</f>
        <v>0</v>
      </c>
      <c r="D5" s="49">
        <f>COUNT(D14)</f>
        <v>0</v>
      </c>
      <c r="E5" s="87">
        <v>0</v>
      </c>
      <c r="F5" s="49">
        <v>0</v>
      </c>
      <c r="G5" s="41">
        <f>COUNT(G14)</f>
        <v>0</v>
      </c>
      <c r="H5" s="42">
        <v>0</v>
      </c>
      <c r="I5" s="43">
        <f t="shared" ref="I5:S5" si="0">COUNT(I14)</f>
        <v>0</v>
      </c>
      <c r="J5" s="79">
        <f t="shared" ref="J5" si="1">COUNT(J14)</f>
        <v>0</v>
      </c>
      <c r="K5" s="83">
        <f t="shared" si="0"/>
        <v>0</v>
      </c>
      <c r="L5" s="41">
        <f t="shared" si="0"/>
        <v>0</v>
      </c>
      <c r="M5" s="41"/>
      <c r="N5" s="75"/>
      <c r="O5" s="75"/>
      <c r="P5" s="75"/>
      <c r="Q5" s="75"/>
      <c r="R5" s="71"/>
      <c r="S5" s="42">
        <f t="shared" si="0"/>
        <v>0</v>
      </c>
      <c r="T5" s="47">
        <f t="shared" ref="T5" si="2">COUNT(T14)</f>
        <v>0</v>
      </c>
      <c r="U5" s="91">
        <v>0</v>
      </c>
    </row>
    <row r="6" spans="1:21" ht="3.6" customHeight="1" x14ac:dyDescent="0.25">
      <c r="I6" s="6"/>
      <c r="J6" s="6"/>
    </row>
    <row r="7" spans="1:21" ht="19.899999999999999" customHeight="1" x14ac:dyDescent="0.25">
      <c r="A7" s="11" t="s">
        <v>29</v>
      </c>
      <c r="B7" s="12"/>
      <c r="C7" s="13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9.899999999999999" customHeight="1" x14ac:dyDescent="0.25">
      <c r="A8" s="11" t="s">
        <v>30</v>
      </c>
      <c r="B8" s="12"/>
      <c r="C8" s="13" t="s">
        <v>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9.899999999999999" customHeight="1" x14ac:dyDescent="0.25">
      <c r="A9" s="27" t="s">
        <v>10</v>
      </c>
      <c r="B9" s="28"/>
      <c r="C9" s="14" t="s">
        <v>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9.899999999999999" customHeight="1" x14ac:dyDescent="0.25">
      <c r="A10" s="27" t="s">
        <v>11</v>
      </c>
      <c r="B10" s="28"/>
      <c r="C10" s="14" t="s">
        <v>6</v>
      </c>
      <c r="D10" s="4">
        <v>3</v>
      </c>
      <c r="E10" s="4">
        <v>3</v>
      </c>
      <c r="F10" s="4">
        <v>3</v>
      </c>
      <c r="G10" s="4">
        <v>3</v>
      </c>
      <c r="H10" s="4">
        <v>3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3</v>
      </c>
      <c r="O10" s="4">
        <v>3</v>
      </c>
      <c r="P10" s="4">
        <v>3</v>
      </c>
      <c r="Q10" s="4">
        <v>3</v>
      </c>
      <c r="R10" s="4">
        <v>3</v>
      </c>
      <c r="S10" s="4">
        <v>3</v>
      </c>
      <c r="T10" s="4">
        <v>3</v>
      </c>
      <c r="U10" s="4">
        <v>3</v>
      </c>
    </row>
    <row r="11" spans="1:21" ht="19.899999999999999" customHeight="1" x14ac:dyDescent="0.25">
      <c r="A11" s="27" t="s">
        <v>7</v>
      </c>
      <c r="B11" s="28"/>
      <c r="C11" s="33" t="s">
        <v>8</v>
      </c>
      <c r="D11" s="4" t="s">
        <v>23</v>
      </c>
      <c r="E11" s="4" t="s">
        <v>23</v>
      </c>
      <c r="F11" s="4" t="s">
        <v>23</v>
      </c>
      <c r="G11" s="4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  <c r="T11" s="4" t="s">
        <v>23</v>
      </c>
      <c r="U11" s="4" t="s">
        <v>23</v>
      </c>
    </row>
    <row r="12" spans="1:21" s="6" customFormat="1" ht="14.25" customHeight="1" x14ac:dyDescent="0.25">
      <c r="A12" s="58" t="s">
        <v>20</v>
      </c>
      <c r="B12" s="58" t="s">
        <v>21</v>
      </c>
      <c r="C12" s="5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9.899999999999999" customHeight="1" x14ac:dyDescent="0.25">
      <c r="A13" s="27" t="s">
        <v>0</v>
      </c>
      <c r="B13" s="28"/>
      <c r="C13" s="33"/>
      <c r="D13" s="50">
        <v>0.66666666666666663</v>
      </c>
      <c r="E13" s="88">
        <v>0.375</v>
      </c>
      <c r="F13" s="50">
        <v>0.41666666666666669</v>
      </c>
      <c r="G13" s="46">
        <v>0.45833333333333331</v>
      </c>
      <c r="H13" s="45">
        <v>0.52083333333333337</v>
      </c>
      <c r="I13" s="51">
        <v>0.54166666666666663</v>
      </c>
      <c r="J13" s="80">
        <v>0.64583333333333337</v>
      </c>
      <c r="K13" s="84">
        <v>0.66666666666666663</v>
      </c>
      <c r="L13" s="46">
        <v>0.6875</v>
      </c>
      <c r="M13" s="46">
        <v>0.72916666666666663</v>
      </c>
      <c r="N13" s="76">
        <v>0.70833333333333337</v>
      </c>
      <c r="O13" s="76">
        <v>0.72916666666666663</v>
      </c>
      <c r="P13" s="76">
        <v>0.75</v>
      </c>
      <c r="Q13" s="76">
        <v>0.79166666666666663</v>
      </c>
      <c r="R13" s="72">
        <v>0.91666666666666663</v>
      </c>
      <c r="S13" s="45">
        <v>0.16666666666666666</v>
      </c>
      <c r="T13" s="48">
        <v>6.25E-2</v>
      </c>
      <c r="U13" s="92">
        <v>0.125</v>
      </c>
    </row>
    <row r="14" spans="1:21" ht="19.899999999999999" customHeight="1" x14ac:dyDescent="0.25">
      <c r="A14" s="27" t="s">
        <v>32</v>
      </c>
      <c r="B14" s="28"/>
      <c r="C14" s="33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9.899999999999999" customHeight="1" x14ac:dyDescent="0.25">
      <c r="A15" s="27" t="s">
        <v>31</v>
      </c>
      <c r="B15" s="28"/>
      <c r="C15" s="33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5" customHeight="1" x14ac:dyDescent="0.25">
      <c r="A16" s="16" t="s">
        <v>16</v>
      </c>
      <c r="B16" s="18">
        <f>COUNTIF(D16:L16,"&gt;0")</f>
        <v>0</v>
      </c>
      <c r="C16" s="15" t="e">
        <f>B16/C5</f>
        <v>#DIV/0!</v>
      </c>
      <c r="D16" s="20">
        <f t="shared" ref="D16:H16" si="3">D14-D13</f>
        <v>-0.66666666666666663</v>
      </c>
      <c r="E16" s="20">
        <f t="shared" si="3"/>
        <v>-0.375</v>
      </c>
      <c r="F16" s="20">
        <f t="shared" si="3"/>
        <v>-0.41666666666666669</v>
      </c>
      <c r="G16" s="20">
        <f t="shared" si="3"/>
        <v>-0.45833333333333331</v>
      </c>
      <c r="H16" s="20">
        <f t="shared" si="3"/>
        <v>-0.52083333333333337</v>
      </c>
      <c r="I16" s="20">
        <f t="shared" ref="I16:S16" si="4">I14-I13</f>
        <v>-0.54166666666666663</v>
      </c>
      <c r="J16" s="20">
        <f t="shared" ref="J16" si="5">J14-J13</f>
        <v>-0.64583333333333337</v>
      </c>
      <c r="K16" s="20">
        <f t="shared" si="4"/>
        <v>-0.66666666666666663</v>
      </c>
      <c r="L16" s="20">
        <f t="shared" si="4"/>
        <v>-0.6875</v>
      </c>
      <c r="M16" s="20">
        <f t="shared" si="4"/>
        <v>-0.72916666666666663</v>
      </c>
      <c r="N16" s="20">
        <f t="shared" ref="N16" si="6">N14-N13</f>
        <v>-0.70833333333333337</v>
      </c>
      <c r="O16" s="20">
        <f t="shared" ref="O16:P16" si="7">O14-O13</f>
        <v>-0.72916666666666663</v>
      </c>
      <c r="P16" s="20">
        <f t="shared" si="7"/>
        <v>-0.75</v>
      </c>
      <c r="Q16" s="20">
        <f t="shared" ref="Q16" si="8">Q14-Q13</f>
        <v>-0.79166666666666663</v>
      </c>
      <c r="R16" s="20">
        <f t="shared" si="4"/>
        <v>-0.91666666666666663</v>
      </c>
      <c r="S16" s="20">
        <f t="shared" si="4"/>
        <v>-0.16666666666666666</v>
      </c>
      <c r="T16" s="20">
        <f t="shared" ref="T16:U16" si="9">T14-T13</f>
        <v>-6.25E-2</v>
      </c>
      <c r="U16" s="20">
        <f t="shared" si="9"/>
        <v>-0.125</v>
      </c>
    </row>
    <row r="17" spans="1:21" ht="52.9" customHeight="1" x14ac:dyDescent="0.25">
      <c r="A17" s="31" t="s">
        <v>34</v>
      </c>
      <c r="B17" s="32"/>
      <c r="C17" s="3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47.45" customHeight="1" x14ac:dyDescent="0.25">
      <c r="A18" s="52" t="s">
        <v>35</v>
      </c>
      <c r="B18" s="53"/>
      <c r="C18" s="5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94" t="s">
        <v>9</v>
      </c>
      <c r="B19" s="95" t="s">
        <v>33</v>
      </c>
      <c r="C19" s="96">
        <f>SUM(D19:T19)</f>
        <v>0</v>
      </c>
      <c r="D19" s="19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</row>
    <row r="20" spans="1:21" s="6" customFormat="1" ht="10.15" customHeight="1" x14ac:dyDescent="0.25">
      <c r="A20" s="97"/>
      <c r="B20" s="97"/>
      <c r="C20" s="97"/>
      <c r="D20" s="5"/>
    </row>
    <row r="21" spans="1:21" x14ac:dyDescent="0.25">
      <c r="C21" s="1"/>
    </row>
    <row r="22" spans="1:21" x14ac:dyDescent="0.25">
      <c r="C22" s="1"/>
    </row>
    <row r="23" spans="1:21" x14ac:dyDescent="0.25">
      <c r="C23" s="1"/>
    </row>
    <row r="24" spans="1:21" x14ac:dyDescent="0.25">
      <c r="C24" s="1"/>
    </row>
    <row r="25" spans="1:21" x14ac:dyDescent="0.25">
      <c r="C25" s="1"/>
    </row>
    <row r="26" spans="1:21" x14ac:dyDescent="0.25">
      <c r="C26" s="1"/>
    </row>
    <row r="27" spans="1:21" x14ac:dyDescent="0.25">
      <c r="C27" s="1"/>
    </row>
    <row r="28" spans="1:21" x14ac:dyDescent="0.25">
      <c r="C28" s="1"/>
    </row>
    <row r="29" spans="1:21" x14ac:dyDescent="0.25">
      <c r="C29" s="1"/>
    </row>
    <row r="30" spans="1:21" x14ac:dyDescent="0.25">
      <c r="C30" s="1"/>
    </row>
    <row r="31" spans="1:21" x14ac:dyDescent="0.25">
      <c r="C31" s="1"/>
    </row>
    <row r="32" spans="1:21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</sheetData>
  <dataConsolidate/>
  <customSheetViews>
    <customSheetView guid="{AE556AAC-C1CB-4650-BC55-D888C94C12FA}" showPageBreaks="1" showGridLines="0" fitToPage="1">
      <pane xSplit="4" ySplit="8" topLeftCell="H18" activePane="bottomRight" state="frozen"/>
      <selection pane="bottomRight" activeCell="E3" sqref="E3:U19"/>
      <pageMargins left="0.25" right="0.25" top="0.75" bottom="0.75" header="0.3" footer="0.3"/>
      <pageSetup paperSize="9" fitToWidth="0" orientation="portrait" r:id="rId1"/>
    </customSheetView>
    <customSheetView guid="{E1F0EABA-5105-43CC-8E07-85079A367209}" scale="75" showPageBreaks="1" showGridLines="0" fitToPage="1">
      <pane xSplit="4" ySplit="6" topLeftCell="E7" activePane="bottomRight" state="frozen"/>
      <selection pane="bottomRight" activeCell="V9" sqref="V9"/>
      <pageMargins left="0.25" right="0.25" top="0.75" bottom="0.75" header="0.3" footer="0.3"/>
      <pageSetup paperSize="9" scale="94" fitToWidth="0" orientation="portrait" r:id="rId2"/>
    </customSheetView>
    <customSheetView guid="{937051C1-F928-4CE1-90E6-4BD5AA5F0CA0}" scale="75" showPageBreaks="1" showGridLines="0" fitToPage="1">
      <pane xSplit="4" ySplit="6" topLeftCell="E7" activePane="bottomRight" state="frozen"/>
      <selection pane="bottomRight" activeCell="E7" sqref="E7"/>
      <pageMargins left="0.25" right="0.25" top="0.75" bottom="0.75" header="0.3" footer="0.3"/>
      <pageSetup paperSize="9" fitToWidth="0" orientation="portrait" r:id="rId3"/>
    </customSheetView>
    <customSheetView guid="{D8A31FCA-0338-4FE6-B202-6F01AF887A7C}" scale="75" showGridLines="0" fitToPage="1">
      <pane xSplit="4" ySplit="6" topLeftCell="E7" activePane="bottomRight" state="frozen"/>
      <selection pane="bottomRight" activeCell="E7" sqref="E7"/>
      <pageMargins left="0.25" right="0.25" top="0.75" bottom="0.75" header="0.3" footer="0.3"/>
      <pageSetup paperSize="9" fitToWidth="0" orientation="portrait" r:id="rId4"/>
    </customSheetView>
    <customSheetView guid="{FDAD6E8C-C6AF-4699-A337-B5A30AFE7C23}" showPageBreaks="1" showGridLines="0" fitToPage="1">
      <pane xSplit="4" ySplit="8" topLeftCell="E9" activePane="bottomRight" state="frozen"/>
      <selection pane="bottomRight" activeCell="E7" sqref="E7"/>
      <pageMargins left="0.25" right="0.25" top="0.75" bottom="0.75" header="0.3" footer="0.3"/>
      <pageSetup paperSize="9" fitToWidth="0" orientation="portrait" r:id="rId5"/>
    </customSheetView>
    <customSheetView guid="{56C6EF76-EDBC-4D28-BBAD-E202D7EB4BF2}" showPageBreaks="1" showGridLines="0" fitToPage="1">
      <pane xSplit="4" ySplit="8" topLeftCell="E9" activePane="bottomRight" state="frozen"/>
      <selection pane="bottomRight" activeCell="A12" sqref="A12:C12"/>
      <pageMargins left="0.25" right="0.25" top="0.75" bottom="0.75" header="0.3" footer="0.3"/>
      <pageSetup paperSize="9" fitToWidth="0" orientation="portrait" r:id="rId6"/>
    </customSheetView>
    <customSheetView guid="{874BD86F-8562-4C20-AEDD-66497496FA14}" showPageBreaks="1" showGridLines="0" fitToPage="1">
      <pane xSplit="4" ySplit="8" topLeftCell="P9" activePane="bottomRight" state="frozen"/>
      <selection pane="bottomRight" activeCell="AB13" sqref="AB13"/>
      <pageMargins left="0.25" right="0.25" top="0.75" bottom="0.75" header="0.3" footer="0.3"/>
      <pageSetup paperSize="9" fitToWidth="0" orientation="portrait" r:id="rId7"/>
    </customSheetView>
    <customSheetView guid="{EBED728A-42DC-41FC-A46F-E83588C5D9C3}" showPageBreaks="1" showGridLines="0" fitToPage="1">
      <pane xSplit="4" ySplit="8" topLeftCell="E9" activePane="bottomRight" state="frozen"/>
      <selection pane="bottomRight" activeCell="E3" sqref="E3"/>
      <pageMargins left="0.25" right="0.25" top="0.75" bottom="0.75" header="0.3" footer="0.3"/>
      <pageSetup paperSize="9" fitToWidth="0" orientation="portrait" r:id="rId8"/>
    </customSheetView>
    <customSheetView guid="{21FEB403-0AD4-4E43-ABA1-C03B0FA30C00}" showPageBreaks="1" showGridLines="0" fitToPage="1" hiddenColumns="1">
      <pane xSplit="4" ySplit="8" topLeftCell="N9" activePane="bottomRight" state="frozen"/>
      <selection pane="bottomRight" activeCell="U22" sqref="U22"/>
      <pageMargins left="0.25" right="0.25" top="0.75" bottom="0.75" header="0.3" footer="0.3"/>
      <pageSetup paperSize="9" fitToWidth="0" orientation="portrait" r:id="rId9"/>
    </customSheetView>
    <customSheetView guid="{DDAFD65C-B89E-4C6A-AC5C-AE6F1F424E3A}" showPageBreaks="1" showGridLines="0" fitToPage="1">
      <pane xSplit="1" topLeftCell="W1" activePane="topRight" state="frozen"/>
      <selection pane="topRight" activeCell="AF3" sqref="AF3"/>
      <pageMargins left="0.25" right="0.25" top="0.75" bottom="0.75" header="0.3" footer="0.3"/>
      <pageSetup paperSize="9" fitToWidth="0" orientation="portrait" r:id="rId10"/>
    </customSheetView>
    <customSheetView guid="{36E52512-3EE3-4CC3-8A85-95E4740740EE}" showPageBreaks="1" showGridLines="0" fitToPage="1">
      <pane xSplit="4" ySplit="8" topLeftCell="E9" activePane="bottomRight" state="frozen"/>
      <selection pane="bottomRight" activeCell="E14" sqref="E14"/>
      <pageMargins left="0.25" right="0.25" top="0.75" bottom="0.75" header="0.3" footer="0.3"/>
      <pageSetup paperSize="9" fitToWidth="0" orientation="portrait" r:id="rId11"/>
    </customSheetView>
    <customSheetView guid="{AB3B1E7B-5893-4A96-8A5A-BC4EAAD6D0C6}" showPageBreaks="1" showGridLines="0" fitToPage="1">
      <pane xSplit="4" ySplit="8" topLeftCell="E9" activePane="bottomRight" state="frozen"/>
      <selection pane="bottomRight" activeCell="E7" sqref="E7"/>
      <pageMargins left="0.25" right="0.25" top="0.75" bottom="0.75" header="0.3" footer="0.3"/>
      <pageSetup paperSize="9" scale="31" orientation="landscape" r:id="rId12"/>
    </customSheetView>
    <customSheetView guid="{64E48CFE-DF1A-4AED-8A67-A77739A758B8}" scale="75" showPageBreaks="1" showGridLines="0" fitToPage="1">
      <pane xSplit="4" ySplit="8" topLeftCell="E9" activePane="bottomRight" state="frozen"/>
      <selection pane="bottomRight" activeCell="E7" sqref="E7"/>
      <pageMargins left="0.25" right="0.25" top="0.75" bottom="0.75" header="0.3" footer="0.3"/>
      <pageSetup paperSize="9" fitToWidth="0" orientation="portrait" r:id="rId13"/>
    </customSheetView>
    <customSheetView guid="{5B62A984-2C2E-4C53-8256-48A393D80845}" scale="75" showPageBreaks="1" showGridLines="0" fitToPage="1">
      <pane xSplit="4" ySplit="6" topLeftCell="E7" activePane="bottomRight" state="frozen"/>
      <selection pane="bottomRight" activeCell="X1" sqref="X1:Y1048576"/>
      <pageMargins left="0.25" right="0.25" top="0.75" bottom="0.75" header="0.3" footer="0.3"/>
      <pageSetup paperSize="9" fitToWidth="0" orientation="portrait" r:id="rId14"/>
    </customSheetView>
    <customSheetView guid="{7DED5FBD-5FFD-49FF-9218-D92A4805A00B}" scale="75" showPageBreaks="1" showGridLines="0" fitToPage="1">
      <pane xSplit="4" ySplit="6" topLeftCell="E7" activePane="bottomRight" state="frozen"/>
      <selection pane="bottomRight" activeCell="J8" sqref="J8"/>
      <pageMargins left="0.25" right="0.25" top="0.75" bottom="0.75" header="0.3" footer="0.3"/>
      <pageSetup paperSize="9" scale="94" fitToWidth="0" orientation="portrait" r:id="rId15"/>
    </customSheetView>
    <customSheetView guid="{A37ED6A4-E892-4495-BA3F-35C26C7337C1}" scale="75" showGridLines="0" fitToPage="1">
      <pane xSplit="4" ySplit="6" topLeftCell="E7" activePane="bottomRight" state="frozen"/>
      <selection pane="bottomRight" activeCell="O1" sqref="O1:O1048576"/>
      <pageMargins left="0.25" right="0.25" top="0.75" bottom="0.75" header="0.3" footer="0.3"/>
      <pageSetup paperSize="9" fitToWidth="0" orientation="portrait" r:id="rId16"/>
    </customSheetView>
    <customSheetView guid="{F7C2F952-D051-47AE-9460-68ACA77D3540}" scale="75" showGridLines="0" fitToPage="1">
      <pane xSplit="4" ySplit="6" topLeftCell="E7" activePane="bottomRight" state="frozen"/>
      <selection pane="bottomRight" activeCell="O1" sqref="O1:T1048576"/>
      <pageMargins left="0.25" right="0.25" top="0.75" bottom="0.75" header="0.3" footer="0.3"/>
      <pageSetup paperSize="9" scale="94" fitToWidth="0" orientation="portrait" r:id="rId17"/>
    </customSheetView>
    <customSheetView guid="{AEDB124E-3FA4-4F6C-9C8E-B2303E639C5E}" showPageBreaks="1" showGridLines="0" fitToPage="1" hiddenColumns="1">
      <pane xSplit="3" ySplit="8" topLeftCell="E9" activePane="bottomRight" state="frozen"/>
      <selection pane="bottomRight" activeCell="G24" sqref="G24"/>
      <pageMargins left="0.25" right="0.25" top="0.75" bottom="0.75" header="0.3" footer="0.3"/>
      <pageSetup paperSize="9" fitToWidth="0" orientation="portrait" r:id="rId18"/>
    </customSheetView>
  </customSheetViews>
  <conditionalFormatting sqref="D16:G16 I16:R16">
    <cfRule type="cellIs" dxfId="23" priority="70" operator="lessThan">
      <formula>0</formula>
    </cfRule>
    <cfRule type="cellIs" dxfId="22" priority="71" operator="equal">
      <formula>0</formula>
    </cfRule>
    <cfRule type="cellIs" dxfId="21" priority="72" operator="greaterThanOrEqual">
      <formula>0.000694444444444444</formula>
    </cfRule>
  </conditionalFormatting>
  <pageMargins left="0.25" right="0.25" top="0.75" bottom="0.75" header="0.3" footer="0.3"/>
  <pageSetup paperSize="9" fitToWidth="0" orientation="portrait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"/>
  <sheetViews>
    <sheetView showGridLines="0" zoomScaleNormal="75" workbookViewId="0">
      <pane xSplit="4" ySplit="7" topLeftCell="E8" activePane="bottomRight" state="frozen"/>
      <selection pane="topRight" activeCell="E1" sqref="E1"/>
      <selection pane="bottomLeft" activeCell="A8" sqref="A8"/>
      <selection pane="bottomRight" sqref="A1:A2"/>
    </sheetView>
  </sheetViews>
  <sheetFormatPr defaultColWidth="8.85546875" defaultRowHeight="15" x14ac:dyDescent="0.25"/>
  <cols>
    <col min="1" max="1" width="19.7109375" style="1" customWidth="1"/>
    <col min="2" max="2" width="15.140625" style="1" customWidth="1"/>
    <col min="3" max="3" width="8.5703125" style="2" customWidth="1"/>
    <col min="4" max="4" width="13.42578125" style="1" hidden="1" customWidth="1"/>
    <col min="5" max="20" width="13" style="1" customWidth="1"/>
    <col min="21" max="16384" width="8.85546875" style="1"/>
  </cols>
  <sheetData>
    <row r="1" spans="1:20" ht="15" customHeight="1" x14ac:dyDescent="0.25">
      <c r="A1" s="100" t="s">
        <v>4</v>
      </c>
      <c r="B1" s="8" t="s">
        <v>5</v>
      </c>
      <c r="C1" s="23" t="s">
        <v>1</v>
      </c>
      <c r="D1" s="55"/>
      <c r="E1" s="55"/>
      <c r="F1" s="55"/>
      <c r="G1" s="55"/>
      <c r="H1" s="36"/>
      <c r="J1" s="37"/>
      <c r="L1" s="37"/>
      <c r="M1" s="37"/>
      <c r="N1" s="37"/>
      <c r="O1" s="37"/>
      <c r="P1" s="37"/>
      <c r="Q1" s="37"/>
      <c r="R1" s="37"/>
      <c r="S1" s="37"/>
      <c r="T1" s="37"/>
    </row>
    <row r="2" spans="1:20" ht="17.25" customHeight="1" x14ac:dyDescent="0.25">
      <c r="A2" s="99">
        <f ca="1">Maandag!A2+1</f>
        <v>46134</v>
      </c>
      <c r="B2" s="8">
        <f ca="1">WEEKNUM(A2)</f>
        <v>17</v>
      </c>
      <c r="C2" s="24"/>
      <c r="D2" s="37"/>
      <c r="E2" s="37"/>
      <c r="F2" s="37"/>
      <c r="G2" s="37"/>
      <c r="H2" s="38"/>
      <c r="J2" s="39"/>
      <c r="L2" s="39"/>
      <c r="M2" s="39"/>
      <c r="N2" s="39"/>
      <c r="O2" s="39"/>
      <c r="P2" s="39"/>
      <c r="Q2" s="39"/>
      <c r="R2" s="39"/>
      <c r="S2" s="39"/>
      <c r="T2" s="39"/>
    </row>
    <row r="3" spans="1:20" ht="45.75" customHeight="1" x14ac:dyDescent="0.25">
      <c r="A3" s="21" t="s">
        <v>12</v>
      </c>
      <c r="B3" s="22"/>
      <c r="C3" s="9"/>
      <c r="D3" s="57" t="s">
        <v>25</v>
      </c>
      <c r="E3" s="85" t="s">
        <v>44</v>
      </c>
      <c r="F3" s="57" t="s">
        <v>43</v>
      </c>
      <c r="G3" s="56" t="s">
        <v>26</v>
      </c>
      <c r="H3" s="60" t="s">
        <v>22</v>
      </c>
      <c r="I3" s="61" t="s">
        <v>18</v>
      </c>
      <c r="J3" s="77" t="s">
        <v>39</v>
      </c>
      <c r="K3" s="81" t="s">
        <v>42</v>
      </c>
      <c r="L3" s="56" t="s">
        <v>19</v>
      </c>
      <c r="M3" s="56" t="s">
        <v>27</v>
      </c>
      <c r="N3" s="73" t="s">
        <v>45</v>
      </c>
      <c r="O3" s="73" t="s">
        <v>45</v>
      </c>
      <c r="P3" s="73" t="s">
        <v>45</v>
      </c>
      <c r="Q3" s="73" t="s">
        <v>45</v>
      </c>
      <c r="R3" s="69" t="s">
        <v>48</v>
      </c>
      <c r="S3" s="60" t="s">
        <v>15</v>
      </c>
      <c r="T3" s="62" t="s">
        <v>17</v>
      </c>
    </row>
    <row r="4" spans="1:20" ht="18" customHeight="1" x14ac:dyDescent="0.25">
      <c r="A4" s="25" t="s">
        <v>13</v>
      </c>
      <c r="B4" s="26"/>
      <c r="C4" s="10"/>
      <c r="D4" s="68" t="s">
        <v>14</v>
      </c>
      <c r="E4" s="86" t="s">
        <v>14</v>
      </c>
      <c r="F4" s="68" t="s">
        <v>14</v>
      </c>
      <c r="G4" s="63" t="s">
        <v>14</v>
      </c>
      <c r="H4" s="64" t="s">
        <v>14</v>
      </c>
      <c r="I4" s="65" t="s">
        <v>14</v>
      </c>
      <c r="J4" s="78" t="s">
        <v>14</v>
      </c>
      <c r="K4" s="82" t="s">
        <v>14</v>
      </c>
      <c r="L4" s="66" t="s">
        <v>14</v>
      </c>
      <c r="M4" s="66" t="s">
        <v>28</v>
      </c>
      <c r="N4" s="74" t="s">
        <v>28</v>
      </c>
      <c r="O4" s="74" t="s">
        <v>28</v>
      </c>
      <c r="P4" s="74" t="s">
        <v>28</v>
      </c>
      <c r="Q4" s="74" t="s">
        <v>28</v>
      </c>
      <c r="R4" s="70"/>
      <c r="S4" s="64" t="s">
        <v>14</v>
      </c>
      <c r="T4" s="67" t="s">
        <v>14</v>
      </c>
    </row>
    <row r="5" spans="1:20" ht="15" customHeight="1" x14ac:dyDescent="0.25">
      <c r="A5" s="34" t="s">
        <v>3</v>
      </c>
      <c r="B5" s="35"/>
      <c r="C5" s="17">
        <f>SUM(D5:T5)</f>
        <v>0</v>
      </c>
      <c r="D5" s="49">
        <f>COUNT(D14)</f>
        <v>0</v>
      </c>
      <c r="E5" s="87">
        <v>0</v>
      </c>
      <c r="F5" s="49">
        <v>0</v>
      </c>
      <c r="G5" s="41">
        <f>COUNT(G14)</f>
        <v>0</v>
      </c>
      <c r="H5" s="42">
        <v>0</v>
      </c>
      <c r="I5" s="43">
        <f t="shared" ref="I5:T5" si="0">COUNT(I14)</f>
        <v>0</v>
      </c>
      <c r="J5" s="79">
        <f t="shared" si="0"/>
        <v>0</v>
      </c>
      <c r="K5" s="83">
        <f t="shared" si="0"/>
        <v>0</v>
      </c>
      <c r="L5" s="41">
        <f t="shared" si="0"/>
        <v>0</v>
      </c>
      <c r="M5" s="41"/>
      <c r="N5" s="75"/>
      <c r="O5" s="75"/>
      <c r="P5" s="75"/>
      <c r="Q5" s="75"/>
      <c r="R5" s="71"/>
      <c r="S5" s="42">
        <f t="shared" si="0"/>
        <v>0</v>
      </c>
      <c r="T5" s="47">
        <f t="shared" si="0"/>
        <v>0</v>
      </c>
    </row>
    <row r="6" spans="1:20" ht="3.6" customHeight="1" x14ac:dyDescent="0.25">
      <c r="I6" s="6"/>
      <c r="J6" s="6"/>
    </row>
    <row r="7" spans="1:20" ht="19.899999999999999" customHeight="1" x14ac:dyDescent="0.25">
      <c r="A7" s="11" t="s">
        <v>29</v>
      </c>
      <c r="B7" s="12"/>
      <c r="C7" s="13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9.899999999999999" customHeight="1" x14ac:dyDescent="0.25">
      <c r="A8" s="11" t="s">
        <v>30</v>
      </c>
      <c r="B8" s="12"/>
      <c r="C8" s="13" t="s">
        <v>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19.899999999999999" customHeight="1" x14ac:dyDescent="0.25">
      <c r="A9" s="27" t="s">
        <v>10</v>
      </c>
      <c r="B9" s="28"/>
      <c r="C9" s="14" t="s">
        <v>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19.899999999999999" customHeight="1" x14ac:dyDescent="0.25">
      <c r="A10" s="27" t="s">
        <v>11</v>
      </c>
      <c r="B10" s="28"/>
      <c r="C10" s="14" t="s">
        <v>6</v>
      </c>
      <c r="D10" s="4">
        <v>3</v>
      </c>
      <c r="E10" s="4">
        <v>3</v>
      </c>
      <c r="F10" s="4">
        <v>3</v>
      </c>
      <c r="G10" s="4">
        <v>3</v>
      </c>
      <c r="H10" s="4">
        <v>3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3</v>
      </c>
      <c r="O10" s="4">
        <v>3</v>
      </c>
      <c r="P10" s="4">
        <v>3</v>
      </c>
      <c r="Q10" s="4">
        <v>3</v>
      </c>
      <c r="R10" s="4">
        <v>3</v>
      </c>
      <c r="S10" s="4">
        <v>3</v>
      </c>
      <c r="T10" s="4">
        <v>3</v>
      </c>
    </row>
    <row r="11" spans="1:20" ht="19.899999999999999" customHeight="1" x14ac:dyDescent="0.25">
      <c r="A11" s="27" t="s">
        <v>7</v>
      </c>
      <c r="B11" s="28"/>
      <c r="C11" s="33" t="s">
        <v>8</v>
      </c>
      <c r="D11" s="4" t="s">
        <v>23</v>
      </c>
      <c r="E11" s="4" t="s">
        <v>23</v>
      </c>
      <c r="F11" s="4" t="s">
        <v>23</v>
      </c>
      <c r="G11" s="4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  <c r="T11" s="4" t="s">
        <v>23</v>
      </c>
    </row>
    <row r="12" spans="1:20" s="6" customFormat="1" ht="14.25" customHeight="1" x14ac:dyDescent="0.25">
      <c r="A12" s="58" t="s">
        <v>20</v>
      </c>
      <c r="B12" s="58" t="s">
        <v>21</v>
      </c>
      <c r="C12" s="5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9.899999999999999" customHeight="1" x14ac:dyDescent="0.25">
      <c r="A13" s="27" t="s">
        <v>0</v>
      </c>
      <c r="B13" s="28"/>
      <c r="C13" s="33"/>
      <c r="D13" s="50">
        <v>0.66666666666666663</v>
      </c>
      <c r="E13" s="88">
        <v>0.375</v>
      </c>
      <c r="F13" s="50">
        <v>0.41666666666666669</v>
      </c>
      <c r="G13" s="46">
        <v>0.45833333333333331</v>
      </c>
      <c r="H13" s="45">
        <v>0.52083333333333337</v>
      </c>
      <c r="I13" s="51">
        <v>0.54166666666666663</v>
      </c>
      <c r="J13" s="80">
        <v>0.64583333333333337</v>
      </c>
      <c r="K13" s="84">
        <v>0.66666666666666663</v>
      </c>
      <c r="L13" s="46">
        <v>0.6875</v>
      </c>
      <c r="M13" s="46">
        <v>0.72916666666666663</v>
      </c>
      <c r="N13" s="76">
        <v>0.70833333333333337</v>
      </c>
      <c r="O13" s="76">
        <v>0.72916666666666663</v>
      </c>
      <c r="P13" s="76">
        <v>0.75</v>
      </c>
      <c r="Q13" s="76">
        <v>0.79166666666666663</v>
      </c>
      <c r="R13" s="72">
        <v>0.91666666666666663</v>
      </c>
      <c r="S13" s="45">
        <v>0.16666666666666666</v>
      </c>
      <c r="T13" s="48">
        <v>6.25E-2</v>
      </c>
    </row>
    <row r="14" spans="1:20" ht="19.899999999999999" customHeight="1" x14ac:dyDescent="0.25">
      <c r="A14" s="27" t="s">
        <v>32</v>
      </c>
      <c r="B14" s="28"/>
      <c r="C14" s="33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9.899999999999999" customHeight="1" x14ac:dyDescent="0.25">
      <c r="A15" s="27" t="s">
        <v>36</v>
      </c>
      <c r="B15" s="28"/>
      <c r="C15" s="33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" customHeight="1" x14ac:dyDescent="0.25">
      <c r="A16" s="16" t="s">
        <v>16</v>
      </c>
      <c r="B16" s="18">
        <f>COUNTIF(D16:N16,"&gt;0")</f>
        <v>0</v>
      </c>
      <c r="C16" s="15" t="e">
        <f>B16/C5</f>
        <v>#DIV/0!</v>
      </c>
      <c r="D16" s="20">
        <f t="shared" ref="D16:T16" si="1">D14-D13</f>
        <v>-0.66666666666666663</v>
      </c>
      <c r="E16" s="20">
        <f t="shared" si="1"/>
        <v>-0.375</v>
      </c>
      <c r="F16" s="20">
        <f t="shared" si="1"/>
        <v>-0.41666666666666669</v>
      </c>
      <c r="G16" s="20">
        <f t="shared" si="1"/>
        <v>-0.45833333333333331</v>
      </c>
      <c r="H16" s="20">
        <f t="shared" si="1"/>
        <v>-0.52083333333333337</v>
      </c>
      <c r="I16" s="20">
        <f t="shared" si="1"/>
        <v>-0.54166666666666663</v>
      </c>
      <c r="J16" s="20">
        <f t="shared" si="1"/>
        <v>-0.64583333333333337</v>
      </c>
      <c r="K16" s="20">
        <f t="shared" si="1"/>
        <v>-0.66666666666666663</v>
      </c>
      <c r="L16" s="20">
        <f t="shared" si="1"/>
        <v>-0.6875</v>
      </c>
      <c r="M16" s="20">
        <f t="shared" si="1"/>
        <v>-0.72916666666666663</v>
      </c>
      <c r="N16" s="20">
        <f t="shared" si="1"/>
        <v>-0.70833333333333337</v>
      </c>
      <c r="O16" s="20">
        <f t="shared" si="1"/>
        <v>-0.72916666666666663</v>
      </c>
      <c r="P16" s="20">
        <f t="shared" si="1"/>
        <v>-0.75</v>
      </c>
      <c r="Q16" s="20">
        <f t="shared" si="1"/>
        <v>-0.79166666666666663</v>
      </c>
      <c r="R16" s="20">
        <f t="shared" si="1"/>
        <v>-0.91666666666666663</v>
      </c>
      <c r="S16" s="20">
        <f t="shared" si="1"/>
        <v>-0.16666666666666666</v>
      </c>
      <c r="T16" s="20">
        <f t="shared" si="1"/>
        <v>-6.25E-2</v>
      </c>
    </row>
    <row r="17" spans="1:20" ht="52.9" customHeight="1" x14ac:dyDescent="0.25">
      <c r="A17" s="31" t="s">
        <v>34</v>
      </c>
      <c r="B17" s="32"/>
      <c r="C17" s="3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52.9" customHeight="1" x14ac:dyDescent="0.25">
      <c r="A18" s="52" t="s">
        <v>35</v>
      </c>
      <c r="B18" s="53"/>
      <c r="C18" s="5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9" t="s">
        <v>9</v>
      </c>
      <c r="B19" s="30"/>
      <c r="C19" s="17">
        <f>SUM(D19:T19)</f>
        <v>0</v>
      </c>
      <c r="D19" s="19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</row>
    <row r="20" spans="1:20" x14ac:dyDescent="0.25">
      <c r="C20" s="1"/>
    </row>
    <row r="21" spans="1:20" x14ac:dyDescent="0.25">
      <c r="C21" s="1"/>
    </row>
    <row r="22" spans="1:20" x14ac:dyDescent="0.25">
      <c r="C22" s="1"/>
    </row>
    <row r="23" spans="1:20" x14ac:dyDescent="0.25">
      <c r="C23" s="1"/>
    </row>
    <row r="24" spans="1:20" x14ac:dyDescent="0.25">
      <c r="C24" s="1"/>
    </row>
    <row r="25" spans="1:20" x14ac:dyDescent="0.25">
      <c r="C25" s="1"/>
    </row>
    <row r="26" spans="1:20" x14ac:dyDescent="0.25">
      <c r="C26" s="1"/>
    </row>
    <row r="27" spans="1:20" x14ac:dyDescent="0.25">
      <c r="C27" s="1"/>
    </row>
    <row r="28" spans="1:20" x14ac:dyDescent="0.25">
      <c r="C28" s="1"/>
    </row>
    <row r="29" spans="1:20" x14ac:dyDescent="0.25">
      <c r="C29" s="1"/>
    </row>
    <row r="30" spans="1:20" x14ac:dyDescent="0.25">
      <c r="C30" s="1"/>
    </row>
    <row r="31" spans="1:20" x14ac:dyDescent="0.25">
      <c r="C31" s="1"/>
    </row>
    <row r="32" spans="1:20" x14ac:dyDescent="0.25">
      <c r="C32" s="1"/>
    </row>
    <row r="33" spans="3:3" x14ac:dyDescent="0.25">
      <c r="C33" s="1"/>
    </row>
  </sheetData>
  <customSheetViews>
    <customSheetView guid="{AE556AAC-C1CB-4650-BC55-D888C94C12FA}" showPageBreaks="1" showGridLines="0" printArea="1">
      <pane xSplit="4" ySplit="7" topLeftCell="G14" activePane="bottomRight" state="frozen"/>
      <selection pane="bottomRight" activeCell="E3" sqref="E3:U20"/>
      <pageMargins left="0.25" right="0.25" top="0.75" bottom="0.75" header="0.3" footer="0.3"/>
      <pageSetup paperSize="9" orientation="portrait" r:id="rId1"/>
    </customSheetView>
    <customSheetView guid="{E1F0EABA-5105-43CC-8E07-85079A367209}" scale="75" showPageBreaks="1" showGridLines="0" printArea="1">
      <pane xSplit="4" ySplit="7" topLeftCell="E8" activePane="bottomRight" state="frozen"/>
      <selection pane="bottomRight" activeCell="S1" sqref="S1:S1048576"/>
      <pageMargins left="0.25" right="0.25" top="0.75" bottom="0.75" header="0.3" footer="0.3"/>
      <pageSetup paperSize="9" orientation="portrait" r:id="rId2"/>
    </customSheetView>
    <customSheetView guid="{937051C1-F928-4CE1-90E6-4BD5AA5F0CA0}" scale="75" showPageBreaks="1" showGridLines="0" printArea="1">
      <pane xSplit="4" ySplit="7" topLeftCell="E8" activePane="bottomRight" state="frozen"/>
      <selection pane="bottomRight" activeCell="E7" sqref="E7"/>
      <pageMargins left="0.25" right="0.25" top="0.75" bottom="0.75" header="0.3" footer="0.3"/>
      <pageSetup paperSize="9" orientation="portrait" r:id="rId3"/>
    </customSheetView>
    <customSheetView guid="{D8A31FCA-0338-4FE6-B202-6F01AF887A7C}" scale="75" showGridLines="0">
      <pane xSplit="4" ySplit="7" topLeftCell="E8" activePane="bottomRight" state="frozen"/>
      <selection pane="bottomRight" activeCell="G13" sqref="G13"/>
      <pageMargins left="0.25" right="0.25" top="0.75" bottom="0.75" header="0.3" footer="0.3"/>
      <pageSetup paperSize="9" orientation="portrait" r:id="rId4"/>
    </customSheetView>
    <customSheetView guid="{FDAD6E8C-C6AF-4699-A337-B5A30AFE7C23}" showPageBreaks="1" showGridLines="0" printArea="1">
      <pane xSplit="4" ySplit="7" topLeftCell="E8" activePane="bottomRight" state="frozen"/>
      <selection pane="bottomRight" activeCell="M1" sqref="M1:M1048576"/>
      <pageMargins left="0.25" right="0.25" top="0.75" bottom="0.75" header="0.3" footer="0.3"/>
      <pageSetup paperSize="9" orientation="portrait" r:id="rId5"/>
    </customSheetView>
    <customSheetView guid="{56C6EF76-EDBC-4D28-BBAD-E202D7EB4BF2}" showPageBreaks="1" showGridLines="0" printArea="1">
      <pane xSplit="4" ySplit="7" topLeftCell="F8" activePane="bottomRight" state="frozen"/>
      <selection pane="bottomRight" activeCell="B17" sqref="B17"/>
      <pageMargins left="0.25" right="0.25" top="0.75" bottom="0.75" header="0.3" footer="0.3"/>
      <pageSetup paperSize="9" orientation="portrait" r:id="rId6"/>
    </customSheetView>
    <customSheetView guid="{874BD86F-8562-4C20-AEDD-66497496FA14}" showPageBreaks="1" showGridLines="0" printArea="1">
      <pane xSplit="4" ySplit="7" topLeftCell="S8" activePane="bottomRight" state="frozen"/>
      <selection pane="bottomRight" activeCell="Z13" sqref="Z13"/>
      <pageMargins left="0.25" right="0.25" top="0.75" bottom="0.75" header="0.3" footer="0.3"/>
      <pageSetup paperSize="9" orientation="portrait" r:id="rId7"/>
    </customSheetView>
    <customSheetView guid="{EBED728A-42DC-41FC-A46F-E83588C5D9C3}" showPageBreaks="1" showGridLines="0" printArea="1">
      <pane xSplit="4" ySplit="7" topLeftCell="E8" activePane="bottomRight" state="frozen"/>
      <selection pane="bottomRight" activeCell="F10" sqref="F10"/>
      <pageMargins left="0.25" right="0.25" top="0.75" bottom="0.75" header="0.3" footer="0.3"/>
      <pageSetup paperSize="9" orientation="portrait" r:id="rId8"/>
    </customSheetView>
    <customSheetView guid="{21FEB403-0AD4-4E43-ABA1-C03B0FA30C00}" showPageBreaks="1" showGridLines="0" printArea="1" hiddenColumns="1">
      <pane xSplit="4" ySplit="7" topLeftCell="H8" activePane="bottomRight" state="frozen"/>
      <selection pane="bottomRight" activeCell="R13" sqref="R13"/>
      <pageMargins left="0.25" right="0.25" top="0.75" bottom="0.75" header="0.3" footer="0.3"/>
      <pageSetup paperSize="9" orientation="portrait" r:id="rId9"/>
    </customSheetView>
    <customSheetView guid="{DDAFD65C-B89E-4C6A-AC5C-AE6F1F424E3A}" showPageBreaks="1" showGridLines="0" printArea="1" hiddenColumns="1">
      <pane xSplit="4" ySplit="6" topLeftCell="Q7" activePane="bottomRight" state="frozen"/>
      <selection pane="bottomRight" activeCell="AE3" sqref="AE3"/>
      <pageMargins left="0.25" right="0.25" top="0.75" bottom="0.75" header="0.3" footer="0.3"/>
      <pageSetup paperSize="9" orientation="portrait" r:id="rId10"/>
    </customSheetView>
    <customSheetView guid="{36E52512-3EE3-4CC3-8A85-95E4740740EE}" showPageBreaks="1" showGridLines="0" printArea="1">
      <pane xSplit="4" ySplit="7" topLeftCell="M8" activePane="bottomRight" state="frozen"/>
      <selection pane="bottomRight" activeCell="B2" sqref="B2"/>
      <pageMargins left="0.25" right="0.25" top="0.75" bottom="0.75" header="0.3" footer="0.3"/>
      <pageSetup paperSize="9" orientation="portrait" r:id="rId11"/>
    </customSheetView>
    <customSheetView guid="{AB3B1E7B-5893-4A96-8A5A-BC4EAAD6D0C6}" showPageBreaks="1" showGridLines="0" printArea="1">
      <pane xSplit="4" ySplit="7" topLeftCell="E8" activePane="bottomRight" state="frozen"/>
      <selection pane="bottomRight" activeCell="E7" sqref="E7"/>
      <pageMargins left="0.25" right="0.25" top="0.75" bottom="0.75" header="0.3" footer="0.3"/>
      <pageSetup paperSize="9" orientation="portrait" r:id="rId12"/>
    </customSheetView>
    <customSheetView guid="{64E48CFE-DF1A-4AED-8A67-A77739A758B8}" scale="75" showPageBreaks="1" showGridLines="0" printArea="1">
      <pane xSplit="4" ySplit="7" topLeftCell="E8" activePane="bottomRight" state="frozen"/>
      <selection pane="bottomRight" activeCell="E7" sqref="E7"/>
      <pageMargins left="0.25" right="0.25" top="0.75" bottom="0.75" header="0.3" footer="0.3"/>
      <pageSetup paperSize="9" orientation="portrait" r:id="rId13"/>
    </customSheetView>
    <customSheetView guid="{5B62A984-2C2E-4C53-8256-48A393D80845}" scale="75" showPageBreaks="1" showGridLines="0" printArea="1">
      <pane xSplit="4" ySplit="7" topLeftCell="E8" activePane="bottomRight" state="frozen"/>
      <selection pane="bottomRight" activeCell="P14" sqref="P14"/>
      <pageMargins left="0.25" right="0.25" top="0.75" bottom="0.75" header="0.3" footer="0.3"/>
      <pageSetup paperSize="9" orientation="portrait" r:id="rId14"/>
    </customSheetView>
    <customSheetView guid="{7DED5FBD-5FFD-49FF-9218-D92A4805A00B}" scale="75" showPageBreaks="1" showGridLines="0" printArea="1">
      <pane xSplit="4" ySplit="7" topLeftCell="E8" activePane="bottomRight" state="frozen"/>
      <selection pane="bottomRight" activeCell="E3" sqref="E3:V5"/>
      <pageMargins left="0.25" right="0.25" top="0.75" bottom="0.75" header="0.3" footer="0.3"/>
      <pageSetup paperSize="9" orientation="portrait" r:id="rId15"/>
    </customSheetView>
    <customSheetView guid="{A37ED6A4-E892-4495-BA3F-35C26C7337C1}" scale="75" showGridLines="0" printArea="1">
      <pane xSplit="4" ySplit="7" topLeftCell="E8" activePane="bottomRight" state="frozen"/>
      <selection pane="bottomRight" activeCell="P1" sqref="P1:P1048576"/>
      <pageMargins left="0.25" right="0.25" top="0.75" bottom="0.75" header="0.3" footer="0.3"/>
      <pageSetup paperSize="9" orientation="portrait" r:id="rId16"/>
    </customSheetView>
    <customSheetView guid="{F7C2F952-D051-47AE-9460-68ACA77D3540}" scale="75" showGridLines="0" printArea="1">
      <pane xSplit="4" ySplit="7" topLeftCell="E8" activePane="bottomRight" state="frozen"/>
      <selection pane="bottomRight" activeCell="O1" sqref="O1:T1048576"/>
      <pageMargins left="0.25" right="0.25" top="0.75" bottom="0.75" header="0.3" footer="0.3"/>
      <pageSetup paperSize="9" orientation="portrait" r:id="rId17"/>
    </customSheetView>
    <customSheetView guid="{AEDB124E-3FA4-4F6C-9C8E-B2303E639C5E}" showPageBreaks="1" showGridLines="0" printArea="1" hiddenColumns="1">
      <pane xSplit="3" ySplit="7" topLeftCell="E8" activePane="bottomRight" state="frozen"/>
      <selection pane="bottomRight" activeCell="E1" sqref="E1:W1048576"/>
      <pageMargins left="0.25" right="0.25" top="0.75" bottom="0.75" header="0.3" footer="0.3"/>
      <pageSetup paperSize="9" orientation="portrait" r:id="rId18"/>
    </customSheetView>
  </customSheetViews>
  <conditionalFormatting sqref="D16:G16 I16:R16">
    <cfRule type="cellIs" dxfId="20" priority="1" operator="lessThan">
      <formula>0</formula>
    </cfRule>
    <cfRule type="cellIs" dxfId="19" priority="2" operator="equal">
      <formula>0</formula>
    </cfRule>
    <cfRule type="cellIs" dxfId="18" priority="3" operator="greaterThanOrEqual">
      <formula>0.000694444444444444</formula>
    </cfRule>
  </conditionalFormatting>
  <pageMargins left="0.25" right="0.25" top="0.75" bottom="0.75" header="0.3" footer="0.3"/>
  <pageSetup paperSize="9" orientation="portrait"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2"/>
  <sheetViews>
    <sheetView showGridLines="0" zoomScaleNormal="75" workbookViewId="0">
      <pane xSplit="4" ySplit="7" topLeftCell="E8" activePane="bottomRight" state="frozen"/>
      <selection pane="topRight" activeCell="E1" sqref="E1"/>
      <selection pane="bottomLeft" activeCell="A8" sqref="A8"/>
      <selection pane="bottomRight" sqref="A1:A2"/>
    </sheetView>
  </sheetViews>
  <sheetFormatPr defaultColWidth="8.85546875" defaultRowHeight="15" x14ac:dyDescent="0.25"/>
  <cols>
    <col min="1" max="1" width="19.7109375" style="1" customWidth="1"/>
    <col min="2" max="2" width="15.140625" style="1" customWidth="1"/>
    <col min="3" max="3" width="8.5703125" style="2" customWidth="1"/>
    <col min="4" max="4" width="14.28515625" style="1" hidden="1" customWidth="1"/>
    <col min="5" max="20" width="12.85546875" style="1" customWidth="1"/>
    <col min="21" max="16384" width="8.85546875" style="1"/>
  </cols>
  <sheetData>
    <row r="1" spans="1:20" ht="15" customHeight="1" x14ac:dyDescent="0.25">
      <c r="A1" s="100" t="s">
        <v>4</v>
      </c>
      <c r="B1" s="8" t="s">
        <v>5</v>
      </c>
      <c r="C1" s="23" t="s">
        <v>1</v>
      </c>
      <c r="D1" s="55"/>
      <c r="E1" s="55"/>
      <c r="F1" s="55"/>
      <c r="G1" s="55"/>
      <c r="H1" s="36"/>
      <c r="J1" s="37"/>
      <c r="L1" s="37"/>
      <c r="M1" s="37"/>
      <c r="N1" s="37"/>
      <c r="O1" s="37"/>
      <c r="P1" s="37"/>
      <c r="Q1" s="37"/>
      <c r="R1" s="37"/>
      <c r="S1" s="37"/>
      <c r="T1" s="37"/>
    </row>
    <row r="2" spans="1:20" ht="17.25" customHeight="1" x14ac:dyDescent="0.25">
      <c r="A2" s="99">
        <f ca="1">Maandag!A2+2</f>
        <v>46135</v>
      </c>
      <c r="B2" s="8">
        <f ca="1">WEEKNUM(A2)</f>
        <v>17</v>
      </c>
      <c r="C2" s="24"/>
      <c r="D2" s="37"/>
      <c r="E2" s="37"/>
      <c r="F2" s="37"/>
      <c r="G2" s="37"/>
      <c r="H2" s="38"/>
      <c r="J2" s="39"/>
      <c r="L2" s="39"/>
      <c r="M2" s="39"/>
      <c r="N2" s="39"/>
      <c r="O2" s="39"/>
      <c r="P2" s="39"/>
      <c r="Q2" s="39"/>
      <c r="R2" s="39"/>
      <c r="S2" s="39"/>
      <c r="T2" s="39"/>
    </row>
    <row r="3" spans="1:20" ht="45.75" customHeight="1" x14ac:dyDescent="0.25">
      <c r="A3" s="21" t="s">
        <v>12</v>
      </c>
      <c r="B3" s="22"/>
      <c r="C3" s="9"/>
      <c r="D3" s="57" t="s">
        <v>25</v>
      </c>
      <c r="E3" s="85" t="s">
        <v>44</v>
      </c>
      <c r="F3" s="57" t="s">
        <v>43</v>
      </c>
      <c r="G3" s="56" t="s">
        <v>26</v>
      </c>
      <c r="H3" s="60" t="s">
        <v>22</v>
      </c>
      <c r="I3" s="61" t="s">
        <v>18</v>
      </c>
      <c r="J3" s="77" t="s">
        <v>39</v>
      </c>
      <c r="K3" s="81" t="s">
        <v>42</v>
      </c>
      <c r="L3" s="56" t="s">
        <v>19</v>
      </c>
      <c r="M3" s="56" t="s">
        <v>27</v>
      </c>
      <c r="N3" s="73" t="s">
        <v>45</v>
      </c>
      <c r="O3" s="73" t="s">
        <v>45</v>
      </c>
      <c r="P3" s="73" t="s">
        <v>45</v>
      </c>
      <c r="Q3" s="73" t="s">
        <v>45</v>
      </c>
      <c r="R3" s="69" t="s">
        <v>48</v>
      </c>
      <c r="S3" s="60" t="s">
        <v>15</v>
      </c>
      <c r="T3" s="62" t="s">
        <v>17</v>
      </c>
    </row>
    <row r="4" spans="1:20" ht="18" customHeight="1" x14ac:dyDescent="0.25">
      <c r="A4" s="25" t="s">
        <v>13</v>
      </c>
      <c r="B4" s="26"/>
      <c r="C4" s="10"/>
      <c r="D4" s="68" t="s">
        <v>14</v>
      </c>
      <c r="E4" s="86" t="s">
        <v>14</v>
      </c>
      <c r="F4" s="68" t="s">
        <v>14</v>
      </c>
      <c r="G4" s="63" t="s">
        <v>14</v>
      </c>
      <c r="H4" s="64" t="s">
        <v>14</v>
      </c>
      <c r="I4" s="65" t="s">
        <v>14</v>
      </c>
      <c r="J4" s="78" t="s">
        <v>14</v>
      </c>
      <c r="K4" s="82" t="s">
        <v>14</v>
      </c>
      <c r="L4" s="66" t="s">
        <v>14</v>
      </c>
      <c r="M4" s="66" t="s">
        <v>28</v>
      </c>
      <c r="N4" s="74" t="s">
        <v>28</v>
      </c>
      <c r="O4" s="74" t="s">
        <v>28</v>
      </c>
      <c r="P4" s="74" t="s">
        <v>28</v>
      </c>
      <c r="Q4" s="74" t="s">
        <v>28</v>
      </c>
      <c r="R4" s="70"/>
      <c r="S4" s="64" t="s">
        <v>14</v>
      </c>
      <c r="T4" s="67" t="s">
        <v>14</v>
      </c>
    </row>
    <row r="5" spans="1:20" ht="15" customHeight="1" x14ac:dyDescent="0.25">
      <c r="A5" s="34" t="s">
        <v>3</v>
      </c>
      <c r="B5" s="35"/>
      <c r="C5" s="17">
        <f>SUM(D5:T5)</f>
        <v>0</v>
      </c>
      <c r="D5" s="49">
        <f>COUNT(D14)</f>
        <v>0</v>
      </c>
      <c r="E5" s="87">
        <v>0</v>
      </c>
      <c r="F5" s="49">
        <v>0</v>
      </c>
      <c r="G5" s="41">
        <f>COUNT(G14)</f>
        <v>0</v>
      </c>
      <c r="H5" s="42">
        <v>0</v>
      </c>
      <c r="I5" s="43">
        <f t="shared" ref="I5:T5" si="0">COUNT(I14)</f>
        <v>0</v>
      </c>
      <c r="J5" s="79">
        <f t="shared" si="0"/>
        <v>0</v>
      </c>
      <c r="K5" s="83">
        <f t="shared" si="0"/>
        <v>0</v>
      </c>
      <c r="L5" s="41">
        <f t="shared" si="0"/>
        <v>0</v>
      </c>
      <c r="M5" s="41"/>
      <c r="N5" s="75"/>
      <c r="O5" s="75"/>
      <c r="P5" s="75"/>
      <c r="Q5" s="75"/>
      <c r="R5" s="71"/>
      <c r="S5" s="42">
        <f t="shared" si="0"/>
        <v>0</v>
      </c>
      <c r="T5" s="47">
        <f t="shared" si="0"/>
        <v>0</v>
      </c>
    </row>
    <row r="6" spans="1:20" ht="3.6" customHeight="1" x14ac:dyDescent="0.25">
      <c r="I6" s="6"/>
      <c r="J6" s="6"/>
    </row>
    <row r="7" spans="1:20" ht="19.899999999999999" customHeight="1" x14ac:dyDescent="0.25">
      <c r="A7" s="11" t="s">
        <v>29</v>
      </c>
      <c r="B7" s="12"/>
      <c r="C7" s="13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9.899999999999999" customHeight="1" x14ac:dyDescent="0.25">
      <c r="A8" s="11" t="s">
        <v>30</v>
      </c>
      <c r="B8" s="12"/>
      <c r="C8" s="13" t="s">
        <v>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19.899999999999999" customHeight="1" x14ac:dyDescent="0.25">
      <c r="A9" s="27" t="s">
        <v>10</v>
      </c>
      <c r="B9" s="28"/>
      <c r="C9" s="14" t="s">
        <v>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19.899999999999999" customHeight="1" x14ac:dyDescent="0.25">
      <c r="A10" s="27" t="s">
        <v>11</v>
      </c>
      <c r="B10" s="28"/>
      <c r="C10" s="14" t="s">
        <v>6</v>
      </c>
      <c r="D10" s="4">
        <v>3</v>
      </c>
      <c r="E10" s="4">
        <v>3</v>
      </c>
      <c r="F10" s="4">
        <v>3</v>
      </c>
      <c r="G10" s="4">
        <v>3</v>
      </c>
      <c r="H10" s="4">
        <v>3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3</v>
      </c>
      <c r="O10" s="4">
        <v>3</v>
      </c>
      <c r="P10" s="4">
        <v>3</v>
      </c>
      <c r="Q10" s="4">
        <v>3</v>
      </c>
      <c r="R10" s="4">
        <v>3</v>
      </c>
      <c r="S10" s="4">
        <v>3</v>
      </c>
      <c r="T10" s="4">
        <v>3</v>
      </c>
    </row>
    <row r="11" spans="1:20" ht="19.899999999999999" customHeight="1" x14ac:dyDescent="0.25">
      <c r="A11" s="27" t="s">
        <v>7</v>
      </c>
      <c r="B11" s="28"/>
      <c r="C11" s="33" t="s">
        <v>8</v>
      </c>
      <c r="D11" s="4" t="s">
        <v>23</v>
      </c>
      <c r="E11" s="4" t="s">
        <v>23</v>
      </c>
      <c r="F11" s="4" t="s">
        <v>23</v>
      </c>
      <c r="G11" s="4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  <c r="T11" s="4" t="s">
        <v>23</v>
      </c>
    </row>
    <row r="12" spans="1:20" s="6" customFormat="1" ht="14.25" customHeight="1" x14ac:dyDescent="0.25">
      <c r="A12" s="58" t="s">
        <v>20</v>
      </c>
      <c r="B12" s="58" t="s">
        <v>21</v>
      </c>
      <c r="C12" s="5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9.899999999999999" customHeight="1" x14ac:dyDescent="0.25">
      <c r="A13" s="27" t="s">
        <v>0</v>
      </c>
      <c r="B13" s="28"/>
      <c r="C13" s="33"/>
      <c r="D13" s="50">
        <v>0.66666666666666663</v>
      </c>
      <c r="E13" s="88">
        <v>0.375</v>
      </c>
      <c r="F13" s="50">
        <v>0.41666666666666669</v>
      </c>
      <c r="G13" s="46">
        <v>0.45833333333333331</v>
      </c>
      <c r="H13" s="45">
        <v>0.52083333333333337</v>
      </c>
      <c r="I13" s="51">
        <v>0.54166666666666663</v>
      </c>
      <c r="J13" s="80">
        <v>0.64583333333333337</v>
      </c>
      <c r="K13" s="84">
        <v>0.66666666666666663</v>
      </c>
      <c r="L13" s="46">
        <v>0.6875</v>
      </c>
      <c r="M13" s="46">
        <v>0.72916666666666663</v>
      </c>
      <c r="N13" s="76">
        <v>0.70833333333333337</v>
      </c>
      <c r="O13" s="76">
        <v>0.72916666666666663</v>
      </c>
      <c r="P13" s="76">
        <v>0.75</v>
      </c>
      <c r="Q13" s="76">
        <v>0.79166666666666663</v>
      </c>
      <c r="R13" s="72">
        <v>0.91666666666666663</v>
      </c>
      <c r="S13" s="45">
        <v>0.16666666666666666</v>
      </c>
      <c r="T13" s="48">
        <v>6.25E-2</v>
      </c>
    </row>
    <row r="14" spans="1:20" ht="19.899999999999999" customHeight="1" x14ac:dyDescent="0.25">
      <c r="A14" s="27" t="s">
        <v>32</v>
      </c>
      <c r="B14" s="28"/>
      <c r="C14" s="33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9.899999999999999" customHeight="1" x14ac:dyDescent="0.25">
      <c r="A15" s="27" t="s">
        <v>36</v>
      </c>
      <c r="B15" s="28"/>
      <c r="C15" s="33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" customHeight="1" x14ac:dyDescent="0.25">
      <c r="A16" s="16" t="s">
        <v>16</v>
      </c>
      <c r="B16" s="18">
        <f>COUNTIF(D16:M16,"&gt;0")</f>
        <v>0</v>
      </c>
      <c r="C16" s="15" t="e">
        <f>B16/C5</f>
        <v>#DIV/0!</v>
      </c>
      <c r="D16" s="20">
        <f t="shared" ref="D16:T16" si="1">D14-D13</f>
        <v>-0.66666666666666663</v>
      </c>
      <c r="E16" s="20">
        <f t="shared" si="1"/>
        <v>-0.375</v>
      </c>
      <c r="F16" s="20">
        <f t="shared" si="1"/>
        <v>-0.41666666666666669</v>
      </c>
      <c r="G16" s="20">
        <f t="shared" si="1"/>
        <v>-0.45833333333333331</v>
      </c>
      <c r="H16" s="20">
        <f t="shared" si="1"/>
        <v>-0.52083333333333337</v>
      </c>
      <c r="I16" s="20">
        <f t="shared" si="1"/>
        <v>-0.54166666666666663</v>
      </c>
      <c r="J16" s="20">
        <f t="shared" si="1"/>
        <v>-0.64583333333333337</v>
      </c>
      <c r="K16" s="20">
        <f t="shared" si="1"/>
        <v>-0.66666666666666663</v>
      </c>
      <c r="L16" s="20">
        <f t="shared" si="1"/>
        <v>-0.6875</v>
      </c>
      <c r="M16" s="20">
        <f t="shared" si="1"/>
        <v>-0.72916666666666663</v>
      </c>
      <c r="N16" s="20">
        <f t="shared" si="1"/>
        <v>-0.70833333333333337</v>
      </c>
      <c r="O16" s="20">
        <f t="shared" si="1"/>
        <v>-0.72916666666666663</v>
      </c>
      <c r="P16" s="20">
        <f t="shared" si="1"/>
        <v>-0.75</v>
      </c>
      <c r="Q16" s="20">
        <f t="shared" si="1"/>
        <v>-0.79166666666666663</v>
      </c>
      <c r="R16" s="20">
        <f t="shared" si="1"/>
        <v>-0.91666666666666663</v>
      </c>
      <c r="S16" s="20">
        <f t="shared" si="1"/>
        <v>-0.16666666666666666</v>
      </c>
      <c r="T16" s="20">
        <f t="shared" si="1"/>
        <v>-6.25E-2</v>
      </c>
    </row>
    <row r="17" spans="1:20" ht="52.9" customHeight="1" x14ac:dyDescent="0.25">
      <c r="A17" s="31" t="s">
        <v>34</v>
      </c>
      <c r="B17" s="32"/>
      <c r="C17" s="3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52.9" customHeight="1" x14ac:dyDescent="0.25">
      <c r="A18" s="52" t="s">
        <v>35</v>
      </c>
      <c r="B18" s="53"/>
      <c r="C18" s="5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9" t="s">
        <v>9</v>
      </c>
      <c r="B19" s="30"/>
      <c r="C19" s="17">
        <f>SUM(D19:T19)</f>
        <v>0</v>
      </c>
      <c r="D19" s="19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</row>
    <row r="20" spans="1:20" x14ac:dyDescent="0.25">
      <c r="C20" s="1"/>
    </row>
    <row r="21" spans="1:20" x14ac:dyDescent="0.25">
      <c r="C21" s="1"/>
    </row>
    <row r="22" spans="1:20" x14ac:dyDescent="0.25">
      <c r="C22" s="1"/>
    </row>
    <row r="23" spans="1:20" x14ac:dyDescent="0.25">
      <c r="C23" s="1"/>
    </row>
    <row r="24" spans="1:20" x14ac:dyDescent="0.25">
      <c r="C24" s="1"/>
    </row>
    <row r="25" spans="1:20" x14ac:dyDescent="0.25">
      <c r="C25" s="1"/>
    </row>
    <row r="26" spans="1:20" x14ac:dyDescent="0.25">
      <c r="C26" s="1"/>
    </row>
    <row r="27" spans="1:20" x14ac:dyDescent="0.25">
      <c r="C27" s="1"/>
    </row>
    <row r="28" spans="1:20" x14ac:dyDescent="0.25">
      <c r="C28" s="1"/>
    </row>
    <row r="29" spans="1:20" x14ac:dyDescent="0.25">
      <c r="C29" s="1"/>
    </row>
    <row r="30" spans="1:20" x14ac:dyDescent="0.25">
      <c r="C30" s="1"/>
    </row>
    <row r="31" spans="1:20" x14ac:dyDescent="0.25">
      <c r="C31" s="1"/>
    </row>
    <row r="32" spans="1:20" x14ac:dyDescent="0.25">
      <c r="C32" s="1"/>
    </row>
  </sheetData>
  <customSheetViews>
    <customSheetView guid="{AE556AAC-C1CB-4650-BC55-D888C94C12FA}" showPageBreaks="1" showGridLines="0" printArea="1">
      <pane xSplit="4" ySplit="7" topLeftCell="E8" activePane="bottomRight" state="frozen"/>
      <selection pane="bottomRight" activeCell="E3" sqref="E3:U20"/>
      <pageMargins left="0.25" right="0.25" top="0.75" bottom="0.75" header="0.3" footer="0.3"/>
      <pageSetup paperSize="9" orientation="portrait" r:id="rId1"/>
    </customSheetView>
    <customSheetView guid="{E1F0EABA-5105-43CC-8E07-85079A367209}" scale="75" showPageBreaks="1" showGridLines="0" printArea="1">
      <pane xSplit="4" ySplit="7" topLeftCell="E8" activePane="bottomRight" state="frozen"/>
      <selection pane="bottomRight" activeCell="P24" sqref="P24"/>
      <pageMargins left="0.25" right="0.25" top="0.75" bottom="0.75" header="0.3" footer="0.3"/>
      <pageSetup paperSize="9" orientation="portrait" r:id="rId2"/>
    </customSheetView>
    <customSheetView guid="{937051C1-F928-4CE1-90E6-4BD5AA5F0CA0}" scale="75" showPageBreaks="1" showGridLines="0" printArea="1">
      <pane xSplit="4" ySplit="7" topLeftCell="E8" activePane="bottomRight" state="frozen"/>
      <selection pane="bottomRight" activeCell="N3" sqref="N3"/>
      <pageMargins left="0.25" right="0.25" top="0.75" bottom="0.75" header="0.3" footer="0.3"/>
      <pageSetup paperSize="9" orientation="portrait" r:id="rId3"/>
    </customSheetView>
    <customSheetView guid="{D8A31FCA-0338-4FE6-B202-6F01AF887A7C}" scale="75" showGridLines="0">
      <pane xSplit="4" ySplit="7" topLeftCell="E8" activePane="bottomRight" state="frozen"/>
      <selection pane="bottomRight" activeCell="G13" sqref="G13"/>
      <pageMargins left="0.25" right="0.25" top="0.75" bottom="0.75" header="0.3" footer="0.3"/>
      <pageSetup paperSize="9" orientation="portrait" r:id="rId4"/>
    </customSheetView>
    <customSheetView guid="{FDAD6E8C-C6AF-4699-A337-B5A30AFE7C23}" showPageBreaks="1" showGridLines="0" printArea="1">
      <pane xSplit="4" ySplit="7" topLeftCell="E8" activePane="bottomRight" state="frozen"/>
      <selection pane="bottomRight" activeCell="M1" sqref="M1:M1048576"/>
      <pageMargins left="0.25" right="0.25" top="0.75" bottom="0.75" header="0.3" footer="0.3"/>
      <pageSetup paperSize="9" orientation="portrait" r:id="rId5"/>
    </customSheetView>
    <customSheetView guid="{56C6EF76-EDBC-4D28-BBAD-E202D7EB4BF2}" showPageBreaks="1" showGridLines="0" printArea="1">
      <pane xSplit="4" ySplit="7" topLeftCell="E8" activePane="bottomRight" state="frozen"/>
      <selection pane="bottomRight" activeCell="A13" sqref="A13"/>
      <pageMargins left="0.25" right="0.25" top="0.75" bottom="0.75" header="0.3" footer="0.3"/>
      <pageSetup paperSize="9" orientation="portrait" r:id="rId6"/>
    </customSheetView>
    <customSheetView guid="{874BD86F-8562-4C20-AEDD-66497496FA14}" showPageBreaks="1" showGridLines="0" printArea="1">
      <pane xSplit="4" ySplit="7" topLeftCell="R8" activePane="bottomRight" state="frozen"/>
      <selection pane="bottomRight" activeCell="AA13" sqref="AA13"/>
      <pageMargins left="0.25" right="0.25" top="0.75" bottom="0.75" header="0.3" footer="0.3"/>
      <pageSetup paperSize="9" orientation="portrait" r:id="rId7"/>
    </customSheetView>
    <customSheetView guid="{EBED728A-42DC-41FC-A46F-E83588C5D9C3}" showPageBreaks="1" showGridLines="0" printArea="1">
      <pane xSplit="4" ySplit="7" topLeftCell="E8" activePane="bottomRight" state="frozen"/>
      <selection pane="bottomRight" activeCell="B12" sqref="B12"/>
      <pageMargins left="0.25" right="0.25" top="0.75" bottom="0.75" header="0.3" footer="0.3"/>
      <pageSetup paperSize="9" orientation="portrait" r:id="rId8"/>
    </customSheetView>
    <customSheetView guid="{21FEB403-0AD4-4E43-ABA1-C03B0FA30C00}" showPageBreaks="1" showGridLines="0" printArea="1" hiddenColumns="1">
      <pane xSplit="4" ySplit="7" topLeftCell="J8" activePane="bottomRight" state="frozen"/>
      <selection pane="bottomRight" activeCell="T25" sqref="T25"/>
      <pageMargins left="0.25" right="0.25" top="0.75" bottom="0.75" header="0.3" footer="0.3"/>
      <pageSetup paperSize="9" orientation="portrait" r:id="rId9"/>
    </customSheetView>
    <customSheetView guid="{DDAFD65C-B89E-4C6A-AC5C-AE6F1F424E3A}" showPageBreaks="1" showGridLines="0" printArea="1">
      <pane xSplit="4" ySplit="7" topLeftCell="X8" activePane="bottomRight" state="frozen"/>
      <selection pane="bottomRight" activeCell="AF3" sqref="AF3"/>
      <pageMargins left="0.25" right="0.25" top="0.75" bottom="0.75" header="0.3" footer="0.3"/>
      <pageSetup paperSize="9" orientation="portrait" r:id="rId10"/>
    </customSheetView>
    <customSheetView guid="{36E52512-3EE3-4CC3-8A85-95E4740740EE}" showPageBreaks="1" showGridLines="0" printArea="1">
      <pane xSplit="4" ySplit="7" topLeftCell="K8" activePane="bottomRight" state="frozen"/>
      <selection pane="bottomRight" activeCell="B2" sqref="B2"/>
      <pageMargins left="0.25" right="0.25" top="0.75" bottom="0.75" header="0.3" footer="0.3"/>
      <pageSetup paperSize="9" orientation="portrait" r:id="rId11"/>
    </customSheetView>
    <customSheetView guid="{AB3B1E7B-5893-4A96-8A5A-BC4EAAD6D0C6}" showPageBreaks="1" showGridLines="0" printArea="1">
      <pane xSplit="4" ySplit="6" topLeftCell="E7" activePane="bottomRight" state="frozen"/>
      <selection pane="bottomRight" activeCell="E7" sqref="E7"/>
      <pageMargins left="0.25" right="0.25" top="0.75" bottom="0.75" header="0.3" footer="0.3"/>
      <pageSetup paperSize="9" orientation="portrait" r:id="rId12"/>
    </customSheetView>
    <customSheetView guid="{64E48CFE-DF1A-4AED-8A67-A77739A758B8}" scale="75" showPageBreaks="1" showGridLines="0" printArea="1">
      <pane xSplit="4" ySplit="7" topLeftCell="E8" activePane="bottomRight" state="frozen"/>
      <selection pane="bottomRight" activeCell="E7" sqref="E7"/>
      <pageMargins left="0.25" right="0.25" top="0.75" bottom="0.75" header="0.3" footer="0.3"/>
      <pageSetup paperSize="9" orientation="portrait" r:id="rId13"/>
    </customSheetView>
    <customSheetView guid="{5B62A984-2C2E-4C53-8256-48A393D80845}" scale="75" showPageBreaks="1" showGridLines="0" printArea="1">
      <pane xSplit="4" ySplit="7" topLeftCell="E8" activePane="bottomRight" state="frozen"/>
      <selection pane="bottomRight" activeCell="P14" sqref="P14"/>
      <pageMargins left="0.25" right="0.25" top="0.75" bottom="0.75" header="0.3" footer="0.3"/>
      <pageSetup paperSize="9" orientation="portrait" r:id="rId14"/>
    </customSheetView>
    <customSheetView guid="{7DED5FBD-5FFD-49FF-9218-D92A4805A00B}" scale="75" showPageBreaks="1" showGridLines="0" printArea="1">
      <pane xSplit="4" ySplit="7" topLeftCell="E8" activePane="bottomRight" state="frozen"/>
      <selection pane="bottomRight" activeCell="E3" sqref="E3:T5"/>
      <pageMargins left="0.25" right="0.25" top="0.75" bottom="0.75" header="0.3" footer="0.3"/>
      <pageSetup paperSize="9" orientation="portrait" r:id="rId15"/>
    </customSheetView>
    <customSheetView guid="{A37ED6A4-E892-4495-BA3F-35C26C7337C1}" scale="75" showGridLines="0" printArea="1">
      <pane xSplit="4" ySplit="7" topLeftCell="E8" activePane="bottomRight" state="frozen"/>
      <selection pane="bottomRight" activeCell="N1" sqref="N1:N1048576"/>
      <pageMargins left="0.25" right="0.25" top="0.75" bottom="0.75" header="0.3" footer="0.3"/>
      <pageSetup paperSize="9" orientation="portrait" r:id="rId16"/>
    </customSheetView>
    <customSheetView guid="{F7C2F952-D051-47AE-9460-68ACA77D3540}" scale="75" showGridLines="0" printArea="1">
      <pane xSplit="4" ySplit="7" topLeftCell="E8" activePane="bottomRight" state="frozen"/>
      <selection pane="bottomRight" activeCell="N1" sqref="N1:S1048576"/>
      <pageMargins left="0.25" right="0.25" top="0.75" bottom="0.75" header="0.3" footer="0.3"/>
      <pageSetup paperSize="9" orientation="portrait" r:id="rId17"/>
    </customSheetView>
    <customSheetView guid="{AEDB124E-3FA4-4F6C-9C8E-B2303E639C5E}" showPageBreaks="1" showGridLines="0" printArea="1" hiddenColumns="1">
      <pane xSplit="3" ySplit="7" topLeftCell="E8" activePane="bottomRight" state="frozen"/>
      <selection pane="bottomRight" activeCell="E1" sqref="E1:W1048576"/>
      <pageMargins left="0.25" right="0.25" top="0.75" bottom="0.75" header="0.3" footer="0.3"/>
      <pageSetup paperSize="9" orientation="portrait" r:id="rId18"/>
    </customSheetView>
  </customSheetViews>
  <conditionalFormatting sqref="E16:G16 I16:R16">
    <cfRule type="cellIs" dxfId="17" priority="1" operator="lessThan">
      <formula>0</formula>
    </cfRule>
    <cfRule type="cellIs" dxfId="16" priority="2" operator="equal">
      <formula>0</formula>
    </cfRule>
    <cfRule type="cellIs" dxfId="15" priority="3" operator="greaterThanOrEqual">
      <formula>0.000694444444444444</formula>
    </cfRule>
  </conditionalFormatting>
  <pageMargins left="0.25" right="0.25" top="0.75" bottom="0.75" header="0.3" footer="0.3"/>
  <pageSetup paperSize="9" orientation="portrait" r:id="rId1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1"/>
  <sheetViews>
    <sheetView showGridLines="0" zoomScaleNormal="75" workbookViewId="0">
      <pane xSplit="4" ySplit="7" topLeftCell="E8" activePane="bottomRight" state="frozen"/>
      <selection pane="topRight" activeCell="E1" sqref="E1"/>
      <selection pane="bottomLeft" activeCell="A8" sqref="A8"/>
      <selection pane="bottomRight" sqref="A1:A2"/>
    </sheetView>
  </sheetViews>
  <sheetFormatPr defaultColWidth="8.85546875" defaultRowHeight="15" x14ac:dyDescent="0.25"/>
  <cols>
    <col min="1" max="1" width="19.7109375" style="1" customWidth="1"/>
    <col min="2" max="2" width="15.140625" style="1" customWidth="1"/>
    <col min="3" max="3" width="8.5703125" style="2" customWidth="1"/>
    <col min="4" max="4" width="12.28515625" style="1" hidden="1" customWidth="1"/>
    <col min="5" max="7" width="12.140625" style="1" customWidth="1"/>
    <col min="8" max="21" width="12.85546875" style="1" customWidth="1"/>
    <col min="22" max="16384" width="8.85546875" style="1"/>
  </cols>
  <sheetData>
    <row r="1" spans="1:21" ht="15" customHeight="1" x14ac:dyDescent="0.25">
      <c r="A1" s="100" t="s">
        <v>4</v>
      </c>
      <c r="B1" s="8" t="s">
        <v>5</v>
      </c>
      <c r="C1" s="23" t="s">
        <v>1</v>
      </c>
      <c r="D1" s="55"/>
      <c r="E1" s="55"/>
      <c r="F1" s="55"/>
      <c r="G1" s="55"/>
      <c r="H1" s="36"/>
      <c r="J1" s="37"/>
      <c r="L1" s="37"/>
      <c r="M1" s="37"/>
      <c r="N1" s="37"/>
      <c r="O1" s="37"/>
      <c r="P1" s="37"/>
      <c r="Q1" s="37"/>
      <c r="R1" s="37"/>
      <c r="S1" s="37"/>
      <c r="T1" s="37"/>
      <c r="U1" s="36"/>
    </row>
    <row r="2" spans="1:21" ht="17.25" customHeight="1" x14ac:dyDescent="0.25">
      <c r="A2" s="99">
        <f ca="1">Maandag!A2+3</f>
        <v>46136</v>
      </c>
      <c r="B2" s="8">
        <f ca="1">WEEKNUM(A2)</f>
        <v>17</v>
      </c>
      <c r="C2" s="24"/>
      <c r="D2" s="37"/>
      <c r="E2" s="37"/>
      <c r="F2" s="37"/>
      <c r="G2" s="37"/>
      <c r="H2" s="38"/>
      <c r="J2" s="39"/>
      <c r="L2" s="39"/>
      <c r="M2" s="39"/>
      <c r="N2" s="39"/>
      <c r="O2" s="39"/>
      <c r="P2" s="39"/>
      <c r="Q2" s="39"/>
      <c r="R2" s="39"/>
      <c r="S2" s="39"/>
      <c r="T2" s="39"/>
      <c r="U2" s="38"/>
    </row>
    <row r="3" spans="1:21" ht="45.75" customHeight="1" x14ac:dyDescent="0.25">
      <c r="A3" s="21" t="s">
        <v>12</v>
      </c>
      <c r="B3" s="22"/>
      <c r="C3" s="9"/>
      <c r="D3" s="57" t="s">
        <v>25</v>
      </c>
      <c r="E3" s="85" t="s">
        <v>44</v>
      </c>
      <c r="F3" s="57" t="s">
        <v>43</v>
      </c>
      <c r="G3" s="56" t="s">
        <v>26</v>
      </c>
      <c r="H3" s="60" t="s">
        <v>22</v>
      </c>
      <c r="I3" s="61" t="s">
        <v>18</v>
      </c>
      <c r="J3" s="77" t="s">
        <v>39</v>
      </c>
      <c r="K3" s="81" t="s">
        <v>42</v>
      </c>
      <c r="L3" s="56" t="s">
        <v>19</v>
      </c>
      <c r="M3" s="56" t="s">
        <v>27</v>
      </c>
      <c r="N3" s="73" t="s">
        <v>45</v>
      </c>
      <c r="O3" s="73" t="s">
        <v>45</v>
      </c>
      <c r="P3" s="73" t="s">
        <v>45</v>
      </c>
      <c r="Q3" s="73" t="s">
        <v>45</v>
      </c>
      <c r="R3" s="69" t="s">
        <v>48</v>
      </c>
      <c r="S3" s="60" t="s">
        <v>15</v>
      </c>
      <c r="T3" s="62" t="s">
        <v>17</v>
      </c>
      <c r="U3" s="89" t="s">
        <v>37</v>
      </c>
    </row>
    <row r="4" spans="1:21" ht="18" customHeight="1" x14ac:dyDescent="0.25">
      <c r="A4" s="25" t="s">
        <v>13</v>
      </c>
      <c r="B4" s="26"/>
      <c r="C4" s="10"/>
      <c r="D4" s="68" t="s">
        <v>14</v>
      </c>
      <c r="E4" s="86" t="s">
        <v>14</v>
      </c>
      <c r="F4" s="68" t="s">
        <v>14</v>
      </c>
      <c r="G4" s="63" t="s">
        <v>14</v>
      </c>
      <c r="H4" s="64" t="s">
        <v>14</v>
      </c>
      <c r="I4" s="65" t="s">
        <v>14</v>
      </c>
      <c r="J4" s="78" t="s">
        <v>14</v>
      </c>
      <c r="K4" s="82" t="s">
        <v>14</v>
      </c>
      <c r="L4" s="66" t="s">
        <v>14</v>
      </c>
      <c r="M4" s="66" t="s">
        <v>28</v>
      </c>
      <c r="N4" s="74" t="s">
        <v>28</v>
      </c>
      <c r="O4" s="74" t="s">
        <v>28</v>
      </c>
      <c r="P4" s="74" t="s">
        <v>28</v>
      </c>
      <c r="Q4" s="74" t="s">
        <v>28</v>
      </c>
      <c r="R4" s="70"/>
      <c r="S4" s="64" t="s">
        <v>14</v>
      </c>
      <c r="T4" s="67" t="s">
        <v>14</v>
      </c>
      <c r="U4" s="90" t="s">
        <v>24</v>
      </c>
    </row>
    <row r="5" spans="1:21" ht="15" customHeight="1" x14ac:dyDescent="0.25">
      <c r="A5" s="34" t="s">
        <v>3</v>
      </c>
      <c r="B5" s="35"/>
      <c r="C5" s="17">
        <f>SUM(D5:U5)</f>
        <v>0</v>
      </c>
      <c r="D5" s="49">
        <f>COUNT(D14)</f>
        <v>0</v>
      </c>
      <c r="E5" s="87">
        <v>0</v>
      </c>
      <c r="F5" s="49">
        <v>0</v>
      </c>
      <c r="G5" s="41">
        <f>COUNT(G14)</f>
        <v>0</v>
      </c>
      <c r="H5" s="42">
        <v>0</v>
      </c>
      <c r="I5" s="43">
        <f t="shared" ref="I5:T5" si="0">COUNT(I14)</f>
        <v>0</v>
      </c>
      <c r="J5" s="79">
        <f t="shared" si="0"/>
        <v>0</v>
      </c>
      <c r="K5" s="83">
        <f t="shared" si="0"/>
        <v>0</v>
      </c>
      <c r="L5" s="41">
        <f t="shared" si="0"/>
        <v>0</v>
      </c>
      <c r="M5" s="41"/>
      <c r="N5" s="75"/>
      <c r="O5" s="75"/>
      <c r="P5" s="75"/>
      <c r="Q5" s="75"/>
      <c r="R5" s="71"/>
      <c r="S5" s="42">
        <f t="shared" si="0"/>
        <v>0</v>
      </c>
      <c r="T5" s="47">
        <f t="shared" si="0"/>
        <v>0</v>
      </c>
      <c r="U5" s="91">
        <v>0</v>
      </c>
    </row>
    <row r="6" spans="1:21" ht="3.6" customHeight="1" x14ac:dyDescent="0.25">
      <c r="I6" s="6"/>
      <c r="J6" s="6"/>
    </row>
    <row r="7" spans="1:21" ht="19.899999999999999" customHeight="1" x14ac:dyDescent="0.25">
      <c r="A7" s="11" t="s">
        <v>29</v>
      </c>
      <c r="B7" s="12"/>
      <c r="C7" s="13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9.899999999999999" customHeight="1" x14ac:dyDescent="0.25">
      <c r="A8" s="11" t="s">
        <v>30</v>
      </c>
      <c r="B8" s="12"/>
      <c r="C8" s="13" t="s">
        <v>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9.899999999999999" customHeight="1" x14ac:dyDescent="0.25">
      <c r="A9" s="27" t="s">
        <v>10</v>
      </c>
      <c r="B9" s="28"/>
      <c r="C9" s="14" t="s">
        <v>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9.899999999999999" customHeight="1" x14ac:dyDescent="0.25">
      <c r="A10" s="27" t="s">
        <v>11</v>
      </c>
      <c r="B10" s="28"/>
      <c r="C10" s="14" t="s">
        <v>6</v>
      </c>
      <c r="D10" s="4">
        <v>3</v>
      </c>
      <c r="E10" s="4">
        <v>3</v>
      </c>
      <c r="F10" s="4">
        <v>3</v>
      </c>
      <c r="G10" s="4">
        <v>3</v>
      </c>
      <c r="H10" s="4">
        <v>3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3</v>
      </c>
      <c r="O10" s="4">
        <v>3</v>
      </c>
      <c r="P10" s="4">
        <v>3</v>
      </c>
      <c r="Q10" s="4">
        <v>3</v>
      </c>
      <c r="R10" s="4">
        <v>3</v>
      </c>
      <c r="S10" s="4">
        <v>3</v>
      </c>
      <c r="T10" s="4">
        <v>3</v>
      </c>
      <c r="U10" s="4">
        <v>3</v>
      </c>
    </row>
    <row r="11" spans="1:21" ht="19.899999999999999" customHeight="1" x14ac:dyDescent="0.25">
      <c r="A11" s="27" t="s">
        <v>7</v>
      </c>
      <c r="B11" s="28"/>
      <c r="C11" s="33" t="s">
        <v>8</v>
      </c>
      <c r="D11" s="4" t="s">
        <v>23</v>
      </c>
      <c r="E11" s="4" t="s">
        <v>23</v>
      </c>
      <c r="F11" s="4" t="s">
        <v>23</v>
      </c>
      <c r="G11" s="4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  <c r="T11" s="4" t="s">
        <v>23</v>
      </c>
      <c r="U11" s="4" t="s">
        <v>23</v>
      </c>
    </row>
    <row r="12" spans="1:21" s="6" customFormat="1" ht="14.25" customHeight="1" x14ac:dyDescent="0.25">
      <c r="A12" s="58" t="s">
        <v>20</v>
      </c>
      <c r="B12" s="58" t="s">
        <v>21</v>
      </c>
      <c r="C12" s="5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9.899999999999999" customHeight="1" x14ac:dyDescent="0.25">
      <c r="A13" s="27" t="s">
        <v>0</v>
      </c>
      <c r="B13" s="28"/>
      <c r="C13" s="33"/>
      <c r="D13" s="50">
        <v>0.66666666666666663</v>
      </c>
      <c r="E13" s="88">
        <v>0.375</v>
      </c>
      <c r="F13" s="50">
        <v>0.41666666666666669</v>
      </c>
      <c r="G13" s="46">
        <v>0.45833333333333331</v>
      </c>
      <c r="H13" s="45">
        <v>0.52083333333333337</v>
      </c>
      <c r="I13" s="51">
        <v>0.54166666666666663</v>
      </c>
      <c r="J13" s="80">
        <v>0.64583333333333337</v>
      </c>
      <c r="K13" s="84">
        <v>0.66666666666666663</v>
      </c>
      <c r="L13" s="46">
        <v>0.6875</v>
      </c>
      <c r="M13" s="46">
        <v>0.72916666666666663</v>
      </c>
      <c r="N13" s="76">
        <v>0.70833333333333337</v>
      </c>
      <c r="O13" s="76">
        <v>0.72916666666666663</v>
      </c>
      <c r="P13" s="76">
        <v>0.75</v>
      </c>
      <c r="Q13" s="76">
        <v>0.79166666666666663</v>
      </c>
      <c r="R13" s="72">
        <v>0.91666666666666663</v>
      </c>
      <c r="S13" s="45">
        <v>0.16666666666666666</v>
      </c>
      <c r="T13" s="48">
        <v>6.25E-2</v>
      </c>
      <c r="U13" s="92">
        <v>0.125</v>
      </c>
    </row>
    <row r="14" spans="1:21" ht="19.899999999999999" customHeight="1" x14ac:dyDescent="0.25">
      <c r="A14" s="27" t="s">
        <v>32</v>
      </c>
      <c r="B14" s="28"/>
      <c r="C14" s="33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9.899999999999999" customHeight="1" x14ac:dyDescent="0.25">
      <c r="A15" s="27" t="s">
        <v>36</v>
      </c>
      <c r="B15" s="28"/>
      <c r="C15" s="33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5" customHeight="1" x14ac:dyDescent="0.25">
      <c r="A16" s="16" t="s">
        <v>16</v>
      </c>
      <c r="B16" s="18">
        <f>COUNTIF(D16:M16,"&gt;0")</f>
        <v>0</v>
      </c>
      <c r="C16" s="15" t="e">
        <f>B16/C5</f>
        <v>#DIV/0!</v>
      </c>
      <c r="D16" s="20">
        <f t="shared" ref="D16:U16" si="1">D14-D13</f>
        <v>-0.66666666666666663</v>
      </c>
      <c r="E16" s="20">
        <f t="shared" si="1"/>
        <v>-0.375</v>
      </c>
      <c r="F16" s="20">
        <f t="shared" si="1"/>
        <v>-0.41666666666666669</v>
      </c>
      <c r="G16" s="20">
        <f t="shared" si="1"/>
        <v>-0.45833333333333331</v>
      </c>
      <c r="H16" s="20">
        <f t="shared" si="1"/>
        <v>-0.52083333333333337</v>
      </c>
      <c r="I16" s="20">
        <f t="shared" si="1"/>
        <v>-0.54166666666666663</v>
      </c>
      <c r="J16" s="20">
        <f t="shared" si="1"/>
        <v>-0.64583333333333337</v>
      </c>
      <c r="K16" s="20">
        <f t="shared" si="1"/>
        <v>-0.66666666666666663</v>
      </c>
      <c r="L16" s="20">
        <f t="shared" si="1"/>
        <v>-0.6875</v>
      </c>
      <c r="M16" s="20">
        <f t="shared" si="1"/>
        <v>-0.72916666666666663</v>
      </c>
      <c r="N16" s="20">
        <f t="shared" si="1"/>
        <v>-0.70833333333333337</v>
      </c>
      <c r="O16" s="20">
        <f t="shared" si="1"/>
        <v>-0.72916666666666663</v>
      </c>
      <c r="P16" s="20">
        <f t="shared" si="1"/>
        <v>-0.75</v>
      </c>
      <c r="Q16" s="20">
        <f t="shared" si="1"/>
        <v>-0.79166666666666663</v>
      </c>
      <c r="R16" s="20">
        <f t="shared" si="1"/>
        <v>-0.91666666666666663</v>
      </c>
      <c r="S16" s="20">
        <f t="shared" si="1"/>
        <v>-0.16666666666666666</v>
      </c>
      <c r="T16" s="20">
        <f t="shared" si="1"/>
        <v>-6.25E-2</v>
      </c>
      <c r="U16" s="20">
        <f t="shared" si="1"/>
        <v>-0.125</v>
      </c>
    </row>
    <row r="17" spans="1:21" ht="52.9" customHeight="1" x14ac:dyDescent="0.25">
      <c r="A17" s="31" t="s">
        <v>34</v>
      </c>
      <c r="B17" s="32"/>
      <c r="C17" s="33"/>
      <c r="D17" s="3" t="s">
        <v>38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52.9" customHeight="1" x14ac:dyDescent="0.25">
      <c r="A18" s="52" t="s">
        <v>35</v>
      </c>
      <c r="B18" s="53"/>
      <c r="C18" s="54"/>
      <c r="D18" s="3" t="s">
        <v>38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9" t="s">
        <v>9</v>
      </c>
      <c r="B19" s="30"/>
      <c r="C19" s="17">
        <f>SUM(D19:U19)</f>
        <v>0</v>
      </c>
      <c r="D19" s="19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</row>
    <row r="20" spans="1:21" x14ac:dyDescent="0.25">
      <c r="C20" s="1"/>
    </row>
    <row r="21" spans="1:21" x14ac:dyDescent="0.25">
      <c r="C21" s="1"/>
    </row>
    <row r="22" spans="1:21" x14ac:dyDescent="0.25">
      <c r="C22" s="1"/>
    </row>
    <row r="23" spans="1:21" x14ac:dyDescent="0.25">
      <c r="C23" s="1"/>
    </row>
    <row r="24" spans="1:21" x14ac:dyDescent="0.25">
      <c r="C24" s="1"/>
    </row>
    <row r="25" spans="1:21" x14ac:dyDescent="0.25">
      <c r="C25" s="1"/>
    </row>
    <row r="26" spans="1:21" x14ac:dyDescent="0.25">
      <c r="C26" s="1"/>
    </row>
    <row r="27" spans="1:21" x14ac:dyDescent="0.25">
      <c r="C27" s="1"/>
    </row>
    <row r="28" spans="1:21" x14ac:dyDescent="0.25">
      <c r="C28" s="1"/>
    </row>
    <row r="29" spans="1:21" x14ac:dyDescent="0.25">
      <c r="C29" s="1"/>
    </row>
    <row r="30" spans="1:21" x14ac:dyDescent="0.25">
      <c r="C30" s="1"/>
    </row>
    <row r="31" spans="1:21" x14ac:dyDescent="0.25">
      <c r="C31" s="1"/>
    </row>
  </sheetData>
  <customSheetViews>
    <customSheetView guid="{AE556AAC-C1CB-4650-BC55-D888C94C12FA}" showPageBreaks="1" showGridLines="0" printArea="1">
      <pane xSplit="4" ySplit="7" topLeftCell="E8" activePane="bottomRight" state="frozen"/>
      <selection pane="bottomRight" activeCell="E3" sqref="E3:U20"/>
      <pageMargins left="0.25" right="0.25" top="0.75" bottom="0.75" header="0.3" footer="0.3"/>
      <pageSetup paperSize="9" orientation="portrait" r:id="rId1"/>
    </customSheetView>
    <customSheetView guid="{E1F0EABA-5105-43CC-8E07-85079A367209}" scale="75" showPageBreaks="1" showGridLines="0" printArea="1">
      <pane xSplit="4" ySplit="7" topLeftCell="E8" activePane="bottomRight" state="frozen"/>
      <selection pane="bottomRight" activeCell="S1" sqref="S1:S1048576"/>
      <pageMargins left="0.25" right="0.25" top="0.75" bottom="0.75" header="0.3" footer="0.3"/>
      <pageSetup paperSize="9" orientation="portrait" r:id="rId2"/>
    </customSheetView>
    <customSheetView guid="{937051C1-F928-4CE1-90E6-4BD5AA5F0CA0}" scale="75" showPageBreaks="1" showGridLines="0" printArea="1">
      <pane xSplit="4" ySplit="7" topLeftCell="E8" activePane="bottomRight" state="frozen"/>
      <selection pane="bottomRight" activeCell="E7" sqref="E7"/>
      <pageMargins left="0.25" right="0.25" top="0.75" bottom="0.75" header="0.3" footer="0.3"/>
      <pageSetup paperSize="9" orientation="portrait" r:id="rId3"/>
    </customSheetView>
    <customSheetView guid="{D8A31FCA-0338-4FE6-B202-6F01AF887A7C}" scale="75" showGridLines="0">
      <pane xSplit="4" ySplit="7" topLeftCell="E8" activePane="bottomRight" state="frozen"/>
      <selection pane="bottomRight" activeCell="G13" sqref="G13"/>
      <pageMargins left="0.25" right="0.25" top="0.75" bottom="0.75" header="0.3" footer="0.3"/>
      <pageSetup paperSize="9" orientation="portrait" r:id="rId4"/>
    </customSheetView>
    <customSheetView guid="{FDAD6E8C-C6AF-4699-A337-B5A30AFE7C23}" showPageBreaks="1" showGridLines="0" printArea="1">
      <pane xSplit="4" ySplit="7" topLeftCell="E8" activePane="bottomRight" state="frozen"/>
      <selection pane="bottomRight" activeCell="M1" sqref="M1:M1048576"/>
      <pageMargins left="0.25" right="0.25" top="0.75" bottom="0.75" header="0.3" footer="0.3"/>
      <pageSetup paperSize="9" orientation="portrait" r:id="rId5"/>
    </customSheetView>
    <customSheetView guid="{56C6EF76-EDBC-4D28-BBAD-E202D7EB4BF2}" showPageBreaks="1" showGridLines="0" printArea="1">
      <pane xSplit="4" ySplit="7" topLeftCell="E8" activePane="bottomRight" state="frozen"/>
      <selection pane="bottomRight" activeCell="B24" sqref="B24"/>
      <pageMargins left="0.25" right="0.25" top="0.75" bottom="0.75" header="0.3" footer="0.3"/>
      <pageSetup paperSize="9" orientation="portrait" r:id="rId6"/>
    </customSheetView>
    <customSheetView guid="{874BD86F-8562-4C20-AEDD-66497496FA14}" showPageBreaks="1" showGridLines="0" printArea="1">
      <pane xSplit="4" ySplit="7" topLeftCell="T8" activePane="bottomRight" state="frozen"/>
      <selection pane="bottomRight" activeCell="AA13" sqref="AA13"/>
      <pageMargins left="0.25" right="0.25" top="0.75" bottom="0.75" header="0.3" footer="0.3"/>
      <pageSetup paperSize="9" orientation="portrait" r:id="rId7"/>
    </customSheetView>
    <customSheetView guid="{EBED728A-42DC-41FC-A46F-E83588C5D9C3}" showPageBreaks="1" showGridLines="0" printArea="1">
      <pane xSplit="4" ySplit="7" topLeftCell="E8" activePane="bottomRight" state="frozen"/>
      <selection pane="bottomRight" sqref="A1:XFD1048576"/>
      <pageMargins left="0.25" right="0.25" top="0.75" bottom="0.75" header="0.3" footer="0.3"/>
      <pageSetup paperSize="9" orientation="portrait" r:id="rId8"/>
    </customSheetView>
    <customSheetView guid="{21FEB403-0AD4-4E43-ABA1-C03B0FA30C00}" showPageBreaks="1" showGridLines="0" printArea="1" hiddenColumns="1">
      <pane xSplit="4" ySplit="7" topLeftCell="H8" activePane="bottomRight" state="frozen"/>
      <selection pane="bottomRight" activeCell="R14" sqref="R14"/>
      <pageMargins left="0.25" right="0.25" top="0.75" bottom="0.75" header="0.3" footer="0.3"/>
      <pageSetup paperSize="9" orientation="portrait" r:id="rId9"/>
    </customSheetView>
    <customSheetView guid="{DDAFD65C-B89E-4C6A-AC5C-AE6F1F424E3A}" showPageBreaks="1" showGridLines="0" printArea="1" hiddenColumns="1">
      <pane xSplit="4" ySplit="6" topLeftCell="T7" activePane="bottomRight" state="frozen"/>
      <selection pane="bottomRight" activeCell="AE3" sqref="AE3"/>
      <pageMargins left="0.25" right="0.25" top="0.75" bottom="0.75" header="0.3" footer="0.3"/>
      <pageSetup paperSize="9" orientation="portrait" r:id="rId10"/>
    </customSheetView>
    <customSheetView guid="{36E52512-3EE3-4CC3-8A85-95E4740740EE}" showPageBreaks="1" showGridLines="0" printArea="1">
      <pane xSplit="4" ySplit="7" topLeftCell="L8" activePane="bottomRight" state="frozen"/>
      <selection pane="bottomRight" activeCell="S13" sqref="S13:U13"/>
      <pageMargins left="0.25" right="0.25" top="0.75" bottom="0.75" header="0.3" footer="0.3"/>
      <pageSetup paperSize="9" orientation="portrait" r:id="rId11"/>
    </customSheetView>
    <customSheetView guid="{AB3B1E7B-5893-4A96-8A5A-BC4EAAD6D0C6}" showPageBreaks="1" showGridLines="0" printArea="1">
      <pane xSplit="4" ySplit="7" topLeftCell="E8" activePane="bottomRight" state="frozen"/>
      <selection pane="bottomRight" activeCell="E7" sqref="E7"/>
      <pageMargins left="0.25" right="0.25" top="0.75" bottom="0.75" header="0.3" footer="0.3"/>
      <pageSetup paperSize="9" orientation="portrait" r:id="rId12"/>
    </customSheetView>
    <customSheetView guid="{64E48CFE-DF1A-4AED-8A67-A77739A758B8}" scale="75" showPageBreaks="1" showGridLines="0" printArea="1">
      <pane xSplit="4" ySplit="7" topLeftCell="F8" activePane="bottomRight" state="frozen"/>
      <selection pane="bottomRight" activeCell="F7" sqref="F7"/>
      <pageMargins left="0.25" right="0.25" top="0.75" bottom="0.75" header="0.3" footer="0.3"/>
      <pageSetup paperSize="9" orientation="portrait" r:id="rId13"/>
    </customSheetView>
    <customSheetView guid="{5B62A984-2C2E-4C53-8256-48A393D80845}" scale="75" showPageBreaks="1" showGridLines="0" printArea="1">
      <pane xSplit="4" ySplit="7" topLeftCell="E8" activePane="bottomRight" state="frozen"/>
      <selection pane="bottomRight" activeCell="O19" sqref="O19"/>
      <pageMargins left="0.25" right="0.25" top="0.75" bottom="0.75" header="0.3" footer="0.3"/>
      <pageSetup paperSize="9" orientation="portrait" r:id="rId14"/>
    </customSheetView>
    <customSheetView guid="{7DED5FBD-5FFD-49FF-9218-D92A4805A00B}" scale="75" showPageBreaks="1" showGridLines="0" printArea="1">
      <pane xSplit="4" ySplit="7" topLeftCell="E8" activePane="bottomRight" state="frozen"/>
      <selection pane="bottomRight" activeCell="E3" sqref="E3:V5"/>
      <pageMargins left="0.25" right="0.25" top="0.75" bottom="0.75" header="0.3" footer="0.3"/>
      <pageSetup paperSize="9" orientation="portrait" r:id="rId15"/>
    </customSheetView>
    <customSheetView guid="{A37ED6A4-E892-4495-BA3F-35C26C7337C1}" scale="75" showGridLines="0" printArea="1">
      <pane xSplit="4" ySplit="7" topLeftCell="E8" activePane="bottomRight" state="frozen"/>
      <selection pane="bottomRight" activeCell="O1" sqref="O1:O1048576"/>
      <pageMargins left="0.25" right="0.25" top="0.75" bottom="0.75" header="0.3" footer="0.3"/>
      <pageSetup paperSize="9" orientation="portrait" r:id="rId16"/>
    </customSheetView>
    <customSheetView guid="{F7C2F952-D051-47AE-9460-68ACA77D3540}" scale="75" showGridLines="0" printArea="1">
      <pane xSplit="4" ySplit="7" topLeftCell="E8" activePane="bottomRight" state="frozen"/>
      <selection pane="bottomRight" activeCell="N1" sqref="N1:S1048576"/>
      <pageMargins left="0.25" right="0.25" top="0.75" bottom="0.75" header="0.3" footer="0.3"/>
      <pageSetup paperSize="9" orientation="portrait" r:id="rId17"/>
    </customSheetView>
    <customSheetView guid="{AEDB124E-3FA4-4F6C-9C8E-B2303E639C5E}" showPageBreaks="1" showGridLines="0" printArea="1" hiddenColumns="1">
      <pane xSplit="3" ySplit="7" topLeftCell="E8" activePane="bottomRight" state="frozen"/>
      <selection pane="bottomRight" activeCell="E1" sqref="E1:W1048576"/>
      <pageMargins left="0.25" right="0.25" top="0.75" bottom="0.75" header="0.3" footer="0.3"/>
      <pageSetup paperSize="9" orientation="portrait" r:id="rId18"/>
    </customSheetView>
  </customSheetViews>
  <conditionalFormatting sqref="D16:G16 I16:R16">
    <cfRule type="cellIs" dxfId="14" priority="1" operator="lessThan">
      <formula>0</formula>
    </cfRule>
    <cfRule type="cellIs" dxfId="13" priority="2" operator="equal">
      <formula>0</formula>
    </cfRule>
    <cfRule type="cellIs" dxfId="12" priority="3" operator="greaterThanOrEqual">
      <formula>0.000694444444444444</formula>
    </cfRule>
  </conditionalFormatting>
  <pageMargins left="0.25" right="0.25" top="0.75" bottom="0.75" header="0.3" footer="0.3"/>
  <pageSetup paperSize="9" orientation="portrait" r:id="rId1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4"/>
  <sheetViews>
    <sheetView showGridLines="0" zoomScaleNormal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2"/>
    </sheetView>
  </sheetViews>
  <sheetFormatPr defaultColWidth="8.85546875" defaultRowHeight="15" x14ac:dyDescent="0.25"/>
  <cols>
    <col min="1" max="1" width="19.7109375" style="1" customWidth="1"/>
    <col min="2" max="2" width="15.140625" style="1" customWidth="1"/>
    <col min="3" max="3" width="8.5703125" style="2" customWidth="1"/>
    <col min="4" max="4" width="0.140625" style="1" customWidth="1"/>
    <col min="5" max="20" width="13" style="1" customWidth="1"/>
    <col min="21" max="16384" width="8.85546875" style="1"/>
  </cols>
  <sheetData>
    <row r="1" spans="1:20" ht="15" customHeight="1" x14ac:dyDescent="0.25">
      <c r="A1" s="100" t="s">
        <v>4</v>
      </c>
      <c r="B1" s="8" t="s">
        <v>5</v>
      </c>
      <c r="C1" s="23" t="s">
        <v>1</v>
      </c>
      <c r="D1" s="55"/>
      <c r="E1" s="55"/>
      <c r="F1" s="55"/>
      <c r="G1" s="55"/>
      <c r="H1" s="36"/>
      <c r="J1" s="37"/>
      <c r="L1" s="37"/>
      <c r="M1" s="37"/>
      <c r="N1" s="37"/>
      <c r="O1" s="37"/>
      <c r="P1" s="37"/>
      <c r="Q1" s="37"/>
      <c r="R1" s="37"/>
      <c r="S1" s="37"/>
      <c r="T1" s="36"/>
    </row>
    <row r="2" spans="1:20" ht="17.25" customHeight="1" x14ac:dyDescent="0.25">
      <c r="A2" s="99">
        <f ca="1">Maandag!A2+4</f>
        <v>46137</v>
      </c>
      <c r="B2" s="8">
        <f ca="1">WEEKNUM(A2)</f>
        <v>17</v>
      </c>
      <c r="C2" s="24"/>
      <c r="D2" s="37"/>
      <c r="E2" s="37"/>
      <c r="F2" s="37"/>
      <c r="G2" s="37"/>
      <c r="H2" s="38"/>
      <c r="J2" s="39"/>
      <c r="L2" s="39"/>
      <c r="M2" s="39"/>
      <c r="N2" s="39"/>
      <c r="O2" s="39"/>
      <c r="P2" s="39"/>
      <c r="Q2" s="39"/>
      <c r="R2" s="39"/>
      <c r="S2" s="39"/>
      <c r="T2" s="38"/>
    </row>
    <row r="3" spans="1:20" ht="45.75" customHeight="1" x14ac:dyDescent="0.25">
      <c r="A3" s="21" t="s">
        <v>12</v>
      </c>
      <c r="B3" s="22"/>
      <c r="C3" s="9"/>
      <c r="D3" s="57" t="s">
        <v>25</v>
      </c>
      <c r="E3" s="85" t="s">
        <v>44</v>
      </c>
      <c r="F3" s="57" t="s">
        <v>43</v>
      </c>
      <c r="G3" s="56" t="s">
        <v>26</v>
      </c>
      <c r="H3" s="60" t="s">
        <v>22</v>
      </c>
      <c r="I3" s="61" t="s">
        <v>18</v>
      </c>
      <c r="J3" s="77" t="s">
        <v>39</v>
      </c>
      <c r="K3" s="81" t="s">
        <v>42</v>
      </c>
      <c r="L3" s="56" t="s">
        <v>19</v>
      </c>
      <c r="M3" s="56" t="s">
        <v>27</v>
      </c>
      <c r="N3" s="73" t="s">
        <v>45</v>
      </c>
      <c r="O3" s="73" t="s">
        <v>45</v>
      </c>
      <c r="P3" s="73" t="s">
        <v>45</v>
      </c>
      <c r="Q3" s="73" t="s">
        <v>45</v>
      </c>
      <c r="R3" s="60" t="s">
        <v>15</v>
      </c>
      <c r="S3" s="62" t="s">
        <v>17</v>
      </c>
      <c r="T3" s="89" t="s">
        <v>37</v>
      </c>
    </row>
    <row r="4" spans="1:20" ht="18" customHeight="1" x14ac:dyDescent="0.25">
      <c r="A4" s="25" t="s">
        <v>13</v>
      </c>
      <c r="B4" s="26"/>
      <c r="C4" s="10"/>
      <c r="D4" s="68" t="s">
        <v>14</v>
      </c>
      <c r="E4" s="86" t="s">
        <v>14</v>
      </c>
      <c r="F4" s="68" t="s">
        <v>14</v>
      </c>
      <c r="G4" s="63" t="s">
        <v>14</v>
      </c>
      <c r="H4" s="64" t="s">
        <v>14</v>
      </c>
      <c r="I4" s="65" t="s">
        <v>14</v>
      </c>
      <c r="J4" s="78" t="s">
        <v>14</v>
      </c>
      <c r="K4" s="82" t="s">
        <v>14</v>
      </c>
      <c r="L4" s="66" t="s">
        <v>14</v>
      </c>
      <c r="M4" s="66" t="s">
        <v>28</v>
      </c>
      <c r="N4" s="74" t="s">
        <v>28</v>
      </c>
      <c r="O4" s="74" t="s">
        <v>28</v>
      </c>
      <c r="P4" s="74" t="s">
        <v>28</v>
      </c>
      <c r="Q4" s="74" t="s">
        <v>28</v>
      </c>
      <c r="R4" s="64" t="s">
        <v>14</v>
      </c>
      <c r="S4" s="67" t="s">
        <v>14</v>
      </c>
      <c r="T4" s="90" t="s">
        <v>24</v>
      </c>
    </row>
    <row r="5" spans="1:20" ht="15" customHeight="1" x14ac:dyDescent="0.25">
      <c r="A5" s="34" t="s">
        <v>3</v>
      </c>
      <c r="B5" s="35"/>
      <c r="C5" s="17">
        <f>SUM(D5:T5)</f>
        <v>0</v>
      </c>
      <c r="D5" s="49">
        <f>COUNT(D14)</f>
        <v>0</v>
      </c>
      <c r="E5" s="87">
        <v>0</v>
      </c>
      <c r="F5" s="49">
        <v>0</v>
      </c>
      <c r="G5" s="41">
        <f>COUNT(G14)</f>
        <v>0</v>
      </c>
      <c r="H5" s="42">
        <v>0</v>
      </c>
      <c r="I5" s="43">
        <f t="shared" ref="I5:S5" si="0">COUNT(I14)</f>
        <v>0</v>
      </c>
      <c r="J5" s="79">
        <f t="shared" si="0"/>
        <v>0</v>
      </c>
      <c r="K5" s="83">
        <f t="shared" si="0"/>
        <v>0</v>
      </c>
      <c r="L5" s="41">
        <f t="shared" si="0"/>
        <v>0</v>
      </c>
      <c r="M5" s="41"/>
      <c r="N5" s="75"/>
      <c r="O5" s="75"/>
      <c r="P5" s="75"/>
      <c r="Q5" s="75"/>
      <c r="R5" s="42">
        <f t="shared" si="0"/>
        <v>0</v>
      </c>
      <c r="S5" s="47">
        <f t="shared" si="0"/>
        <v>0</v>
      </c>
      <c r="T5" s="91">
        <v>0</v>
      </c>
    </row>
    <row r="6" spans="1:20" ht="3.6" customHeight="1" x14ac:dyDescent="0.25">
      <c r="I6" s="6"/>
      <c r="J6" s="6"/>
    </row>
    <row r="7" spans="1:20" ht="19.899999999999999" customHeight="1" x14ac:dyDescent="0.25">
      <c r="A7" s="11" t="s">
        <v>29</v>
      </c>
      <c r="B7" s="12"/>
      <c r="C7" s="13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9.899999999999999" customHeight="1" x14ac:dyDescent="0.25">
      <c r="A8" s="11" t="s">
        <v>30</v>
      </c>
      <c r="B8" s="12"/>
      <c r="C8" s="13" t="s">
        <v>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19.899999999999999" customHeight="1" x14ac:dyDescent="0.25">
      <c r="A9" s="27" t="s">
        <v>10</v>
      </c>
      <c r="B9" s="28"/>
      <c r="C9" s="14" t="s">
        <v>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19.899999999999999" customHeight="1" x14ac:dyDescent="0.25">
      <c r="A10" s="27" t="s">
        <v>11</v>
      </c>
      <c r="B10" s="28"/>
      <c r="C10" s="14" t="s">
        <v>6</v>
      </c>
      <c r="D10" s="4">
        <v>3</v>
      </c>
      <c r="E10" s="4">
        <v>3</v>
      </c>
      <c r="F10" s="4">
        <v>3</v>
      </c>
      <c r="G10" s="4">
        <v>3</v>
      </c>
      <c r="H10" s="4">
        <v>3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3</v>
      </c>
      <c r="O10" s="4">
        <v>3</v>
      </c>
      <c r="P10" s="4">
        <v>3</v>
      </c>
      <c r="Q10" s="4">
        <v>3</v>
      </c>
      <c r="R10" s="4">
        <v>3</v>
      </c>
      <c r="S10" s="4">
        <v>3</v>
      </c>
      <c r="T10" s="4">
        <v>3</v>
      </c>
    </row>
    <row r="11" spans="1:20" ht="19.899999999999999" customHeight="1" x14ac:dyDescent="0.25">
      <c r="A11" s="27" t="s">
        <v>7</v>
      </c>
      <c r="B11" s="28"/>
      <c r="C11" s="33" t="s">
        <v>8</v>
      </c>
      <c r="D11" s="4" t="s">
        <v>23</v>
      </c>
      <c r="E11" s="4" t="s">
        <v>23</v>
      </c>
      <c r="F11" s="4" t="s">
        <v>23</v>
      </c>
      <c r="G11" s="4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  <c r="T11" s="4" t="s">
        <v>23</v>
      </c>
    </row>
    <row r="12" spans="1:20" s="6" customFormat="1" ht="14.25" customHeight="1" x14ac:dyDescent="0.25">
      <c r="A12" s="58" t="s">
        <v>20</v>
      </c>
      <c r="B12" s="58" t="s">
        <v>21</v>
      </c>
      <c r="C12" s="5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9.899999999999999" customHeight="1" x14ac:dyDescent="0.25">
      <c r="A13" s="27" t="s">
        <v>0</v>
      </c>
      <c r="B13" s="28"/>
      <c r="C13" s="33"/>
      <c r="D13" s="50">
        <v>0.66666666666666663</v>
      </c>
      <c r="E13" s="88">
        <v>0.375</v>
      </c>
      <c r="F13" s="50">
        <v>0.41666666666666669</v>
      </c>
      <c r="G13" s="46">
        <v>0.45833333333333331</v>
      </c>
      <c r="H13" s="45">
        <v>0.52083333333333337</v>
      </c>
      <c r="I13" s="51">
        <v>0.54166666666666663</v>
      </c>
      <c r="J13" s="80">
        <v>0.64583333333333337</v>
      </c>
      <c r="K13" s="84">
        <v>0.66666666666666663</v>
      </c>
      <c r="L13" s="46">
        <v>0.6875</v>
      </c>
      <c r="M13" s="46">
        <v>0.72916666666666663</v>
      </c>
      <c r="N13" s="76">
        <v>0.70833333333333337</v>
      </c>
      <c r="O13" s="76">
        <v>0.72916666666666663</v>
      </c>
      <c r="P13" s="76">
        <v>0.75</v>
      </c>
      <c r="Q13" s="76">
        <v>0.79166666666666663</v>
      </c>
      <c r="R13" s="45">
        <v>0.16666666666666666</v>
      </c>
      <c r="S13" s="48">
        <v>6.25E-2</v>
      </c>
      <c r="T13" s="92">
        <v>0.125</v>
      </c>
    </row>
    <row r="14" spans="1:20" ht="19.899999999999999" customHeight="1" x14ac:dyDescent="0.25">
      <c r="A14" s="27" t="s">
        <v>32</v>
      </c>
      <c r="B14" s="28"/>
      <c r="C14" s="33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9.899999999999999" customHeight="1" x14ac:dyDescent="0.25">
      <c r="A15" s="27" t="s">
        <v>36</v>
      </c>
      <c r="B15" s="28"/>
      <c r="C15" s="33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" customHeight="1" x14ac:dyDescent="0.25">
      <c r="A16" s="16" t="s">
        <v>16</v>
      </c>
      <c r="B16" s="18">
        <f>COUNTIF(D16:M16,"&gt;0")</f>
        <v>0</v>
      </c>
      <c r="C16" s="15" t="e">
        <f>B16/C5</f>
        <v>#DIV/0!</v>
      </c>
      <c r="D16" s="20">
        <f t="shared" ref="D16:T16" si="1">D14-D13</f>
        <v>-0.66666666666666663</v>
      </c>
      <c r="E16" s="20">
        <f t="shared" si="1"/>
        <v>-0.375</v>
      </c>
      <c r="F16" s="20">
        <f t="shared" si="1"/>
        <v>-0.41666666666666669</v>
      </c>
      <c r="G16" s="20">
        <f t="shared" si="1"/>
        <v>-0.45833333333333331</v>
      </c>
      <c r="H16" s="20">
        <f t="shared" si="1"/>
        <v>-0.52083333333333337</v>
      </c>
      <c r="I16" s="20">
        <f t="shared" si="1"/>
        <v>-0.54166666666666663</v>
      </c>
      <c r="J16" s="20">
        <f t="shared" si="1"/>
        <v>-0.64583333333333337</v>
      </c>
      <c r="K16" s="20">
        <f t="shared" si="1"/>
        <v>-0.66666666666666663</v>
      </c>
      <c r="L16" s="20">
        <f t="shared" si="1"/>
        <v>-0.6875</v>
      </c>
      <c r="M16" s="20">
        <f t="shared" si="1"/>
        <v>-0.72916666666666663</v>
      </c>
      <c r="N16" s="20">
        <f t="shared" si="1"/>
        <v>-0.70833333333333337</v>
      </c>
      <c r="O16" s="20">
        <f t="shared" si="1"/>
        <v>-0.72916666666666663</v>
      </c>
      <c r="P16" s="20">
        <f t="shared" si="1"/>
        <v>-0.75</v>
      </c>
      <c r="Q16" s="20">
        <f t="shared" si="1"/>
        <v>-0.79166666666666663</v>
      </c>
      <c r="R16" s="20">
        <f t="shared" si="1"/>
        <v>-0.16666666666666666</v>
      </c>
      <c r="S16" s="20">
        <f t="shared" si="1"/>
        <v>-6.25E-2</v>
      </c>
      <c r="T16" s="20">
        <f t="shared" si="1"/>
        <v>-0.125</v>
      </c>
    </row>
    <row r="17" spans="1:20" ht="52.9" customHeight="1" x14ac:dyDescent="0.25">
      <c r="A17" s="31" t="s">
        <v>34</v>
      </c>
      <c r="B17" s="32"/>
      <c r="C17" s="33"/>
      <c r="D17" s="3" t="s">
        <v>23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52.9" customHeight="1" x14ac:dyDescent="0.25">
      <c r="A18" s="52" t="s">
        <v>35</v>
      </c>
      <c r="B18" s="53"/>
      <c r="C18" s="54"/>
      <c r="D18" s="3" t="s">
        <v>23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9" t="s">
        <v>9</v>
      </c>
      <c r="B19" s="30"/>
      <c r="C19" s="17">
        <f>SUM(D19:T19)</f>
        <v>0</v>
      </c>
      <c r="D19" s="19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</row>
    <row r="20" spans="1:20" x14ac:dyDescent="0.25">
      <c r="C20" s="1"/>
    </row>
    <row r="21" spans="1:20" x14ac:dyDescent="0.25">
      <c r="C21" s="1"/>
    </row>
    <row r="22" spans="1:20" x14ac:dyDescent="0.25">
      <c r="C22" s="1"/>
    </row>
    <row r="23" spans="1:20" x14ac:dyDescent="0.25">
      <c r="C23" s="1"/>
    </row>
    <row r="24" spans="1:20" x14ac:dyDescent="0.25">
      <c r="C24" s="1"/>
    </row>
    <row r="25" spans="1:20" x14ac:dyDescent="0.25">
      <c r="C25" s="1"/>
    </row>
    <row r="26" spans="1:20" x14ac:dyDescent="0.25">
      <c r="C26" s="1"/>
    </row>
    <row r="27" spans="1:20" x14ac:dyDescent="0.25">
      <c r="C27" s="1"/>
    </row>
    <row r="28" spans="1:20" x14ac:dyDescent="0.25">
      <c r="C28" s="1"/>
    </row>
    <row r="29" spans="1:20" x14ac:dyDescent="0.25">
      <c r="C29" s="1"/>
    </row>
    <row r="30" spans="1:20" x14ac:dyDescent="0.25">
      <c r="C30" s="1"/>
    </row>
    <row r="31" spans="1:20" x14ac:dyDescent="0.25">
      <c r="C31" s="1"/>
    </row>
    <row r="32" spans="1:20" x14ac:dyDescent="0.25">
      <c r="C32" s="1"/>
    </row>
    <row r="33" spans="3:3" x14ac:dyDescent="0.25">
      <c r="C33" s="1"/>
    </row>
    <row r="34" spans="3:3" x14ac:dyDescent="0.25">
      <c r="C34" s="1"/>
    </row>
  </sheetData>
  <customSheetViews>
    <customSheetView guid="{AE556AAC-C1CB-4650-BC55-D888C94C12FA}" showPageBreaks="1" showGridLines="0" printArea="1">
      <pane xSplit="4" ySplit="7" topLeftCell="E8" activePane="bottomRight" state="frozen"/>
      <selection pane="bottomRight" activeCell="E3" sqref="E3:U20"/>
      <pageMargins left="0.25" right="0.25" top="0.75" bottom="0.75" header="0.3" footer="0.3"/>
      <pageSetup paperSize="9" orientation="portrait" r:id="rId1"/>
    </customSheetView>
    <customSheetView guid="{E1F0EABA-5105-43CC-8E07-85079A367209}" scale="75" showPageBreaks="1" showGridLines="0" printArea="1">
      <pane xSplit="4" ySplit="7" topLeftCell="E8" activePane="bottomRight" state="frozen"/>
      <selection pane="bottomRight" activeCell="S8" sqref="S8"/>
      <pageMargins left="0.25" right="0.25" top="0.75" bottom="0.75" header="0.3" footer="0.3"/>
      <pageSetup paperSize="9" orientation="portrait" r:id="rId2"/>
    </customSheetView>
    <customSheetView guid="{937051C1-F928-4CE1-90E6-4BD5AA5F0CA0}" scale="75" showPageBreaks="1" showGridLines="0" printArea="1">
      <pane xSplit="4" ySplit="7" topLeftCell="E8" activePane="bottomRight" state="frozen"/>
      <selection pane="bottomRight" activeCell="N3" sqref="N3"/>
      <pageMargins left="0.25" right="0.25" top="0.75" bottom="0.75" header="0.3" footer="0.3"/>
      <pageSetup paperSize="9" orientation="portrait" r:id="rId3"/>
    </customSheetView>
    <customSheetView guid="{D8A31FCA-0338-4FE6-B202-6F01AF887A7C}" scale="75" showGridLines="0">
      <pane xSplit="4" ySplit="7" topLeftCell="E8" activePane="bottomRight" state="frozen"/>
      <selection pane="bottomRight" activeCell="G13" sqref="G13"/>
      <pageMargins left="0.25" right="0.25" top="0.75" bottom="0.75" header="0.3" footer="0.3"/>
      <pageSetup paperSize="9" orientation="portrait" r:id="rId4"/>
    </customSheetView>
    <customSheetView guid="{FDAD6E8C-C6AF-4699-A337-B5A30AFE7C23}" showPageBreaks="1" showGridLines="0" printArea="1">
      <pane xSplit="4" ySplit="7" topLeftCell="E8" activePane="bottomRight" state="frozen"/>
      <selection pane="bottomRight" activeCell="M1" sqref="M1:M1048576"/>
      <pageMargins left="0.25" right="0.25" top="0.75" bottom="0.75" header="0.3" footer="0.3"/>
      <pageSetup paperSize="9" orientation="portrait" r:id="rId5"/>
    </customSheetView>
    <customSheetView guid="{56C6EF76-EDBC-4D28-BBAD-E202D7EB4BF2}" showPageBreaks="1" showGridLines="0" printArea="1">
      <pane xSplit="4" ySplit="7" topLeftCell="E8" activePane="bottomRight" state="frozen"/>
      <selection pane="bottomRight" activeCell="A12" sqref="A12:C12"/>
      <pageMargins left="0.25" right="0.25" top="0.75" bottom="0.75" header="0.3" footer="0.3"/>
      <pageSetup paperSize="9" orientation="portrait" r:id="rId6"/>
    </customSheetView>
    <customSheetView guid="{874BD86F-8562-4C20-AEDD-66497496FA14}" showPageBreaks="1" showGridLines="0" printArea="1">
      <pane xSplit="4" ySplit="7" topLeftCell="R8" activePane="bottomRight" state="frozen"/>
      <selection pane="bottomRight" activeCell="V8" sqref="V8"/>
      <pageMargins left="0.25" right="0.25" top="0.75" bottom="0.75" header="0.3" footer="0.3"/>
      <pageSetup paperSize="9" orientation="portrait" r:id="rId7"/>
    </customSheetView>
    <customSheetView guid="{EBED728A-42DC-41FC-A46F-E83588C5D9C3}" showPageBreaks="1" showGridLines="0" printArea="1">
      <pane xSplit="4" ySplit="7" topLeftCell="E8" activePane="bottomRight" state="frozen"/>
      <selection pane="bottomRight" sqref="A1:XFD1048576"/>
      <pageMargins left="0.25" right="0.25" top="0.75" bottom="0.75" header="0.3" footer="0.3"/>
      <pageSetup paperSize="9" orientation="portrait" r:id="rId8"/>
    </customSheetView>
    <customSheetView guid="{21FEB403-0AD4-4E43-ABA1-C03B0FA30C00}" showPageBreaks="1" showGridLines="0" printArea="1" hiddenColumns="1">
      <pane xSplit="4" ySplit="7" topLeftCell="K8" activePane="bottomRight" state="frozen"/>
      <selection pane="bottomRight" activeCell="S25" sqref="S25"/>
      <pageMargins left="0.25" right="0.25" top="0.75" bottom="0.75" header="0.3" footer="0.3"/>
      <pageSetup paperSize="9" orientation="portrait" r:id="rId9"/>
    </customSheetView>
    <customSheetView guid="{DDAFD65C-B89E-4C6A-AC5C-AE6F1F424E3A}" showPageBreaks="1" showGridLines="0" printArea="1">
      <pane xSplit="4" ySplit="6" topLeftCell="U7" activePane="bottomRight" state="frozen"/>
      <selection pane="bottomRight" activeCell="AG3" sqref="AG3"/>
      <pageMargins left="0.25" right="0.25" top="0.75" bottom="0.75" header="0.3" footer="0.3"/>
      <pageSetup paperSize="9" orientation="portrait" r:id="rId10"/>
    </customSheetView>
    <customSheetView guid="{36E52512-3EE3-4CC3-8A85-95E4740740EE}" showPageBreaks="1" showGridLines="0" printArea="1">
      <pane xSplit="4" ySplit="7" topLeftCell="T8" activePane="bottomRight" state="frozen"/>
      <selection pane="bottomRight" activeCell="C30" sqref="C30"/>
      <pageMargins left="0.25" right="0.25" top="0.75" bottom="0.75" header="0.3" footer="0.3"/>
      <pageSetup paperSize="9" orientation="portrait" r:id="rId11"/>
    </customSheetView>
    <customSheetView guid="{AB3B1E7B-5893-4A96-8A5A-BC4EAAD6D0C6}" showPageBreaks="1" showGridLines="0" printArea="1">
      <pane xSplit="4" ySplit="7" topLeftCell="E8" activePane="bottomRight" state="frozen"/>
      <selection pane="bottomRight" activeCell="E7" sqref="E7"/>
      <pageMargins left="0.25" right="0.25" top="0.75" bottom="0.75" header="0.3" footer="0.3"/>
      <pageSetup paperSize="9" orientation="portrait" r:id="rId12"/>
    </customSheetView>
    <customSheetView guid="{64E48CFE-DF1A-4AED-8A67-A77739A758B8}" scale="75" showPageBreaks="1" showGridLines="0" printArea="1">
      <pane xSplit="4" ySplit="7" topLeftCell="I8" activePane="bottomRight" state="frozen"/>
      <selection pane="bottomRight" activeCell="S1" sqref="S1:V1048576"/>
      <pageMargins left="0.25" right="0.25" top="0.75" bottom="0.75" header="0.3" footer="0.3"/>
      <pageSetup paperSize="9" orientation="portrait" r:id="rId13"/>
    </customSheetView>
    <customSheetView guid="{5B62A984-2C2E-4C53-8256-48A393D80845}" scale="75" showPageBreaks="1" showGridLines="0" printArea="1">
      <pane xSplit="4" ySplit="7" topLeftCell="E8" activePane="bottomRight" state="frozen"/>
      <selection pane="bottomRight" activeCell="S18" sqref="S18"/>
      <pageMargins left="0.25" right="0.25" top="0.75" bottom="0.75" header="0.3" footer="0.3"/>
      <pageSetup paperSize="9" orientation="portrait" r:id="rId14"/>
    </customSheetView>
    <customSheetView guid="{7DED5FBD-5FFD-49FF-9218-D92A4805A00B}" scale="75" showPageBreaks="1" showGridLines="0" printArea="1">
      <pane xSplit="4" ySplit="7" topLeftCell="E8" activePane="bottomRight" state="frozen"/>
      <selection pane="bottomRight" activeCell="E3" sqref="E3:T5"/>
      <pageMargins left="0.25" right="0.25" top="0.75" bottom="0.75" header="0.3" footer="0.3"/>
      <pageSetup paperSize="9" orientation="portrait" r:id="rId15"/>
    </customSheetView>
    <customSheetView guid="{A37ED6A4-E892-4495-BA3F-35C26C7337C1}" scale="75" showGridLines="0">
      <pane xSplit="4" ySplit="7" topLeftCell="E8" activePane="bottomRight" state="frozen"/>
      <selection pane="bottomRight" activeCell="A2" sqref="A2"/>
      <pageMargins left="0.25" right="0.25" top="0.75" bottom="0.75" header="0.3" footer="0.3"/>
      <pageSetup paperSize="9" orientation="portrait" r:id="rId16"/>
    </customSheetView>
    <customSheetView guid="{F7C2F952-D051-47AE-9460-68ACA77D3540}" scale="75" showGridLines="0" printArea="1">
      <pane xSplit="4" ySplit="7" topLeftCell="E8" activePane="bottomRight" state="frozen"/>
      <selection pane="bottomRight" activeCell="P11" sqref="P11"/>
      <pageMargins left="0.25" right="0.25" top="0.75" bottom="0.75" header="0.3" footer="0.3"/>
      <pageSetup paperSize="9" orientation="portrait" r:id="rId17"/>
    </customSheetView>
    <customSheetView guid="{AEDB124E-3FA4-4F6C-9C8E-B2303E639C5E}" showPageBreaks="1" showGridLines="0" printArea="1" hiddenColumns="1">
      <pane xSplit="3" ySplit="7" topLeftCell="D8" activePane="bottomRight" state="frozen"/>
      <selection pane="bottomRight" activeCell="E1" sqref="E1:W1048576"/>
      <pageMargins left="0.25" right="0.25" top="0.75" bottom="0.75" header="0.3" footer="0.3"/>
      <pageSetup paperSize="9" orientation="portrait" r:id="rId18"/>
    </customSheetView>
  </customSheetViews>
  <conditionalFormatting sqref="D16:G16 I16:Q16">
    <cfRule type="cellIs" dxfId="11" priority="1" operator="lessThan">
      <formula>0</formula>
    </cfRule>
    <cfRule type="cellIs" dxfId="10" priority="2" operator="equal">
      <formula>0</formula>
    </cfRule>
    <cfRule type="cellIs" dxfId="9" priority="3" operator="greaterThanOrEqual">
      <formula>0.000694444444444444</formula>
    </cfRule>
  </conditionalFormatting>
  <pageMargins left="0.25" right="0.25" top="0.75" bottom="0.75" header="0.3" footer="0.3"/>
  <pageSetup paperSize="9" orientation="portrait" r:id="rId1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2"/>
  <sheetViews>
    <sheetView showGridLines="0" zoomScaleNormal="75" workbookViewId="0">
      <pane xSplit="4" ySplit="7" topLeftCell="E8" activePane="bottomRight" state="frozen"/>
      <selection pane="topRight" activeCell="E1" sqref="E1"/>
      <selection pane="bottomLeft" activeCell="A8" sqref="A8"/>
      <selection pane="bottomRight" sqref="A1:A2"/>
    </sheetView>
  </sheetViews>
  <sheetFormatPr defaultColWidth="8.85546875" defaultRowHeight="15" x14ac:dyDescent="0.25"/>
  <cols>
    <col min="1" max="1" width="19.7109375" style="1" customWidth="1"/>
    <col min="2" max="2" width="15.140625" style="1" customWidth="1"/>
    <col min="3" max="3" width="8.5703125" style="2" customWidth="1"/>
    <col min="4" max="4" width="10.140625" style="1" hidden="1" customWidth="1"/>
    <col min="5" max="21" width="12.28515625" style="1" customWidth="1"/>
    <col min="22" max="16384" width="8.85546875" style="1"/>
  </cols>
  <sheetData>
    <row r="1" spans="1:21" ht="15" customHeight="1" x14ac:dyDescent="0.25">
      <c r="A1" s="100" t="s">
        <v>4</v>
      </c>
      <c r="B1" s="8" t="s">
        <v>5</v>
      </c>
      <c r="C1" s="23" t="s">
        <v>1</v>
      </c>
      <c r="D1" s="55"/>
      <c r="E1" s="55"/>
      <c r="F1" s="55"/>
      <c r="G1" s="55"/>
      <c r="H1" s="36"/>
      <c r="J1" s="37"/>
      <c r="L1" s="37"/>
      <c r="M1" s="37"/>
      <c r="N1" s="37"/>
      <c r="O1" s="37"/>
      <c r="P1" s="37"/>
      <c r="Q1" s="37"/>
      <c r="R1" s="37"/>
      <c r="S1" s="37"/>
      <c r="T1" s="37"/>
      <c r="U1" s="36"/>
    </row>
    <row r="2" spans="1:21" ht="17.25" customHeight="1" x14ac:dyDescent="0.25">
      <c r="A2" s="99">
        <f ca="1">Maandag!A2+5</f>
        <v>46138</v>
      </c>
      <c r="B2" s="8">
        <f ca="1">WEEKNUM(A2)</f>
        <v>18</v>
      </c>
      <c r="C2" s="24"/>
      <c r="D2" s="37"/>
      <c r="E2" s="37"/>
      <c r="F2" s="37"/>
      <c r="G2" s="37"/>
      <c r="H2" s="38"/>
      <c r="J2" s="39"/>
      <c r="L2" s="39"/>
      <c r="M2" s="39"/>
      <c r="N2" s="39"/>
      <c r="O2" s="39"/>
      <c r="P2" s="39"/>
      <c r="Q2" s="39"/>
      <c r="R2" s="39"/>
      <c r="S2" s="39"/>
      <c r="T2" s="39"/>
      <c r="U2" s="38"/>
    </row>
    <row r="3" spans="1:21" ht="45.75" customHeight="1" x14ac:dyDescent="0.25">
      <c r="A3" s="21" t="s">
        <v>12</v>
      </c>
      <c r="B3" s="22"/>
      <c r="C3" s="9"/>
      <c r="D3" s="57" t="s">
        <v>25</v>
      </c>
      <c r="E3" s="85" t="s">
        <v>44</v>
      </c>
      <c r="F3" s="57" t="s">
        <v>43</v>
      </c>
      <c r="G3" s="56" t="s">
        <v>26</v>
      </c>
      <c r="H3" s="60" t="s">
        <v>22</v>
      </c>
      <c r="I3" s="61" t="s">
        <v>18</v>
      </c>
      <c r="J3" s="77" t="s">
        <v>39</v>
      </c>
      <c r="K3" s="81" t="s">
        <v>42</v>
      </c>
      <c r="L3" s="56" t="s">
        <v>19</v>
      </c>
      <c r="M3" s="56" t="s">
        <v>27</v>
      </c>
      <c r="N3" s="73" t="s">
        <v>45</v>
      </c>
      <c r="O3" s="73" t="s">
        <v>45</v>
      </c>
      <c r="P3" s="73" t="s">
        <v>45</v>
      </c>
      <c r="Q3" s="73" t="s">
        <v>45</v>
      </c>
      <c r="R3" s="69" t="s">
        <v>48</v>
      </c>
      <c r="S3" s="60" t="s">
        <v>15</v>
      </c>
      <c r="T3" s="62" t="s">
        <v>17</v>
      </c>
      <c r="U3" s="89" t="s">
        <v>37</v>
      </c>
    </row>
    <row r="4" spans="1:21" ht="18" customHeight="1" x14ac:dyDescent="0.25">
      <c r="A4" s="25" t="s">
        <v>13</v>
      </c>
      <c r="B4" s="26"/>
      <c r="C4" s="10"/>
      <c r="D4" s="68" t="s">
        <v>14</v>
      </c>
      <c r="E4" s="86" t="s">
        <v>14</v>
      </c>
      <c r="F4" s="68" t="s">
        <v>14</v>
      </c>
      <c r="G4" s="63" t="s">
        <v>14</v>
      </c>
      <c r="H4" s="64" t="s">
        <v>14</v>
      </c>
      <c r="I4" s="65" t="s">
        <v>14</v>
      </c>
      <c r="J4" s="78" t="s">
        <v>14</v>
      </c>
      <c r="K4" s="82" t="s">
        <v>14</v>
      </c>
      <c r="L4" s="66" t="s">
        <v>14</v>
      </c>
      <c r="M4" s="66" t="s">
        <v>28</v>
      </c>
      <c r="N4" s="74" t="s">
        <v>28</v>
      </c>
      <c r="O4" s="74" t="s">
        <v>28</v>
      </c>
      <c r="P4" s="74" t="s">
        <v>28</v>
      </c>
      <c r="Q4" s="74" t="s">
        <v>28</v>
      </c>
      <c r="R4" s="70"/>
      <c r="S4" s="64" t="s">
        <v>14</v>
      </c>
      <c r="T4" s="67" t="s">
        <v>14</v>
      </c>
      <c r="U4" s="90" t="s">
        <v>24</v>
      </c>
    </row>
    <row r="5" spans="1:21" ht="15" customHeight="1" x14ac:dyDescent="0.25">
      <c r="A5" s="34" t="s">
        <v>3</v>
      </c>
      <c r="B5" s="35"/>
      <c r="C5" s="17">
        <f>SUM(D5:M5)</f>
        <v>0</v>
      </c>
      <c r="D5" s="49">
        <f>COUNT(D14)</f>
        <v>0</v>
      </c>
      <c r="E5" s="87">
        <v>0</v>
      </c>
      <c r="F5" s="49">
        <v>0</v>
      </c>
      <c r="G5" s="41">
        <f>COUNT(G14)</f>
        <v>0</v>
      </c>
      <c r="H5" s="42">
        <v>0</v>
      </c>
      <c r="I5" s="43">
        <f t="shared" ref="I5:T5" si="0">COUNT(I14)</f>
        <v>0</v>
      </c>
      <c r="J5" s="79">
        <f t="shared" si="0"/>
        <v>0</v>
      </c>
      <c r="K5" s="83">
        <f t="shared" si="0"/>
        <v>0</v>
      </c>
      <c r="L5" s="41">
        <f t="shared" si="0"/>
        <v>0</v>
      </c>
      <c r="M5" s="41"/>
      <c r="N5" s="75"/>
      <c r="O5" s="75"/>
      <c r="P5" s="75"/>
      <c r="Q5" s="75"/>
      <c r="R5" s="71"/>
      <c r="S5" s="42">
        <f t="shared" si="0"/>
        <v>0</v>
      </c>
      <c r="T5" s="47">
        <f t="shared" si="0"/>
        <v>0</v>
      </c>
      <c r="U5" s="91">
        <v>0</v>
      </c>
    </row>
    <row r="6" spans="1:21" ht="3.6" customHeight="1" x14ac:dyDescent="0.25">
      <c r="I6" s="6"/>
      <c r="J6" s="6"/>
    </row>
    <row r="7" spans="1:21" ht="19.899999999999999" customHeight="1" x14ac:dyDescent="0.25">
      <c r="A7" s="11" t="s">
        <v>29</v>
      </c>
      <c r="B7" s="12"/>
      <c r="C7" s="13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9.899999999999999" customHeight="1" x14ac:dyDescent="0.25">
      <c r="A8" s="11" t="s">
        <v>30</v>
      </c>
      <c r="B8" s="12"/>
      <c r="C8" s="13" t="s">
        <v>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9.899999999999999" customHeight="1" x14ac:dyDescent="0.25">
      <c r="A9" s="27" t="s">
        <v>10</v>
      </c>
      <c r="B9" s="28"/>
      <c r="C9" s="14" t="s">
        <v>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9.899999999999999" customHeight="1" x14ac:dyDescent="0.25">
      <c r="A10" s="27" t="s">
        <v>11</v>
      </c>
      <c r="B10" s="28"/>
      <c r="C10" s="14" t="s">
        <v>6</v>
      </c>
      <c r="D10" s="4">
        <v>3</v>
      </c>
      <c r="E10" s="4">
        <v>3</v>
      </c>
      <c r="F10" s="4">
        <v>3</v>
      </c>
      <c r="G10" s="4">
        <v>3</v>
      </c>
      <c r="H10" s="4">
        <v>3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3</v>
      </c>
      <c r="O10" s="4">
        <v>3</v>
      </c>
      <c r="P10" s="4">
        <v>3</v>
      </c>
      <c r="Q10" s="4">
        <v>3</v>
      </c>
      <c r="R10" s="4">
        <v>3</v>
      </c>
      <c r="S10" s="4">
        <v>3</v>
      </c>
      <c r="T10" s="4">
        <v>3</v>
      </c>
      <c r="U10" s="4">
        <v>3</v>
      </c>
    </row>
    <row r="11" spans="1:21" ht="19.899999999999999" customHeight="1" x14ac:dyDescent="0.25">
      <c r="A11" s="27" t="s">
        <v>7</v>
      </c>
      <c r="B11" s="28"/>
      <c r="C11" s="33" t="s">
        <v>8</v>
      </c>
      <c r="D11" s="4" t="s">
        <v>23</v>
      </c>
      <c r="E11" s="4" t="s">
        <v>23</v>
      </c>
      <c r="F11" s="4" t="s">
        <v>23</v>
      </c>
      <c r="G11" s="4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  <c r="T11" s="4" t="s">
        <v>23</v>
      </c>
      <c r="U11" s="4" t="s">
        <v>23</v>
      </c>
    </row>
    <row r="12" spans="1:21" s="6" customFormat="1" ht="14.25" customHeight="1" x14ac:dyDescent="0.25">
      <c r="A12" s="58" t="s">
        <v>20</v>
      </c>
      <c r="B12" s="58" t="s">
        <v>21</v>
      </c>
      <c r="C12" s="5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9.899999999999999" customHeight="1" x14ac:dyDescent="0.25">
      <c r="A13" s="27" t="s">
        <v>0</v>
      </c>
      <c r="B13" s="28"/>
      <c r="C13" s="33"/>
      <c r="D13" s="50">
        <v>0.66666666666666663</v>
      </c>
      <c r="E13" s="88">
        <v>0.375</v>
      </c>
      <c r="F13" s="50">
        <v>0.41666666666666669</v>
      </c>
      <c r="G13" s="46">
        <v>0.45833333333333331</v>
      </c>
      <c r="H13" s="45">
        <v>0.52083333333333337</v>
      </c>
      <c r="I13" s="51">
        <v>0.54166666666666663</v>
      </c>
      <c r="J13" s="80">
        <v>0.64583333333333337</v>
      </c>
      <c r="K13" s="84">
        <v>0.66666666666666663</v>
      </c>
      <c r="L13" s="46">
        <v>0.6875</v>
      </c>
      <c r="M13" s="46">
        <v>0.72916666666666663</v>
      </c>
      <c r="N13" s="76">
        <v>0.70833333333333337</v>
      </c>
      <c r="O13" s="76">
        <v>0.72916666666666663</v>
      </c>
      <c r="P13" s="76">
        <v>0.75</v>
      </c>
      <c r="Q13" s="76">
        <v>0.79166666666666663</v>
      </c>
      <c r="R13" s="72">
        <v>0.91666666666666663</v>
      </c>
      <c r="S13" s="45">
        <v>0.16666666666666666</v>
      </c>
      <c r="T13" s="48">
        <v>6.25E-2</v>
      </c>
      <c r="U13" s="92">
        <v>0.125</v>
      </c>
    </row>
    <row r="14" spans="1:21" ht="19.899999999999999" customHeight="1" x14ac:dyDescent="0.25">
      <c r="A14" s="27" t="s">
        <v>32</v>
      </c>
      <c r="B14" s="28"/>
      <c r="C14" s="33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9.899999999999999" customHeight="1" x14ac:dyDescent="0.25">
      <c r="A15" s="27" t="s">
        <v>36</v>
      </c>
      <c r="B15" s="28"/>
      <c r="C15" s="33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5" customHeight="1" x14ac:dyDescent="0.25">
      <c r="A16" s="16" t="s">
        <v>16</v>
      </c>
      <c r="B16" s="18">
        <f>COUNTIF(D16:M16,"&gt;0")</f>
        <v>0</v>
      </c>
      <c r="C16" s="15" t="e">
        <f>B16/C5</f>
        <v>#DIV/0!</v>
      </c>
      <c r="D16" s="20">
        <f t="shared" ref="D16:U16" si="1">D14-D13</f>
        <v>-0.66666666666666663</v>
      </c>
      <c r="E16" s="20">
        <f t="shared" si="1"/>
        <v>-0.375</v>
      </c>
      <c r="F16" s="20">
        <f t="shared" si="1"/>
        <v>-0.41666666666666669</v>
      </c>
      <c r="G16" s="20">
        <f t="shared" si="1"/>
        <v>-0.45833333333333331</v>
      </c>
      <c r="H16" s="20">
        <f t="shared" si="1"/>
        <v>-0.52083333333333337</v>
      </c>
      <c r="I16" s="20">
        <f t="shared" si="1"/>
        <v>-0.54166666666666663</v>
      </c>
      <c r="J16" s="20">
        <f t="shared" si="1"/>
        <v>-0.64583333333333337</v>
      </c>
      <c r="K16" s="20">
        <f t="shared" si="1"/>
        <v>-0.66666666666666663</v>
      </c>
      <c r="L16" s="20">
        <f t="shared" si="1"/>
        <v>-0.6875</v>
      </c>
      <c r="M16" s="20">
        <f t="shared" si="1"/>
        <v>-0.72916666666666663</v>
      </c>
      <c r="N16" s="20">
        <f t="shared" si="1"/>
        <v>-0.70833333333333337</v>
      </c>
      <c r="O16" s="20">
        <f t="shared" si="1"/>
        <v>-0.72916666666666663</v>
      </c>
      <c r="P16" s="20">
        <f t="shared" si="1"/>
        <v>-0.75</v>
      </c>
      <c r="Q16" s="20">
        <f t="shared" si="1"/>
        <v>-0.79166666666666663</v>
      </c>
      <c r="R16" s="20">
        <f t="shared" si="1"/>
        <v>-0.91666666666666663</v>
      </c>
      <c r="S16" s="20">
        <f t="shared" si="1"/>
        <v>-0.16666666666666666</v>
      </c>
      <c r="T16" s="20">
        <f t="shared" si="1"/>
        <v>-6.25E-2</v>
      </c>
      <c r="U16" s="20">
        <f t="shared" si="1"/>
        <v>-0.125</v>
      </c>
    </row>
    <row r="17" spans="1:21" ht="52.9" customHeight="1" x14ac:dyDescent="0.25">
      <c r="A17" s="31" t="s">
        <v>34</v>
      </c>
      <c r="B17" s="32"/>
      <c r="C17" s="3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52.9" customHeight="1" x14ac:dyDescent="0.25">
      <c r="A18" s="52" t="s">
        <v>35</v>
      </c>
      <c r="B18" s="53"/>
      <c r="C18" s="5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9" t="s">
        <v>9</v>
      </c>
      <c r="B19" s="30"/>
      <c r="C19" s="17">
        <f>SUM(D19:M19)</f>
        <v>0</v>
      </c>
      <c r="D19" s="19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</row>
    <row r="20" spans="1:21" x14ac:dyDescent="0.25">
      <c r="C20" s="1"/>
    </row>
    <row r="21" spans="1:21" x14ac:dyDescent="0.25">
      <c r="C21" s="1"/>
    </row>
    <row r="22" spans="1:21" x14ac:dyDescent="0.25">
      <c r="C22" s="1"/>
    </row>
    <row r="23" spans="1:21" x14ac:dyDescent="0.25">
      <c r="C23" s="1"/>
    </row>
    <row r="24" spans="1:21" x14ac:dyDescent="0.25">
      <c r="C24" s="1"/>
    </row>
    <row r="25" spans="1:21" x14ac:dyDescent="0.25">
      <c r="C25" s="1"/>
    </row>
    <row r="26" spans="1:21" x14ac:dyDescent="0.25">
      <c r="C26" s="1"/>
    </row>
    <row r="27" spans="1:21" x14ac:dyDescent="0.25">
      <c r="C27" s="1"/>
    </row>
    <row r="28" spans="1:21" x14ac:dyDescent="0.25">
      <c r="C28" s="1"/>
    </row>
    <row r="29" spans="1:21" x14ac:dyDescent="0.25">
      <c r="C29" s="1"/>
    </row>
    <row r="30" spans="1:21" x14ac:dyDescent="0.25">
      <c r="C30" s="1"/>
    </row>
    <row r="31" spans="1:21" x14ac:dyDescent="0.25">
      <c r="C31" s="1"/>
    </row>
    <row r="32" spans="1:21" x14ac:dyDescent="0.25">
      <c r="C32" s="1"/>
    </row>
  </sheetData>
  <customSheetViews>
    <customSheetView guid="{AE556AAC-C1CB-4650-BC55-D888C94C12FA}" showPageBreaks="1" showGridLines="0" printArea="1">
      <pane xSplit="4" ySplit="7" topLeftCell="G8" activePane="bottomRight" state="frozen"/>
      <selection pane="bottomRight" activeCell="J17" sqref="J17"/>
      <pageMargins left="0.25" right="0.25" top="0.75" bottom="0.75" header="0.3" footer="0.3"/>
      <pageSetup paperSize="9" orientation="portrait" r:id="rId1"/>
    </customSheetView>
    <customSheetView guid="{E1F0EABA-5105-43CC-8E07-85079A367209}" scale="75" showPageBreaks="1" showGridLines="0" printArea="1">
      <pane xSplit="4" ySplit="7" topLeftCell="E8" activePane="bottomRight" state="frozen"/>
      <selection pane="bottomRight" activeCell="O11" sqref="O11"/>
      <pageMargins left="0.25" right="0.25" top="0.75" bottom="0.75" header="0.3" footer="0.3"/>
      <pageSetup paperSize="9" orientation="portrait" r:id="rId2"/>
    </customSheetView>
    <customSheetView guid="{937051C1-F928-4CE1-90E6-4BD5AA5F0CA0}" scale="75" showPageBreaks="1" showGridLines="0" printArea="1">
      <pane xSplit="4" ySplit="7" topLeftCell="E8" activePane="bottomRight" state="frozen"/>
      <selection pane="bottomRight" activeCell="K1" sqref="K1:K1048576"/>
      <pageMargins left="0.25" right="0.25" top="0.75" bottom="0.75" header="0.3" footer="0.3"/>
      <pageSetup paperSize="9" orientation="portrait" r:id="rId3"/>
    </customSheetView>
    <customSheetView guid="{D8A31FCA-0338-4FE6-B202-6F01AF887A7C}" scale="75" showGridLines="0">
      <pane xSplit="4" ySplit="7" topLeftCell="E8" activePane="bottomRight" state="frozen"/>
      <selection pane="bottomRight" activeCell="F13" activeCellId="1" sqref="E13 F13"/>
      <pageMargins left="0.25" right="0.25" top="0.75" bottom="0.75" header="0.3" footer="0.3"/>
      <pageSetup paperSize="9" orientation="portrait" r:id="rId4"/>
    </customSheetView>
    <customSheetView guid="{FDAD6E8C-C6AF-4699-A337-B5A30AFE7C23}" showPageBreaks="1" showGridLines="0" printArea="1">
      <pane xSplit="4" ySplit="7" topLeftCell="E8" activePane="bottomRight" state="frozen"/>
      <selection pane="bottomRight" activeCell="L1" sqref="L1:L1048576"/>
      <pageMargins left="0.25" right="0.25" top="0.75" bottom="0.75" header="0.3" footer="0.3"/>
      <pageSetup paperSize="9" orientation="portrait" r:id="rId5"/>
    </customSheetView>
    <customSheetView guid="{56C6EF76-EDBC-4D28-BBAD-E202D7EB4BF2}" showPageBreaks="1" showGridLines="0" printArea="1">
      <pane xSplit="4" ySplit="7" topLeftCell="E8" activePane="bottomRight" state="frozen"/>
      <selection pane="bottomRight" activeCell="A12" sqref="A12:C12"/>
      <pageMargins left="0.25" right="0.25" top="0.75" bottom="0.75" header="0.3" footer="0.3"/>
      <pageSetup paperSize="9" orientation="portrait" r:id="rId6"/>
    </customSheetView>
    <customSheetView guid="{874BD86F-8562-4C20-AEDD-66497496FA14}" showPageBreaks="1" showGridLines="0" printArea="1">
      <pane xSplit="4" ySplit="7" topLeftCell="P8" activePane="bottomRight" state="frozen"/>
      <selection pane="bottomRight" activeCell="AA13" sqref="AA13"/>
      <pageMargins left="0.25" right="0.25" top="0.75" bottom="0.75" header="0.3" footer="0.3"/>
      <pageSetup paperSize="9" orientation="portrait" r:id="rId7"/>
    </customSheetView>
    <customSheetView guid="{EBED728A-42DC-41FC-A46F-E83588C5D9C3}" showPageBreaks="1" showGridLines="0" printArea="1">
      <pane xSplit="4" ySplit="7" topLeftCell="E8" activePane="bottomRight" state="frozen"/>
      <selection pane="bottomRight" sqref="A1:XFD1048576"/>
      <pageMargins left="0.25" right="0.25" top="0.75" bottom="0.75" header="0.3" footer="0.3"/>
      <pageSetup paperSize="9" orientation="portrait" r:id="rId8"/>
    </customSheetView>
    <customSheetView guid="{21FEB403-0AD4-4E43-ABA1-C03B0FA30C00}" showPageBreaks="1" showGridLines="0" printArea="1" hiddenColumns="1">
      <pane xSplit="4" ySplit="7" topLeftCell="M8" activePane="bottomRight" state="frozen"/>
      <selection pane="bottomRight" activeCell="R14" sqref="R14"/>
      <pageMargins left="0.25" right="0.25" top="0.75" bottom="0.75" header="0.3" footer="0.3"/>
      <pageSetup paperSize="9" orientation="portrait" r:id="rId9"/>
    </customSheetView>
    <customSheetView guid="{DDAFD65C-B89E-4C6A-AC5C-AE6F1F424E3A}" showPageBreaks="1" showGridLines="0" printArea="1">
      <pane xSplit="4" ySplit="6" topLeftCell="E7" activePane="bottomRight" state="frozen"/>
      <selection pane="bottomRight" activeCell="A18" sqref="A18:XFD18"/>
      <pageMargins left="0.25" right="0.25" top="0.75" bottom="0.75" header="0.3" footer="0.3"/>
      <pageSetup paperSize="9" orientation="portrait" r:id="rId10"/>
    </customSheetView>
    <customSheetView guid="{36E52512-3EE3-4CC3-8A85-95E4740740EE}" showPageBreaks="1" showGridLines="0" printArea="1">
      <pane xSplit="4" ySplit="7" topLeftCell="R8" activePane="bottomRight" state="frozen"/>
      <selection pane="bottomRight" activeCell="U13" sqref="S13:U13"/>
      <pageMargins left="0.25" right="0.25" top="0.75" bottom="0.75" header="0.3" footer="0.3"/>
      <pageSetup paperSize="9" orientation="portrait" r:id="rId11"/>
    </customSheetView>
    <customSheetView guid="{AB3B1E7B-5893-4A96-8A5A-BC4EAAD6D0C6}" showPageBreaks="1" showGridLines="0" printArea="1">
      <pane xSplit="4" ySplit="7" topLeftCell="E8" activePane="bottomRight" state="frozen"/>
      <selection pane="bottomRight" activeCell="E7" sqref="E7"/>
      <pageMargins left="0.25" right="0.25" top="0.75" bottom="0.75" header="0.3" footer="0.3"/>
      <pageSetup paperSize="9" orientation="portrait" r:id="rId12"/>
    </customSheetView>
    <customSheetView guid="{64E48CFE-DF1A-4AED-8A67-A77739A758B8}" scale="75" showPageBreaks="1" showGridLines="0" printArea="1" hiddenColumns="1">
      <pane xSplit="4" ySplit="7" topLeftCell="E8" activePane="bottomRight" state="frozen"/>
      <selection pane="bottomRight" activeCell="E7" sqref="E7"/>
      <pageMargins left="0.25" right="0.25" top="0.75" bottom="0.75" header="0.3" footer="0.3"/>
      <pageSetup paperSize="9" orientation="portrait" r:id="rId13"/>
    </customSheetView>
    <customSheetView guid="{5B62A984-2C2E-4C53-8256-48A393D80845}" scale="75" showPageBreaks="1" showGridLines="0" printArea="1">
      <pane xSplit="4" ySplit="7" topLeftCell="E8" activePane="bottomRight" state="frozen"/>
      <selection pane="bottomRight" activeCell="O16" sqref="O16"/>
      <pageMargins left="0.25" right="0.25" top="0.75" bottom="0.75" header="0.3" footer="0.3"/>
      <pageSetup paperSize="9" orientation="portrait" r:id="rId14"/>
    </customSheetView>
    <customSheetView guid="{7DED5FBD-5FFD-49FF-9218-D92A4805A00B}" scale="75" showPageBreaks="1" showGridLines="0" printArea="1">
      <pane xSplit="4" ySplit="7" topLeftCell="E8" activePane="bottomRight" state="frozen"/>
      <selection pane="bottomRight" activeCell="E3" sqref="E3:P5"/>
      <pageMargins left="0.25" right="0.25" top="0.75" bottom="0.75" header="0.3" footer="0.3"/>
      <pageSetup paperSize="9" orientation="portrait" r:id="rId15"/>
    </customSheetView>
    <customSheetView guid="{A37ED6A4-E892-4495-BA3F-35C26C7337C1}" scale="75" showGridLines="0" printArea="1">
      <pane xSplit="4" ySplit="7" topLeftCell="E8" activePane="bottomRight" state="frozen"/>
      <selection pane="bottomRight" activeCell="E1" sqref="E1:E1048576"/>
      <pageMargins left="0.25" right="0.25" top="0.75" bottom="0.75" header="0.3" footer="0.3"/>
      <pageSetup paperSize="9" orientation="portrait" r:id="rId16"/>
    </customSheetView>
    <customSheetView guid="{F7C2F952-D051-47AE-9460-68ACA77D3540}" scale="75" showGridLines="0">
      <pane xSplit="4" ySplit="7" topLeftCell="E8" activePane="bottomRight" state="frozen"/>
      <selection pane="bottomRight" activeCell="O11" sqref="O11"/>
      <pageMargins left="0.25" right="0.25" top="0.75" bottom="0.75" header="0.3" footer="0.3"/>
      <pageSetup paperSize="9" orientation="portrait" r:id="rId17"/>
    </customSheetView>
    <customSheetView guid="{AEDB124E-3FA4-4F6C-9C8E-B2303E639C5E}" showPageBreaks="1" showGridLines="0" printArea="1" hiddenColumns="1">
      <pane xSplit="3" ySplit="7" topLeftCell="E8" activePane="bottomRight" state="frozen"/>
      <selection pane="bottomRight" activeCell="E1" sqref="E1:W1048576"/>
      <pageMargins left="0.25" right="0.25" top="0.75" bottom="0.75" header="0.3" footer="0.3"/>
      <pageSetup paperSize="9" orientation="portrait" r:id="rId18"/>
    </customSheetView>
  </customSheetViews>
  <conditionalFormatting sqref="D16:G16 I16:R16">
    <cfRule type="cellIs" dxfId="8" priority="1" operator="lessThan">
      <formula>0</formula>
    </cfRule>
    <cfRule type="cellIs" dxfId="7" priority="2" operator="equal">
      <formula>0</formula>
    </cfRule>
    <cfRule type="cellIs" dxfId="6" priority="3" operator="greaterThanOrEqual">
      <formula>0.000694444444444444</formula>
    </cfRule>
  </conditionalFormatting>
  <pageMargins left="0.25" right="0.25" top="0.75" bottom="0.75" header="0.3" footer="0.3"/>
  <pageSetup paperSize="9" orientation="portrait" r:id="rId1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32"/>
  <sheetViews>
    <sheetView showGridLines="0" zoomScaleNormal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M24" sqref="M24"/>
    </sheetView>
  </sheetViews>
  <sheetFormatPr defaultColWidth="8.85546875" defaultRowHeight="15" x14ac:dyDescent="0.25"/>
  <cols>
    <col min="1" max="1" width="19.7109375" style="1" customWidth="1"/>
    <col min="2" max="2" width="15.140625" style="1" customWidth="1"/>
    <col min="3" max="3" width="8.5703125" style="2" customWidth="1"/>
    <col min="4" max="4" width="9.140625" style="1" bestFit="1" customWidth="1"/>
    <col min="5" max="5" width="12.28515625" style="1" customWidth="1"/>
    <col min="6" max="9" width="9.28515625" style="1" customWidth="1"/>
    <col min="10" max="12" width="9.85546875" style="1" customWidth="1"/>
    <col min="13" max="16384" width="8.85546875" style="1"/>
  </cols>
  <sheetData>
    <row r="1" spans="1:14" ht="15" customHeight="1" x14ac:dyDescent="0.25">
      <c r="A1" s="100" t="s">
        <v>4</v>
      </c>
      <c r="B1" s="8" t="s">
        <v>5</v>
      </c>
      <c r="C1" s="23" t="s">
        <v>1</v>
      </c>
      <c r="F1" s="37"/>
      <c r="G1" s="37"/>
      <c r="H1" s="37"/>
      <c r="I1" s="37"/>
      <c r="J1" s="37"/>
      <c r="K1" s="37"/>
      <c r="L1" s="37"/>
    </row>
    <row r="2" spans="1:14" ht="17.25" customHeight="1" x14ac:dyDescent="0.25">
      <c r="A2" s="99">
        <f ca="1">Maandag!A2+6</f>
        <v>46139</v>
      </c>
      <c r="B2" s="8">
        <f ca="1">WEEKNUM(A2,21)</f>
        <v>18</v>
      </c>
      <c r="C2" s="24"/>
      <c r="F2" s="39"/>
      <c r="G2" s="39"/>
      <c r="H2" s="39"/>
      <c r="I2" s="39"/>
      <c r="J2" s="39"/>
      <c r="K2" s="39"/>
      <c r="L2" s="39"/>
    </row>
    <row r="3" spans="1:14" ht="45" customHeight="1" x14ac:dyDescent="0.25">
      <c r="A3" s="21" t="s">
        <v>12</v>
      </c>
      <c r="B3" s="22"/>
      <c r="C3" s="9"/>
      <c r="D3" s="61" t="s">
        <v>18</v>
      </c>
      <c r="E3" s="81" t="s">
        <v>42</v>
      </c>
      <c r="F3" s="44" t="s">
        <v>19</v>
      </c>
      <c r="G3" s="44" t="s">
        <v>27</v>
      </c>
      <c r="H3" s="44" t="s">
        <v>40</v>
      </c>
      <c r="I3" s="44" t="s">
        <v>41</v>
      </c>
      <c r="J3" s="73" t="s">
        <v>45</v>
      </c>
      <c r="K3" s="73" t="s">
        <v>45</v>
      </c>
      <c r="L3" s="73" t="s">
        <v>45</v>
      </c>
      <c r="M3" s="85" t="s">
        <v>46</v>
      </c>
      <c r="N3" s="98" t="s">
        <v>47</v>
      </c>
    </row>
    <row r="4" spans="1:14" ht="18" customHeight="1" x14ac:dyDescent="0.25">
      <c r="A4" s="25" t="s">
        <v>13</v>
      </c>
      <c r="B4" s="26"/>
      <c r="C4" s="10"/>
      <c r="D4" s="65" t="s">
        <v>14</v>
      </c>
      <c r="E4" s="82" t="s">
        <v>14</v>
      </c>
      <c r="F4" s="40" t="s">
        <v>14</v>
      </c>
      <c r="G4" s="40" t="s">
        <v>14</v>
      </c>
      <c r="H4" s="40" t="s">
        <v>14</v>
      </c>
      <c r="I4" s="40" t="s">
        <v>14</v>
      </c>
      <c r="J4" s="74" t="s">
        <v>28</v>
      </c>
      <c r="K4" s="74" t="s">
        <v>28</v>
      </c>
      <c r="L4" s="74" t="s">
        <v>28</v>
      </c>
      <c r="M4" s="86" t="s">
        <v>14</v>
      </c>
      <c r="N4" s="68" t="s">
        <v>14</v>
      </c>
    </row>
    <row r="5" spans="1:14" ht="15" customHeight="1" x14ac:dyDescent="0.25">
      <c r="A5" s="34" t="s">
        <v>3</v>
      </c>
      <c r="B5" s="35"/>
      <c r="C5" s="17">
        <f>SUM(I5:I5)</f>
        <v>0</v>
      </c>
      <c r="D5" s="43">
        <f t="shared" ref="D5" si="0">COUNT(D14)</f>
        <v>0</v>
      </c>
      <c r="E5" s="83">
        <f t="shared" ref="E5" si="1">COUNT(E14)</f>
        <v>0</v>
      </c>
      <c r="F5" s="41">
        <f t="shared" ref="F5:H5" si="2">COUNT(F14)</f>
        <v>0</v>
      </c>
      <c r="G5" s="41">
        <f t="shared" si="2"/>
        <v>0</v>
      </c>
      <c r="H5" s="41">
        <f t="shared" si="2"/>
        <v>0</v>
      </c>
      <c r="I5" s="41">
        <f t="shared" ref="I5" si="3">COUNT(I14)</f>
        <v>0</v>
      </c>
      <c r="J5" s="75"/>
      <c r="K5" s="75"/>
      <c r="L5" s="75"/>
      <c r="M5" s="87">
        <v>0</v>
      </c>
      <c r="N5" s="49">
        <v>0</v>
      </c>
    </row>
    <row r="6" spans="1:14" ht="3.6" customHeight="1" x14ac:dyDescent="0.25">
      <c r="D6" s="6"/>
    </row>
    <row r="7" spans="1:14" ht="19.899999999999999" customHeight="1" x14ac:dyDescent="0.25">
      <c r="A7" s="11" t="s">
        <v>29</v>
      </c>
      <c r="B7" s="12"/>
      <c r="C7" s="13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9.899999999999999" customHeight="1" x14ac:dyDescent="0.25">
      <c r="A8" s="11" t="s">
        <v>30</v>
      </c>
      <c r="B8" s="12"/>
      <c r="C8" s="13" t="s">
        <v>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19.899999999999999" customHeight="1" x14ac:dyDescent="0.25">
      <c r="A9" s="27" t="s">
        <v>10</v>
      </c>
      <c r="B9" s="28"/>
      <c r="C9" s="14" t="s">
        <v>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9.899999999999999" customHeight="1" x14ac:dyDescent="0.25">
      <c r="A10" s="27" t="s">
        <v>11</v>
      </c>
      <c r="B10" s="28"/>
      <c r="C10" s="14" t="s">
        <v>6</v>
      </c>
      <c r="D10" s="4">
        <v>3</v>
      </c>
      <c r="E10" s="4">
        <v>3</v>
      </c>
      <c r="F10" s="4">
        <v>3</v>
      </c>
      <c r="G10" s="4">
        <v>3</v>
      </c>
      <c r="H10" s="4">
        <v>3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3</v>
      </c>
    </row>
    <row r="11" spans="1:14" ht="19.899999999999999" customHeight="1" x14ac:dyDescent="0.25">
      <c r="A11" s="27" t="s">
        <v>7</v>
      </c>
      <c r="B11" s="28"/>
      <c r="C11" s="33" t="s">
        <v>8</v>
      </c>
      <c r="D11" s="4" t="s">
        <v>23</v>
      </c>
      <c r="E11" s="4" t="s">
        <v>23</v>
      </c>
      <c r="F11" s="4" t="s">
        <v>23</v>
      </c>
      <c r="G11" s="4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</row>
    <row r="12" spans="1:14" s="6" customFormat="1" ht="14.25" customHeight="1" x14ac:dyDescent="0.25">
      <c r="A12" s="58" t="s">
        <v>20</v>
      </c>
      <c r="B12" s="58" t="s">
        <v>21</v>
      </c>
      <c r="C12" s="5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19.899999999999999" customHeight="1" x14ac:dyDescent="0.25">
      <c r="A13" s="27" t="s">
        <v>0</v>
      </c>
      <c r="B13" s="28"/>
      <c r="C13" s="33"/>
      <c r="D13" s="51">
        <v>0.54166666666666663</v>
      </c>
      <c r="E13" s="84">
        <v>0.66666666666666663</v>
      </c>
      <c r="F13" s="46">
        <v>0.6875</v>
      </c>
      <c r="G13" s="46">
        <v>0.6875</v>
      </c>
      <c r="H13" s="46">
        <v>0.70833333333333337</v>
      </c>
      <c r="I13" s="46">
        <v>0.70833333333333337</v>
      </c>
      <c r="J13" s="76"/>
      <c r="K13" s="76"/>
      <c r="L13" s="76"/>
      <c r="M13" s="88">
        <v>0.375</v>
      </c>
      <c r="N13" s="50">
        <v>0.41666666666666669</v>
      </c>
    </row>
    <row r="14" spans="1:14" ht="19.899999999999999" customHeight="1" x14ac:dyDescent="0.25">
      <c r="A14" s="27" t="s">
        <v>32</v>
      </c>
      <c r="B14" s="28"/>
      <c r="C14" s="33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19.899999999999999" customHeight="1" x14ac:dyDescent="0.25">
      <c r="A15" s="27" t="s">
        <v>36</v>
      </c>
      <c r="B15" s="28"/>
      <c r="C15" s="33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ht="15" customHeight="1" x14ac:dyDescent="0.25">
      <c r="A16" s="16" t="s">
        <v>16</v>
      </c>
      <c r="B16" s="18">
        <f>COUNTIF(I16:I16,"&gt;0")</f>
        <v>0</v>
      </c>
      <c r="C16" s="15" t="e">
        <f>B16/C5</f>
        <v>#DIV/0!</v>
      </c>
      <c r="D16" s="20">
        <f t="shared" ref="D16:E16" si="4">D14-D13</f>
        <v>-0.54166666666666663</v>
      </c>
      <c r="E16" s="20">
        <f t="shared" si="4"/>
        <v>-0.66666666666666663</v>
      </c>
      <c r="F16" s="20">
        <f t="shared" ref="F16:H16" si="5">F14-F13</f>
        <v>-0.6875</v>
      </c>
      <c r="G16" s="20">
        <f t="shared" si="5"/>
        <v>-0.6875</v>
      </c>
      <c r="H16" s="20">
        <f t="shared" si="5"/>
        <v>-0.70833333333333337</v>
      </c>
      <c r="I16" s="20">
        <f t="shared" ref="I16:N16" si="6">I14-I13</f>
        <v>-0.70833333333333337</v>
      </c>
      <c r="J16" s="20">
        <f t="shared" si="6"/>
        <v>0</v>
      </c>
      <c r="K16" s="20">
        <f t="shared" si="6"/>
        <v>0</v>
      </c>
      <c r="L16" s="20">
        <f t="shared" si="6"/>
        <v>0</v>
      </c>
      <c r="M16" s="20">
        <f t="shared" si="6"/>
        <v>-0.375</v>
      </c>
      <c r="N16" s="20">
        <f t="shared" si="6"/>
        <v>-0.41666666666666669</v>
      </c>
    </row>
    <row r="17" spans="1:14" ht="52.9" customHeight="1" x14ac:dyDescent="0.25">
      <c r="A17" s="31" t="s">
        <v>34</v>
      </c>
      <c r="B17" s="32"/>
      <c r="C17" s="3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52.9" customHeight="1" x14ac:dyDescent="0.25">
      <c r="A18" s="52" t="s">
        <v>35</v>
      </c>
      <c r="B18" s="53"/>
      <c r="C18" s="5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9" t="s">
        <v>9</v>
      </c>
      <c r="B19" s="30"/>
      <c r="C19" s="17">
        <f>SUM(I19:I19)</f>
        <v>0</v>
      </c>
      <c r="D19" s="19"/>
      <c r="E19" s="19"/>
      <c r="F19" s="19"/>
      <c r="G19" s="19"/>
      <c r="H19" s="19"/>
      <c r="I19" s="19"/>
      <c r="J19" s="19"/>
      <c r="K19" s="19"/>
      <c r="L19" s="19"/>
      <c r="M19" s="93"/>
      <c r="N19" s="19"/>
    </row>
    <row r="20" spans="1:14" x14ac:dyDescent="0.25">
      <c r="C20" s="1"/>
    </row>
    <row r="21" spans="1:14" x14ac:dyDescent="0.25">
      <c r="C21" s="1"/>
    </row>
    <row r="22" spans="1:14" x14ac:dyDescent="0.25">
      <c r="C22" s="1"/>
    </row>
    <row r="23" spans="1:14" x14ac:dyDescent="0.25">
      <c r="C23" s="1"/>
    </row>
    <row r="24" spans="1:14" x14ac:dyDescent="0.25">
      <c r="C24" s="1"/>
    </row>
    <row r="25" spans="1:14" x14ac:dyDescent="0.25">
      <c r="C25" s="1"/>
    </row>
    <row r="26" spans="1:14" x14ac:dyDescent="0.25">
      <c r="C26" s="1"/>
    </row>
    <row r="27" spans="1:14" x14ac:dyDescent="0.25">
      <c r="C27" s="1"/>
    </row>
    <row r="28" spans="1:14" x14ac:dyDescent="0.25">
      <c r="C28" s="1"/>
    </row>
    <row r="29" spans="1:14" x14ac:dyDescent="0.25">
      <c r="C29" s="1"/>
    </row>
    <row r="30" spans="1:14" x14ac:dyDescent="0.25">
      <c r="C30" s="1"/>
    </row>
    <row r="31" spans="1:14" x14ac:dyDescent="0.25">
      <c r="C31" s="1"/>
    </row>
    <row r="32" spans="1:14" x14ac:dyDescent="0.25">
      <c r="C32" s="1"/>
    </row>
  </sheetData>
  <customSheetViews>
    <customSheetView guid="{AE556AAC-C1CB-4650-BC55-D888C94C12FA}" showPageBreaks="1" showGridLines="0" fitToPage="1" printArea="1">
      <pane xSplit="3" ySplit="7" topLeftCell="D8" activePane="bottomRight" state="frozen"/>
      <selection pane="bottomRight" activeCell="I14" sqref="I14"/>
      <pageMargins left="0.31496062992125984" right="0.31496062992125984" top="0.15748031496062992" bottom="0.19685039370078741" header="0.11811023622047245" footer="0"/>
      <pageSetup paperSize="9" fitToWidth="0" orientation="portrait" r:id="rId1"/>
    </customSheetView>
    <customSheetView guid="{E1F0EABA-5105-43CC-8E07-85079A367209}" scale="75" showPageBreaks="1" showGridLines="0" fitToPage="1" printArea="1">
      <pane xSplit="4" ySplit="7" topLeftCell="E8" activePane="bottomRight" state="frozen"/>
      <selection pane="bottomRight" activeCell="K3" sqref="K3"/>
      <pageMargins left="0.31496062992125984" right="0.31496062992125984" top="0.15748031496062992" bottom="0.19685039370078741" header="0.11811023622047245" footer="0"/>
      <pageSetup paperSize="9" fitToWidth="0" orientation="portrait" r:id="rId2"/>
    </customSheetView>
    <customSheetView guid="{937051C1-F928-4CE1-90E6-4BD5AA5F0CA0}" scale="75" showPageBreaks="1" showGridLines="0" fitToPage="1" printArea="1">
      <pane xSplit="4" ySplit="7" topLeftCell="E8" activePane="bottomRight" state="frozen"/>
      <selection pane="bottomRight" activeCell="E7" sqref="E7"/>
      <pageMargins left="0.31496062992125984" right="0.31496062992125984" top="0.15748031496062992" bottom="0.19685039370078741" header="0.11811023622047245" footer="0"/>
      <pageSetup paperSize="9" fitToWidth="0" orientation="portrait" r:id="rId3"/>
    </customSheetView>
    <customSheetView guid="{D8A31FCA-0338-4FE6-B202-6F01AF887A7C}" scale="75" showGridLines="0" fitToPage="1">
      <pane xSplit="4" ySplit="7" topLeftCell="E8" activePane="bottomRight" state="frozen"/>
      <selection pane="bottomRight" activeCell="F1" sqref="F1:F1048576"/>
      <pageMargins left="0.31496062992125984" right="0.31496062992125984" top="0.15748031496062992" bottom="0.19685039370078741" header="0.11811023622047245" footer="0"/>
      <pageSetup paperSize="9" fitToWidth="0" orientation="portrait" r:id="rId4"/>
    </customSheetView>
    <customSheetView guid="{FDAD6E8C-C6AF-4699-A337-B5A30AFE7C23}" showPageBreaks="1" showGridLines="0" fitToPage="1" printArea="1">
      <pane xSplit="4" ySplit="7" topLeftCell="E8" activePane="bottomRight" state="frozen"/>
      <selection pane="bottomRight" activeCell="M1" sqref="M1:M1048576"/>
      <pageMargins left="0.31496062992125984" right="0.31496062992125984" top="0.15748031496062992" bottom="0.19685039370078741" header="0.11811023622047245" footer="0"/>
      <pageSetup paperSize="9" fitToWidth="0" orientation="portrait" r:id="rId5"/>
    </customSheetView>
    <customSheetView guid="{56C6EF76-EDBC-4D28-BBAD-E202D7EB4BF2}" showPageBreaks="1" showGridLines="0" fitToPage="1" printArea="1">
      <pane xSplit="4" ySplit="7" topLeftCell="H8" activePane="bottomRight" state="frozen"/>
      <selection pane="bottomRight" activeCell="A12" sqref="A12:C12"/>
      <pageMargins left="0.31496062992125984" right="0.31496062992125984" top="0.15748031496062992" bottom="0.19685039370078741" header="0.11811023622047245" footer="0"/>
      <pageSetup paperSize="9" fitToWidth="0" orientation="portrait" r:id="rId6"/>
    </customSheetView>
    <customSheetView guid="{874BD86F-8562-4C20-AEDD-66497496FA14}" showPageBreaks="1" showGridLines="0" fitToPage="1" printArea="1">
      <pane xSplit="4" ySplit="7" topLeftCell="N8" activePane="bottomRight" state="frozen"/>
      <selection pane="bottomRight" activeCell="Y13" sqref="Y13"/>
      <pageMargins left="0.31496062992125984" right="0.31496062992125984" top="0.15748031496062992" bottom="0.19685039370078741" header="0.11811023622047245" footer="0"/>
      <pageSetup paperSize="9" fitToWidth="0" orientation="portrait" r:id="rId7"/>
    </customSheetView>
    <customSheetView guid="{EBED728A-42DC-41FC-A46F-E83588C5D9C3}" showPageBreaks="1" showGridLines="0" fitToPage="1" printArea="1">
      <pane xSplit="4" ySplit="7" topLeftCell="E8" activePane="bottomRight" state="frozen"/>
      <selection pane="bottomRight" activeCell="G26" sqref="G26"/>
      <pageMargins left="0.31496062992125984" right="0.31496062992125984" top="0.15748031496062992" bottom="0.19685039370078741" header="0.11811023622047245" footer="0"/>
      <pageSetup paperSize="9" fitToWidth="0" orientation="portrait" r:id="rId8"/>
    </customSheetView>
    <customSheetView guid="{21FEB403-0AD4-4E43-ABA1-C03B0FA30C00}" showPageBreaks="1" showGridLines="0" fitToPage="1" printArea="1" hiddenColumns="1">
      <pane xSplit="4" ySplit="7" topLeftCell="M8" activePane="bottomRight" state="frozen"/>
      <selection pane="bottomRight" activeCell="Q23" sqref="Q23"/>
      <pageMargins left="0.31496062992125984" right="0.31496062992125984" top="0.15748031496062992" bottom="0.19685039370078741" header="0.11811023622047245" footer="0"/>
      <pageSetup paperSize="9" fitToWidth="0" orientation="portrait" r:id="rId9"/>
    </customSheetView>
    <customSheetView guid="{DDAFD65C-B89E-4C6A-AC5C-AE6F1F424E3A}" showPageBreaks="1" showGridLines="0" fitToPage="1" printArea="1" hiddenColumns="1">
      <pane xSplit="4" ySplit="6" topLeftCell="R7" activePane="bottomRight" state="frozen"/>
      <selection pane="bottomRight" activeCell="A30" sqref="A30"/>
      <pageMargins left="0.31496062992125984" right="0.31496062992125984" top="0.15748031496062992" bottom="0.19685039370078741" header="0.11811023622047245" footer="0"/>
      <pageSetup paperSize="9" fitToWidth="0" orientation="portrait" r:id="rId10"/>
    </customSheetView>
    <customSheetView guid="{36E52512-3EE3-4CC3-8A85-95E4740740EE}" showPageBreaks="1" showGridLines="0" fitToPage="1" printArea="1">
      <pane xSplit="4" ySplit="7" topLeftCell="E8" activePane="bottomRight" state="frozen"/>
      <selection pane="bottomRight" activeCell="AD3" sqref="AD3"/>
      <pageMargins left="0.31496062992125984" right="0.31496062992125984" top="0.15748031496062992" bottom="0.19685039370078741" header="0.11811023622047245" footer="0"/>
      <pageSetup paperSize="9" fitToWidth="0" orientation="portrait" r:id="rId11"/>
    </customSheetView>
    <customSheetView guid="{AB3B1E7B-5893-4A96-8A5A-BC4EAAD6D0C6}" showPageBreaks="1" showGridLines="0" fitToPage="1" printArea="1">
      <pane xSplit="4" ySplit="7" topLeftCell="E8" activePane="bottomRight" state="frozen"/>
      <selection pane="bottomRight" activeCell="E7" sqref="E7"/>
      <pageMargins left="0.31496062992125984" right="0.31496062992125984" top="0.15748031496062992" bottom="0.19685039370078741" header="0.11811023622047245" footer="0"/>
      <pageSetup paperSize="9" fitToWidth="0" orientation="portrait" r:id="rId12"/>
    </customSheetView>
    <customSheetView guid="{64E48CFE-DF1A-4AED-8A67-A77739A758B8}" scale="75" showPageBreaks="1" showGridLines="0" fitToPage="1" printArea="1">
      <pane xSplit="4" ySplit="7" topLeftCell="E8" activePane="bottomRight" state="frozen"/>
      <selection pane="bottomRight" activeCell="F14" sqref="F14"/>
      <pageMargins left="0.31496062992125984" right="0.31496062992125984" top="0.15748031496062992" bottom="0.19685039370078741" header="0.11811023622047245" footer="0"/>
      <pageSetup paperSize="9" fitToWidth="0" orientation="portrait" r:id="rId13"/>
    </customSheetView>
    <customSheetView guid="{5B62A984-2C2E-4C53-8256-48A393D80845}" scale="75" showPageBreaks="1" showGridLines="0" fitToPage="1" printArea="1">
      <pane xSplit="4" ySplit="7" topLeftCell="E8" activePane="bottomRight" state="frozen"/>
      <selection pane="bottomRight" activeCell="F1" sqref="F1:F1048576"/>
      <pageMargins left="0.31496062992125984" right="0.31496062992125984" top="0.15748031496062992" bottom="0.19685039370078741" header="0.11811023622047245" footer="0"/>
      <pageSetup paperSize="9" fitToWidth="0" orientation="portrait" r:id="rId14"/>
    </customSheetView>
    <customSheetView guid="{7DED5FBD-5FFD-49FF-9218-D92A4805A00B}" scale="75" showPageBreaks="1" showGridLines="0" fitToPage="1" printArea="1">
      <pane xSplit="4" ySplit="7" topLeftCell="E8" activePane="bottomRight" state="frozen"/>
      <selection pane="bottomRight" activeCell="L19" sqref="L19"/>
      <pageMargins left="0.31496062992125984" right="0.31496062992125984" top="0.15748031496062992" bottom="0.19685039370078741" header="0.11811023622047245" footer="0"/>
      <pageSetup paperSize="9" fitToWidth="0" orientation="portrait" r:id="rId15"/>
    </customSheetView>
    <customSheetView guid="{A37ED6A4-E892-4495-BA3F-35C26C7337C1}" scale="75" showGridLines="0" fitToPage="1" printArea="1">
      <pane xSplit="4" ySplit="7" topLeftCell="E8" activePane="bottomRight" state="frozen"/>
      <selection pane="bottomRight" activeCell="P18" sqref="P18"/>
      <pageMargins left="0.31496062992125984" right="0.31496062992125984" top="0.15748031496062992" bottom="0.19685039370078741" header="0.11811023622047245" footer="0"/>
      <pageSetup paperSize="9" fitToWidth="0" orientation="portrait" r:id="rId16"/>
    </customSheetView>
    <customSheetView guid="{F7C2F952-D051-47AE-9460-68ACA77D3540}" scale="75" showGridLines="0" fitToPage="1">
      <pane xSplit="4" ySplit="7" topLeftCell="E8" activePane="bottomRight" state="frozen"/>
      <selection pane="bottomRight" activeCell="K3" sqref="K3"/>
      <pageMargins left="0.31496062992125984" right="0.31496062992125984" top="0.15748031496062992" bottom="0.19685039370078741" header="0.11811023622047245" footer="0"/>
      <pageSetup paperSize="9" fitToWidth="0" orientation="portrait" r:id="rId17"/>
    </customSheetView>
    <customSheetView guid="{AEDB124E-3FA4-4F6C-9C8E-B2303E639C5E}" showPageBreaks="1" showGridLines="0" fitToPage="1" printArea="1">
      <pane xSplit="3" ySplit="7" topLeftCell="D8" activePane="bottomRight" state="frozen"/>
      <selection pane="bottomRight" activeCell="H7" sqref="H7"/>
      <pageMargins left="0.31496062992125984" right="0.31496062992125984" top="0.15748031496062992" bottom="0.19685039370078741" header="0.11811023622047245" footer="0"/>
      <pageSetup paperSize="9" fitToWidth="0" orientation="portrait" r:id="rId18"/>
    </customSheetView>
  </customSheetViews>
  <phoneticPr fontId="14" type="noConversion"/>
  <conditionalFormatting sqref="I16">
    <cfRule type="cellIs" dxfId="5" priority="46" operator="lessThan">
      <formula>0</formula>
    </cfRule>
    <cfRule type="cellIs" dxfId="4" priority="47" operator="equal">
      <formula>0</formula>
    </cfRule>
    <cfRule type="cellIs" dxfId="3" priority="48" operator="greaterThanOrEqual">
      <formula>0.000694444444444444</formula>
    </cfRule>
  </conditionalFormatting>
  <conditionalFormatting sqref="M16:N16">
    <cfRule type="cellIs" dxfId="2" priority="1" operator="lessThan">
      <formula>0</formula>
    </cfRule>
    <cfRule type="cellIs" dxfId="1" priority="2" operator="equal">
      <formula>0</formula>
    </cfRule>
    <cfRule type="cellIs" dxfId="0" priority="3" operator="greaterThanOrEqual">
      <formula>0.000694444444444444</formula>
    </cfRule>
  </conditionalFormatting>
  <pageMargins left="0.31496062992125984" right="0.31496062992125984" top="0.15748031496062992" bottom="0.19685039370078741" header="0.11811023622047245" footer="0"/>
  <pageSetup paperSize="9" fitToWidth="0" orientation="portrait" r:id="rId1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s xmlns="5efbd90f-7da3-45e4-981c-30c822524f86" xsi:nil="true"/>
    <System xmlns="5efbd90f-7da3-45e4-981c-30c822524f86" xsi:nil="true"/>
    <Client xmlns="5efbd90f-7da3-45e4-981c-30c822524f86" xsi:nil="true"/>
    <Document_x0020_Type xmlns="5efbd90f-7da3-45e4-981c-30c822524f86" xsi:nil="true"/>
    <File_x0020_link xmlns="5efbd90f-7da3-45e4-981c-30c822524f86">
      <Url xsi:nil="true"/>
      <Description xsi:nil="true"/>
    </File_x0020_link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58DB80311A9B41972280FBD9E4BB17" ma:contentTypeVersion="8" ma:contentTypeDescription="Create a new document." ma:contentTypeScope="" ma:versionID="d98310f8c5acdc75271627c22d62cbd7">
  <xsd:schema xmlns:xsd="http://www.w3.org/2001/XMLSchema" xmlns:xs="http://www.w3.org/2001/XMLSchema" xmlns:p="http://schemas.microsoft.com/office/2006/metadata/properties" xmlns:ns2="5efbd90f-7da3-45e4-981c-30c822524f86" targetNamespace="http://schemas.microsoft.com/office/2006/metadata/properties" ma:root="true" ma:fieldsID="10d52b7dfbf87d356ca68ac5243c4064" ns2:_="">
    <xsd:import namespace="5efbd90f-7da3-45e4-981c-30c822524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lient" minOccurs="0"/>
                <xsd:element ref="ns2:Process" minOccurs="0"/>
                <xsd:element ref="ns2:Document_x0020_Type" minOccurs="0"/>
                <xsd:element ref="ns2:System" minOccurs="0"/>
                <xsd:element ref="ns2:File_x0020_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fbd90f-7da3-45e4-981c-30c822524f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lient" ma:index="11" nillable="true" ma:displayName="Client" ma:description="Which client is for?&#10;" ma:format="Dropdown" ma:internalName="Client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ewe"/>
                        <xsd:enumeration value="Havi NL"/>
                        <xsd:enumeration value="Havi BE"/>
                        <xsd:enumeration value="Havi DE"/>
                        <xsd:enumeration value="Carrefour FIF"/>
                        <xsd:enumeration value="Carrefour KDC"/>
                        <xsd:enumeration value="Netto SG"/>
                        <xsd:enumeration value="Netto MD"/>
                        <xsd:enumeration value="Lidl"/>
                        <xsd:enumeration value="Penny"/>
                        <xsd:enumeration value="Edeka"/>
                        <xsd:enumeration value="Colruyt"/>
                        <xsd:enumeration value="Heeren"/>
                        <xsd:enumeration value="Hello Fresh"/>
                        <xsd:enumeration value="Jumbo"/>
                        <xsd:enumeration value="Plus"/>
                        <xsd:enumeration value="Vomar"/>
                        <xsd:enumeration value="Spar"/>
                        <xsd:enumeration value="Versunie"/>
                        <xsd:enumeration value="Globus"/>
                        <xsd:enumeration value="Van Vugt"/>
                        <xsd:enumeration value="Bilka SG"/>
                        <xsd:enumeration value="EFC Raalte"/>
                        <xsd:enumeration value="EFC Bleiswijk"/>
                        <xsd:enumeration value="EFC Den Bosch"/>
                        <xsd:enumeration value="Van Dijk"/>
                        <xsd:enumeration value="Marhaba"/>
                        <xsd:enumeration value="Snebo"/>
                        <xsd:enumeration value="T. van der Plas"/>
                        <xsd:enumeration value="Van Rijsingen"/>
                        <xsd:enumeration value="Bio Brass"/>
                        <xsd:enumeration value="Signature Foods"/>
                        <xsd:enumeration value="Kramer"/>
                        <xsd:enumeration value="Interhaven"/>
                        <xsd:enumeration value="Tacken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rocess" ma:index="12" nillable="true" ma:displayName="Process" ma:description="What process is related to?" ma:format="Dropdown" ma:internalName="Process">
      <xsd:simpleType>
        <xsd:union memberTypes="dms:Text">
          <xsd:simpleType>
            <xsd:restriction base="dms:Choice">
              <xsd:enumeration value="Outbound"/>
              <xsd:enumeration value="Inbound"/>
              <xsd:enumeration value="Derving"/>
              <xsd:enumeration value="Sales order"/>
              <xsd:enumeration value="Purchase order"/>
              <xsd:enumeration value="Mancos"/>
              <xsd:enumeration value="Stock"/>
              <xsd:enumeration value="Picking"/>
              <xsd:enumeration value="EMB"/>
              <xsd:enumeration value="Packaging"/>
              <xsd:enumeration value="Training"/>
            </xsd:restriction>
          </xsd:simpleType>
        </xsd:union>
      </xsd:simpleType>
    </xsd:element>
    <xsd:element name="Document_x0020_Type" ma:index="13" nillable="true" ma:displayName="Document Type" ma:description="What type of document is?" ma:format="Dropdown" ma:internalName="Document_x0020_Type">
      <xsd:simpleType>
        <xsd:union memberTypes="dms:Text">
          <xsd:simpleType>
            <xsd:restriction base="dms:Choice">
              <xsd:enumeration value="Instruction"/>
              <xsd:enumeration value="Template"/>
              <xsd:enumeration value="Flowchart"/>
              <xsd:enumeration value="CMR"/>
              <xsd:enumeration value="Pakbon"/>
              <xsd:enumeration value="BAS"/>
              <xsd:enumeration value="Raangerlijst"/>
              <xsd:enumeration value="Tellijst"/>
              <xsd:enumeration value="Communication Matrix"/>
            </xsd:restriction>
          </xsd:simpleType>
        </xsd:union>
      </xsd:simpleType>
    </xsd:element>
    <xsd:element name="System" ma:index="14" nillable="true" ma:displayName="System" ma:description="Which system we are using it" ma:format="Dropdown" ma:internalName="System">
      <xsd:simpleType>
        <xsd:union memberTypes="dms:Text">
          <xsd:simpleType>
            <xsd:restriction base="dms:Choice">
              <xsd:enumeration value="D365"/>
              <xsd:enumeration value="Excel"/>
              <xsd:enumeration value="Scanner"/>
              <xsd:enumeration value="Medea"/>
              <xsd:enumeration value="Medius"/>
              <xsd:enumeration value="Teams"/>
              <xsd:enumeration value="Optimal"/>
            </xsd:restriction>
          </xsd:simpleType>
        </xsd:union>
      </xsd:simpleType>
    </xsd:element>
    <xsd:element name="File_x0020_link" ma:index="15" nillable="true" ma:displayName="File link" ma:description="Link to related file" ma:format="Hyperlink" ma:internalName="File_x0020_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2F9BE9-FE53-4B3C-B7E6-123E700FA473}">
  <ds:schemaRefs>
    <ds:schemaRef ds:uri="http://schemas.microsoft.com/office/2006/metadata/properties"/>
    <ds:schemaRef ds:uri="http://schemas.microsoft.com/office/infopath/2007/PartnerControls"/>
    <ds:schemaRef ds:uri="5efbd90f-7da3-45e4-981c-30c822524f86"/>
  </ds:schemaRefs>
</ds:datastoreItem>
</file>

<file path=customXml/itemProps2.xml><?xml version="1.0" encoding="utf-8"?>
<ds:datastoreItem xmlns:ds="http://schemas.openxmlformats.org/officeDocument/2006/customXml" ds:itemID="{FF048552-68D5-4454-B3A5-976813AA9B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43952D-A70A-473C-BB3C-2807B7CE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fbd90f-7da3-45e4-981c-30c822524f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Maandag</vt:lpstr>
      <vt:lpstr>Dinsdag</vt:lpstr>
      <vt:lpstr>Woensdag</vt:lpstr>
      <vt:lpstr>Donderdag</vt:lpstr>
      <vt:lpstr>Vrijdag</vt:lpstr>
      <vt:lpstr>Zaterdag</vt:lpstr>
      <vt:lpstr>Zondag</vt:lpstr>
      <vt:lpstr>Dinsdag!Print_Area</vt:lpstr>
      <vt:lpstr>Donderdag!Print_Area</vt:lpstr>
      <vt:lpstr>Vrijdag!Print_Area</vt:lpstr>
      <vt:lpstr>Woensdag!Print_Area</vt:lpstr>
      <vt:lpstr>Zaterdag!Print_Area</vt:lpstr>
      <vt:lpstr>Zondag!Print_Area</vt:lpstr>
      <vt:lpstr>Dinsdag!Print_Titles</vt:lpstr>
      <vt:lpstr>Donderdag!Print_Titles</vt:lpstr>
      <vt:lpstr>Maandag!Print_Titles</vt:lpstr>
      <vt:lpstr>Vrijdag!Print_Titles</vt:lpstr>
      <vt:lpstr>Woensdag!Print_Titles</vt:lpstr>
      <vt:lpstr>Zaterdag!Print_Titles</vt:lpstr>
      <vt:lpstr>Zondag!Print_Titles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van Asperen</dc:creator>
  <cp:lastModifiedBy>Gonçalo Latino Candido</cp:lastModifiedBy>
  <cp:lastPrinted>2024-10-28T23:41:58Z</cp:lastPrinted>
  <dcterms:created xsi:type="dcterms:W3CDTF">2014-03-03T03:46:29Z</dcterms:created>
  <dcterms:modified xsi:type="dcterms:W3CDTF">2026-04-21T13:33:13Z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0x0101009B58DB80311A9B41972280FBD9E4BB17</vt:lpwstr>
  </property>
</Properties>
</file>